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e cash flow" sheetId="1" r:id="rId5"/>
    <sheet state="visible" name="Fixed assets" sheetId="2" r:id="rId6"/>
    <sheet state="visible" name="Net working capital" sheetId="3" r:id="rId7"/>
    <sheet state="visible" name="WACC" sheetId="4" r:id="rId8"/>
    <sheet state="visible" name="DCF" sheetId="5" r:id="rId9"/>
  </sheets>
  <definedNames/>
  <calcPr/>
</workbook>
</file>

<file path=xl/sharedStrings.xml><?xml version="1.0" encoding="utf-8"?>
<sst xmlns="http://schemas.openxmlformats.org/spreadsheetml/2006/main" count="95" uniqueCount="83">
  <si>
    <t>Weighted average cost of assets (WACC)</t>
  </si>
  <si>
    <t>NWC</t>
  </si>
  <si>
    <t>Equity</t>
  </si>
  <si>
    <t>Unlevered free cash flow (mm)</t>
  </si>
  <si>
    <t xml:space="preserve">Debt </t>
  </si>
  <si>
    <t>Fiscal year</t>
  </si>
  <si>
    <t>Risk-free rate (10yr Treasury Yield)</t>
  </si>
  <si>
    <t>Fixed assets schedule</t>
  </si>
  <si>
    <t>Account receivable (Các khoản phải thu ngắn hạn)</t>
  </si>
  <si>
    <t>Excess CDS spread</t>
  </si>
  <si>
    <t>Cost of debt</t>
  </si>
  <si>
    <t>Revenue (Doanh thu thuần về bán hàng và cung cấp dịch vụ)</t>
  </si>
  <si>
    <t>Tax rate (Oil+gas: 25-50%, Khác:20%)</t>
  </si>
  <si>
    <t>Beginning PP&amp;E</t>
  </si>
  <si>
    <t>D/(D+E)</t>
  </si>
  <si>
    <t>Merchandised inventory (hàng tồn kho)</t>
  </si>
  <si>
    <t>COGS (Giá vốn hàng bán)</t>
  </si>
  <si>
    <t>After tax cost of debt</t>
  </si>
  <si>
    <t>D&amp;A</t>
  </si>
  <si>
    <t>Gross profit</t>
  </si>
  <si>
    <t>Other current assets</t>
  </si>
  <si>
    <t>Market premium</t>
  </si>
  <si>
    <t>Levered beta</t>
  </si>
  <si>
    <t>E/(D+E)</t>
  </si>
  <si>
    <t>_x0008_CapEX = End - Begin + D&amp;A</t>
  </si>
  <si>
    <t>Current assets</t>
  </si>
  <si>
    <t>operating expense</t>
  </si>
  <si>
    <t>Cost of Equity</t>
  </si>
  <si>
    <t>WACC</t>
  </si>
  <si>
    <t>_x0008_Ending PP&amp;E</t>
  </si>
  <si>
    <t>Selling, general, administrative (chi phí bán hàng)</t>
  </si>
  <si>
    <t>Account payable ( Nợ phải trả người bán ngắn hạn)</t>
  </si>
  <si>
    <t>total operating expense</t>
  </si>
  <si>
    <t>_x0008_Assumption</t>
  </si>
  <si>
    <t>Accrued salaries and benefits (Nợ phải trả người lao động)</t>
  </si>
  <si>
    <t>_x0008__x0008_Fiscal year</t>
  </si>
  <si>
    <t>_x0008_D&amp;A at % beginning PP&amp;E</t>
  </si>
  <si>
    <t>EBITDA</t>
  </si>
  <si>
    <t>Accrued membership rewards (Quỹ khen thưởng và phúc lợi)</t>
  </si>
  <si>
    <t>Deferred memberships fees (Người mua trả tiền trước ngắn hạn)</t>
  </si>
  <si>
    <t>CapEx at % PP&amp;E</t>
  </si>
  <si>
    <t>Appreciation &amp; Armortization (khấu hao = giá trị hao mòn luỹ kế năm này - năm trước)</t>
  </si>
  <si>
    <t>Other current liabilities ( Nợ phải trả ngắn hạn khác)</t>
  </si>
  <si>
    <t>Current liabilites</t>
  </si>
  <si>
    <t>Operating profit (EBIT)</t>
  </si>
  <si>
    <t>Assumption</t>
  </si>
  <si>
    <t>Operating taxes (Lợi nhuận trước thuế)</t>
  </si>
  <si>
    <t>Revenue</t>
  </si>
  <si>
    <t>NOPAT (Net operating profit after taxes)</t>
  </si>
  <si>
    <t>COGS</t>
  </si>
  <si>
    <t>Daily sales Outstanding (DSO)</t>
  </si>
  <si>
    <t>(+) Appreciation &amp; Armortization</t>
  </si>
  <si>
    <t>(-) Capital expenditure</t>
  </si>
  <si>
    <t>Daily inventory Outstanding (DIO)</t>
  </si>
  <si>
    <t>Daily payable Outstanding (DPO)</t>
  </si>
  <si>
    <t>(-) Change in NWC</t>
  </si>
  <si>
    <t>Current Assets</t>
  </si>
  <si>
    <t>Accrued salaries and benefits at % of revenue</t>
  </si>
  <si>
    <t>Accrued membership rewards at % of revenue</t>
  </si>
  <si>
    <t>Current liabilities</t>
  </si>
  <si>
    <t>Deferred memberships fees at % of revenue</t>
  </si>
  <si>
    <t>Unlevered free cash flow (FCFC)</t>
  </si>
  <si>
    <t>Other current liabilities at % of revenue</t>
  </si>
  <si>
    <t>Revenue growth</t>
  </si>
  <si>
    <t>COGS% of Revenue</t>
  </si>
  <si>
    <t>SG&amp;A% of Revenue</t>
  </si>
  <si>
    <t>Tax% of EBIT</t>
  </si>
  <si>
    <t>Unlevered free cash flow</t>
  </si>
  <si>
    <t>Fiscal Year</t>
  </si>
  <si>
    <t>Projection Year</t>
  </si>
  <si>
    <t xml:space="preserve">Present value of free cash flow </t>
  </si>
  <si>
    <t>Implied Share price calculation</t>
  </si>
  <si>
    <t>Sum PV of FCF</t>
  </si>
  <si>
    <t>Growth rate</t>
  </si>
  <si>
    <t>Terminal value</t>
  </si>
  <si>
    <t xml:space="preserve">PV of terminal value </t>
  </si>
  <si>
    <t>Enterprise value</t>
  </si>
  <si>
    <t xml:space="preserve">(+) Cash </t>
  </si>
  <si>
    <t xml:space="preserve">(-) Debt </t>
  </si>
  <si>
    <t>(-) Minority interest</t>
  </si>
  <si>
    <t>Equity value</t>
  </si>
  <si>
    <t>Diluted Share Outstanding (mm)</t>
  </si>
  <si>
    <t>Implied Share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</si>
</sst>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%"/>
  </numFmts>
  <fonts count="13">
    <font>
      <sz val="10.0"/>
      <color rgb="FF000000"/>
      <name val="Arial"/>
      <scheme val="minor"/>
    </font>
    <font>
      <sz val="10.0"/>
      <color theme="1"/>
      <name val="Times New Roman"/>
    </font>
    <font>
      <b/>
      <sz val="10.0"/>
      <color rgb="FFFFFFFF"/>
      <name val="Times New Roman"/>
    </font>
    <font/>
    <font>
      <sz val="10.0"/>
      <color rgb="FF333333"/>
      <name val="Times New Roman"/>
    </font>
    <font>
      <sz val="10.0"/>
      <color rgb="FF070808"/>
      <name val="Times New Roman"/>
    </font>
    <font>
      <sz val="10.0"/>
      <color rgb="FF000000"/>
      <name val="Times New Roman"/>
    </font>
    <font>
      <b/>
      <sz val="10.0"/>
      <color rgb="FF333333"/>
      <name val="Times New Roman"/>
    </font>
    <font>
      <sz val="10.0"/>
      <color rgb="FF0C0C0C"/>
      <name val="Times New Roman"/>
    </font>
    <font>
      <sz val="10.0"/>
      <color rgb="FF050606"/>
      <name val="Times New Roman"/>
    </font>
    <font>
      <b/>
      <sz val="10.0"/>
      <color theme="1"/>
      <name val="Times New Roman"/>
    </font>
    <font>
      <sz val="10.0"/>
      <color rgb="FF080808"/>
      <name val="Times New Roman"/>
    </font>
    <font>
      <sz val="10.0"/>
      <color rgb="FF0A0A0A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DFAFA"/>
        <bgColor rgb="FFFDFAFA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1" fillId="0" fontId="1" numFmtId="0" xfId="0" applyAlignment="1" applyBorder="1" applyFont="1">
      <alignment readingOrder="0"/>
    </xf>
    <xf borderId="2" fillId="0" fontId="3" numFmtId="0" xfId="0" applyBorder="1" applyFont="1"/>
    <xf borderId="0" fillId="0" fontId="1" numFmtId="3" xfId="0" applyAlignment="1" applyFont="1" applyNumberFormat="1">
      <alignment horizontal="right" readingOrder="0"/>
    </xf>
    <xf borderId="3" fillId="0" fontId="3" numFmtId="0" xfId="0" applyBorder="1" applyFont="1"/>
    <xf borderId="4" fillId="0" fontId="1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2" fillId="2" fontId="3" numFmtId="0" xfId="0" applyBorder="1" applyFont="1"/>
    <xf borderId="0" fillId="0" fontId="1" numFmtId="0" xfId="0" applyAlignment="1" applyFont="1">
      <alignment horizontal="right"/>
    </xf>
    <xf borderId="0" fillId="0" fontId="4" numFmtId="3" xfId="0" applyAlignment="1" applyFont="1" applyNumberFormat="1">
      <alignment horizontal="right" readingOrder="0"/>
    </xf>
    <xf borderId="0" fillId="0" fontId="1" numFmtId="9" xfId="0" applyAlignment="1" applyFont="1" applyNumberFormat="1">
      <alignment horizontal="right" readingOrder="0"/>
    </xf>
    <xf borderId="0" fillId="0" fontId="4" numFmtId="0" xfId="0" applyAlignment="1" applyFont="1">
      <alignment horizontal="right"/>
    </xf>
    <xf borderId="4" fillId="3" fontId="1" numFmtId="0" xfId="0" applyAlignment="1" applyBorder="1" applyFill="1" applyFont="1">
      <alignment readingOrder="0"/>
    </xf>
    <xf borderId="4" fillId="0" fontId="5" numFmtId="3" xfId="0" applyAlignment="1" applyBorder="1" applyFont="1" applyNumberFormat="1">
      <alignment readingOrder="0"/>
    </xf>
    <xf borderId="0" fillId="3" fontId="6" numFmtId="10" xfId="0" applyAlignment="1" applyFont="1" applyNumberFormat="1">
      <alignment horizontal="right" readingOrder="0" shrinkToFit="0" wrapText="0"/>
    </xf>
    <xf borderId="0" fillId="3" fontId="7" numFmtId="0" xfId="0" applyFont="1"/>
    <xf borderId="4" fillId="0" fontId="1" numFmtId="3" xfId="0" applyAlignment="1" applyBorder="1" applyFont="1" applyNumberFormat="1">
      <alignment readingOrder="0"/>
    </xf>
    <xf borderId="4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horizontal="right" vertical="bottom"/>
    </xf>
    <xf borderId="4" fillId="4" fontId="1" numFmtId="0" xfId="0" applyAlignment="1" applyBorder="1" applyFill="1" applyFont="1">
      <alignment readingOrder="0"/>
    </xf>
    <xf borderId="0" fillId="0" fontId="1" numFmtId="10" xfId="0" applyAlignment="1" applyFont="1" applyNumberFormat="1">
      <alignment horizontal="right"/>
    </xf>
    <xf borderId="4" fillId="4" fontId="4" numFmtId="3" xfId="0" applyAlignment="1" applyBorder="1" applyFont="1" applyNumberFormat="1">
      <alignment horizontal="right" readingOrder="0"/>
    </xf>
    <xf borderId="4" fillId="3" fontId="4" numFmtId="3" xfId="0" applyAlignment="1" applyBorder="1" applyFont="1" applyNumberFormat="1">
      <alignment horizontal="right" readingOrder="0"/>
    </xf>
    <xf borderId="4" fillId="0" fontId="1" numFmtId="3" xfId="0" applyBorder="1" applyFont="1" applyNumberFormat="1"/>
    <xf borderId="4" fillId="0" fontId="8" numFmtId="3" xfId="0" applyAlignment="1" applyBorder="1" applyFont="1" applyNumberFormat="1">
      <alignment readingOrder="0"/>
    </xf>
    <xf borderId="4" fillId="0" fontId="9" numFmtId="3" xfId="0" applyAlignment="1" applyBorder="1" applyFont="1" applyNumberFormat="1">
      <alignment readingOrder="0"/>
    </xf>
    <xf borderId="2" fillId="0" fontId="1" numFmtId="0" xfId="0" applyAlignment="1" applyBorder="1" applyFont="1">
      <alignment readingOrder="0"/>
    </xf>
    <xf borderId="4" fillId="3" fontId="1" numFmtId="3" xfId="0" applyAlignment="1" applyBorder="1" applyFont="1" applyNumberFormat="1">
      <alignment readingOrder="0"/>
    </xf>
    <xf borderId="4" fillId="3" fontId="4" numFmtId="3" xfId="0" applyAlignment="1" applyBorder="1" applyFont="1" applyNumberFormat="1">
      <alignment readingOrder="0"/>
    </xf>
    <xf borderId="2" fillId="0" fontId="1" numFmtId="9" xfId="0" applyAlignment="1" applyBorder="1" applyFont="1" applyNumberFormat="1">
      <alignment horizontal="right"/>
    </xf>
    <xf borderId="0" fillId="5" fontId="1" numFmtId="3" xfId="0" applyFill="1" applyFont="1" applyNumberFormat="1"/>
    <xf borderId="4" fillId="4" fontId="10" numFmtId="0" xfId="0" applyAlignment="1" applyBorder="1" applyFont="1">
      <alignment readingOrder="0"/>
    </xf>
    <xf borderId="4" fillId="0" fontId="11" numFmtId="3" xfId="0" applyAlignment="1" applyBorder="1" applyFont="1" applyNumberFormat="1">
      <alignment readingOrder="0"/>
    </xf>
    <xf borderId="4" fillId="4" fontId="1" numFmtId="3" xfId="0" applyAlignment="1" applyBorder="1" applyFont="1" applyNumberFormat="1">
      <alignment readingOrder="0"/>
    </xf>
    <xf borderId="4" fillId="0" fontId="1" numFmtId="3" xfId="0" applyAlignment="1" applyBorder="1" applyFont="1" applyNumberFormat="1">
      <alignment readingOrder="0"/>
    </xf>
    <xf borderId="0" fillId="3" fontId="6" numFmtId="4" xfId="0" applyAlignment="1" applyFont="1" applyNumberFormat="1">
      <alignment horizontal="right" readingOrder="0" shrinkToFit="0" wrapText="0"/>
    </xf>
    <xf borderId="0" fillId="0" fontId="1" numFmtId="9" xfId="0" applyAlignment="1" applyFont="1" applyNumberFormat="1">
      <alignment horizontal="right"/>
    </xf>
    <xf borderId="2" fillId="0" fontId="1" numFmtId="9" xfId="0" applyBorder="1" applyFont="1" applyNumberFormat="1"/>
    <xf borderId="4" fillId="0" fontId="12" numFmtId="3" xfId="0" applyAlignment="1" applyBorder="1" applyFont="1" applyNumberFormat="1">
      <alignment readingOrder="0"/>
    </xf>
    <xf borderId="4" fillId="0" fontId="1" numFmtId="0" xfId="0" applyBorder="1" applyFont="1"/>
    <xf borderId="4" fillId="3" fontId="1" numFmtId="3" xfId="0" applyBorder="1" applyFont="1" applyNumberFormat="1"/>
    <xf borderId="4" fillId="0" fontId="1" numFmtId="3" xfId="0" applyBorder="1" applyFont="1" applyNumberFormat="1"/>
    <xf borderId="4" fillId="0" fontId="1" numFmtId="10" xfId="0" applyBorder="1" applyFont="1" applyNumberFormat="1"/>
    <xf borderId="4" fillId="0" fontId="1" numFmtId="3" xfId="0" applyAlignment="1" applyBorder="1" applyFont="1" applyNumberFormat="1">
      <alignment horizontal="right" readingOrder="0" vertical="bottom"/>
    </xf>
    <xf borderId="4" fillId="5" fontId="1" numFmtId="3" xfId="0" applyBorder="1" applyFont="1" applyNumberFormat="1"/>
    <xf borderId="4" fillId="0" fontId="1" numFmtId="3" xfId="0" applyAlignment="1" applyBorder="1" applyFont="1" applyNumberFormat="1">
      <alignment horizontal="right" vertical="bottom"/>
    </xf>
    <xf borderId="4" fillId="4" fontId="1" numFmtId="3" xfId="0" applyBorder="1" applyFont="1" applyNumberFormat="1"/>
    <xf borderId="4" fillId="3" fontId="4" numFmtId="3" xfId="0" applyAlignment="1" applyBorder="1" applyFont="1" applyNumberFormat="1">
      <alignment horizontal="right" readingOrder="0"/>
    </xf>
    <xf borderId="4" fillId="0" fontId="1" numFmtId="2" xfId="0" applyBorder="1" applyFont="1" applyNumberFormat="1"/>
    <xf borderId="4" fillId="3" fontId="6" numFmtId="0" xfId="0" applyAlignment="1" applyBorder="1" applyFont="1">
      <alignment horizontal="left" readingOrder="0"/>
    </xf>
    <xf borderId="4" fillId="3" fontId="4" numFmtId="3" xfId="0" applyAlignment="1" applyBorder="1" applyFont="1" applyNumberFormat="1">
      <alignment horizontal="right" vertical="bottom"/>
    </xf>
    <xf borderId="4" fillId="0" fontId="1" numFmtId="164" xfId="0" applyBorder="1" applyFont="1" applyNumberFormat="1"/>
    <xf borderId="2" fillId="3" fontId="3" numFmtId="0" xfId="0" applyBorder="1" applyFont="1"/>
    <xf borderId="4" fillId="3" fontId="1" numFmtId="0" xfId="0" applyAlignment="1" applyBorder="1" applyFont="1">
      <alignment horizontal="right" readingOrder="0" vertical="bottom"/>
    </xf>
    <xf borderId="1" fillId="0" fontId="10" numFmtId="0" xfId="0" applyAlignment="1" applyBorder="1" applyFont="1">
      <alignment horizontal="center" readingOrder="0"/>
    </xf>
    <xf borderId="4" fillId="0" fontId="1" numFmtId="10" xfId="0" applyAlignment="1" applyBorder="1" applyFont="1" applyNumberFormat="1">
      <alignment readingOrder="0"/>
    </xf>
    <xf borderId="4" fillId="0" fontId="1" numFmtId="9" xfId="0" applyBorder="1" applyFont="1" applyNumberFormat="1"/>
    <xf borderId="4" fillId="0" fontId="1" numFmtId="3" xfId="0" applyAlignment="1" applyBorder="1" applyFont="1" applyNumberFormat="1">
      <alignment horizontal="righ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2" pivot="0" name="Fixed asset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5" displayName="Table_1" name="Table_1" id="1">
  <tableColumns count="1">
    <tableColumn name="Column1" id="1"/>
  </tableColumns>
  <tableStyleInfo name="Fixed asse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5"/>
    <col customWidth="1" min="3" max="3" width="15.63"/>
    <col customWidth="1" min="4" max="9" width="14.75"/>
    <col customWidth="1" min="12" max="12" width="14.75"/>
  </cols>
  <sheetData>
    <row r="1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9" t="s">
        <v>3</v>
      </c>
      <c r="C2" s="10"/>
      <c r="D2" s="5"/>
      <c r="E2" s="5"/>
      <c r="F2" s="5"/>
      <c r="G2" s="5"/>
      <c r="H2" s="5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5" t="s">
        <v>5</v>
      </c>
      <c r="C3" s="15">
        <v>2021.0</v>
      </c>
      <c r="D3" s="8">
        <v>2022.0</v>
      </c>
      <c r="E3" s="8">
        <v>2023.0</v>
      </c>
      <c r="F3" s="8">
        <v>2024.0</v>
      </c>
      <c r="G3" s="8">
        <v>2025.0</v>
      </c>
      <c r="H3" s="8">
        <v>2026.0</v>
      </c>
      <c r="I3" s="8">
        <v>2027.0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2" t="s">
        <v>11</v>
      </c>
      <c r="C4" s="24">
        <v>2.76744138506E12</v>
      </c>
      <c r="D4" s="25">
        <v>2.93552989899E12</v>
      </c>
      <c r="E4" s="25">
        <v>3.228718536079E12</v>
      </c>
      <c r="F4" s="26">
        <f t="shared" ref="F4:I4" si="1">E4*F25</f>
        <v>3164144165357</v>
      </c>
      <c r="G4" s="26">
        <f t="shared" si="1"/>
        <v>3489131013331</v>
      </c>
      <c r="H4" s="26">
        <f t="shared" si="1"/>
        <v>3847497014034</v>
      </c>
      <c r="I4" s="26">
        <f t="shared" si="1"/>
        <v>4242670514935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5" t="s">
        <v>16</v>
      </c>
      <c r="C5" s="30">
        <v>2.578953875169E12</v>
      </c>
      <c r="D5" s="31">
        <v>2.713295819602E12</v>
      </c>
      <c r="E5" s="19">
        <v>2.999441035747E12</v>
      </c>
      <c r="F5" s="26">
        <f t="shared" ref="F5:I5" si="2">F4*F27</f>
        <v>2937564240842</v>
      </c>
      <c r="G5" s="26">
        <f t="shared" si="2"/>
        <v>3239279236575</v>
      </c>
      <c r="H5" s="26">
        <f t="shared" si="2"/>
        <v>3571983150742</v>
      </c>
      <c r="I5" s="26">
        <f t="shared" si="2"/>
        <v>3938858831655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4" t="s">
        <v>19</v>
      </c>
      <c r="C6" s="36">
        <f t="shared" ref="C6:I6" si="3">C4-C5</f>
        <v>188487509891</v>
      </c>
      <c r="D6" s="37">
        <f t="shared" si="3"/>
        <v>222234079388</v>
      </c>
      <c r="E6" s="37">
        <f t="shared" si="3"/>
        <v>229277500332</v>
      </c>
      <c r="F6" s="37">
        <f t="shared" si="3"/>
        <v>226579924515</v>
      </c>
      <c r="G6" s="37">
        <f t="shared" si="3"/>
        <v>249851776755</v>
      </c>
      <c r="H6" s="37">
        <f t="shared" si="3"/>
        <v>275513863293</v>
      </c>
      <c r="I6" s="37">
        <f t="shared" si="3"/>
        <v>303811683280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5" t="s">
        <v>26</v>
      </c>
      <c r="C7" s="30">
        <v>0.0</v>
      </c>
      <c r="D7" s="37">
        <v>0.0</v>
      </c>
      <c r="E7" s="37">
        <v>0.0</v>
      </c>
      <c r="F7" s="37">
        <v>0.0</v>
      </c>
      <c r="G7" s="37">
        <v>0.0</v>
      </c>
      <c r="H7" s="37">
        <v>0.0</v>
      </c>
      <c r="I7" s="37">
        <v>0.0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2" t="s">
        <v>30</v>
      </c>
      <c r="C8" s="36">
        <v>3.629620609E10</v>
      </c>
      <c r="D8" s="19">
        <v>4.0446131662E10</v>
      </c>
      <c r="E8" s="19">
        <v>3.3894216123E10</v>
      </c>
      <c r="F8" s="26">
        <f t="shared" ref="F8:I8" si="4">F4*F28</f>
        <v>39437159623</v>
      </c>
      <c r="G8" s="26">
        <f t="shared" si="4"/>
        <v>43487720384</v>
      </c>
      <c r="H8" s="26">
        <f t="shared" si="4"/>
        <v>47954311169</v>
      </c>
      <c r="I8" s="26">
        <f t="shared" si="4"/>
        <v>52879662107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5" t="s">
        <v>32</v>
      </c>
      <c r="C9" s="43">
        <f t="shared" ref="C9:I9" si="5">SUM(C7:C8)</f>
        <v>36296206090</v>
      </c>
      <c r="D9" s="44">
        <f t="shared" si="5"/>
        <v>40446131662</v>
      </c>
      <c r="E9" s="44">
        <f t="shared" si="5"/>
        <v>33894216123</v>
      </c>
      <c r="F9" s="44">
        <f t="shared" si="5"/>
        <v>39437159623</v>
      </c>
      <c r="G9" s="44">
        <f t="shared" si="5"/>
        <v>43487720384</v>
      </c>
      <c r="H9" s="44">
        <f t="shared" si="5"/>
        <v>47954311169</v>
      </c>
      <c r="I9" s="44">
        <f t="shared" si="5"/>
        <v>52879662107</v>
      </c>
      <c r="J9" s="1"/>
      <c r="K9" s="42"/>
      <c r="L9" s="8">
        <v>2020.0</v>
      </c>
      <c r="M9" s="8">
        <v>2021.0</v>
      </c>
      <c r="N9" s="8">
        <v>2022.0</v>
      </c>
      <c r="O9" s="8">
        <v>2023.0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4" t="s">
        <v>37</v>
      </c>
      <c r="C10" s="43">
        <f t="shared" ref="C10:I10" si="6">C6-C9</f>
        <v>152191303801</v>
      </c>
      <c r="D10" s="44">
        <f t="shared" si="6"/>
        <v>181787947726</v>
      </c>
      <c r="E10" s="44">
        <f t="shared" si="6"/>
        <v>195383284209</v>
      </c>
      <c r="F10" s="44">
        <f t="shared" si="6"/>
        <v>187142764893</v>
      </c>
      <c r="G10" s="44">
        <f t="shared" si="6"/>
        <v>206364056372</v>
      </c>
      <c r="H10" s="44">
        <f t="shared" si="6"/>
        <v>227559552124</v>
      </c>
      <c r="I10" s="44">
        <f t="shared" si="6"/>
        <v>250932021173</v>
      </c>
      <c r="J10" s="1"/>
      <c r="K10" s="8" t="s">
        <v>18</v>
      </c>
      <c r="L10" s="46">
        <v>-2.50453675286E11</v>
      </c>
      <c r="M10" s="46">
        <v>-2.53302574339E11</v>
      </c>
      <c r="N10" s="19">
        <v>-2.7327690098E11</v>
      </c>
      <c r="O10" s="19">
        <v>-2.89499906187E11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5" t="s">
        <v>41</v>
      </c>
      <c r="C11" s="47">
        <f t="shared" ref="C11:E11" si="7">ABS(M12)</f>
        <v>2848899053</v>
      </c>
      <c r="D11" s="26">
        <f t="shared" si="7"/>
        <v>19974326641</v>
      </c>
      <c r="E11" s="26">
        <f t="shared" si="7"/>
        <v>16223005207</v>
      </c>
      <c r="F11" s="26">
        <f>'Fixed assets'!F5</f>
        <v>10713526557</v>
      </c>
      <c r="G11" s="26">
        <f>'Fixed assets'!G5</f>
        <v>9507928181</v>
      </c>
      <c r="H11" s="26">
        <f>'Fixed assets'!H5</f>
        <v>8437996378</v>
      </c>
      <c r="I11" s="26">
        <f>'Fixed assets'!I5</f>
        <v>7488464524</v>
      </c>
      <c r="J11" s="1"/>
      <c r="K11" s="42"/>
      <c r="L11" s="48"/>
      <c r="M11" s="42"/>
      <c r="N11" s="8"/>
      <c r="O11" s="4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4" t="s">
        <v>44</v>
      </c>
      <c r="C12" s="49">
        <f t="shared" ref="C12:I12" si="8">C10-C11</f>
        <v>149342404748</v>
      </c>
      <c r="D12" s="44">
        <f t="shared" si="8"/>
        <v>161813621085</v>
      </c>
      <c r="E12" s="44">
        <f t="shared" si="8"/>
        <v>179160279002</v>
      </c>
      <c r="F12" s="26">
        <f t="shared" si="8"/>
        <v>176429238335</v>
      </c>
      <c r="G12" s="26">
        <f t="shared" si="8"/>
        <v>196856128191</v>
      </c>
      <c r="H12" s="26">
        <f t="shared" si="8"/>
        <v>219121555745</v>
      </c>
      <c r="I12" s="26">
        <f t="shared" si="8"/>
        <v>243443556648</v>
      </c>
      <c r="J12" s="1"/>
      <c r="K12" s="42"/>
      <c r="L12" s="48"/>
      <c r="M12" s="48">
        <f t="shared" ref="M12:O12" si="9">M10-L10</f>
        <v>-2848899053</v>
      </c>
      <c r="N12" s="26">
        <f t="shared" si="9"/>
        <v>-19974326641</v>
      </c>
      <c r="O12" s="26">
        <f t="shared" si="9"/>
        <v>-16223005207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5" t="s">
        <v>46</v>
      </c>
      <c r="C13" s="30">
        <v>3.4568008955E10</v>
      </c>
      <c r="D13" s="19">
        <v>3.8732974636E10</v>
      </c>
      <c r="E13" s="19">
        <v>5.4555998716E10</v>
      </c>
      <c r="F13" s="26">
        <f t="shared" ref="F13:I13" si="10">F12*F29</f>
        <v>45597867390</v>
      </c>
      <c r="G13" s="26">
        <f t="shared" si="10"/>
        <v>50877165899</v>
      </c>
      <c r="H13" s="26">
        <f t="shared" si="10"/>
        <v>56631631670</v>
      </c>
      <c r="I13" s="26">
        <f t="shared" si="10"/>
        <v>62917615684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4" t="s">
        <v>48</v>
      </c>
      <c r="C14" s="49">
        <f t="shared" ref="C14:I14" si="11">C12-C13</f>
        <v>114774395793</v>
      </c>
      <c r="D14" s="44">
        <f t="shared" si="11"/>
        <v>123080646449</v>
      </c>
      <c r="E14" s="44">
        <f t="shared" si="11"/>
        <v>124604280286</v>
      </c>
      <c r="F14" s="44">
        <f t="shared" si="11"/>
        <v>130831370945</v>
      </c>
      <c r="G14" s="44">
        <f t="shared" si="11"/>
        <v>145978962292</v>
      </c>
      <c r="H14" s="44">
        <f t="shared" si="11"/>
        <v>162489924075</v>
      </c>
      <c r="I14" s="44">
        <f t="shared" si="11"/>
        <v>180525940964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5" t="s">
        <v>51</v>
      </c>
      <c r="C15" s="43">
        <f t="shared" ref="C15:I15" si="12">C11</f>
        <v>2848899053</v>
      </c>
      <c r="D15" s="44">
        <f t="shared" si="12"/>
        <v>19974326641</v>
      </c>
      <c r="E15" s="44">
        <f t="shared" si="12"/>
        <v>16223005207</v>
      </c>
      <c r="F15" s="44">
        <f t="shared" si="12"/>
        <v>10713526557</v>
      </c>
      <c r="G15" s="44">
        <f t="shared" si="12"/>
        <v>9507928181</v>
      </c>
      <c r="H15" s="44">
        <f t="shared" si="12"/>
        <v>8437996378</v>
      </c>
      <c r="I15" s="44">
        <f t="shared" si="12"/>
        <v>7488464524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2" t="s">
        <v>52</v>
      </c>
      <c r="C16" s="49">
        <f>'Fixed assets'!C6</f>
        <v>-17951395999</v>
      </c>
      <c r="D16" s="44">
        <f>'Fixed assets'!D6</f>
        <v>917236071</v>
      </c>
      <c r="E16" s="44">
        <f>'Fixed assets'!E6</f>
        <v>70185912</v>
      </c>
      <c r="F16" s="44">
        <f>'Fixed assets'!F6</f>
        <v>-3921065312</v>
      </c>
      <c r="G16" s="44">
        <f>'Fixed assets'!G6</f>
        <v>-3479825918</v>
      </c>
      <c r="H16" s="44">
        <f>'Fixed assets'!H6</f>
        <v>-3088239407</v>
      </c>
      <c r="I16" s="44">
        <f>'Fixed assets'!I6</f>
        <v>-2740718318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5" t="s">
        <v>55</v>
      </c>
      <c r="C17" s="43">
        <f>C18-'Net working capital'!C7-'Net working capital'!C14</f>
        <v>-528395938122</v>
      </c>
      <c r="D17" s="44">
        <f>D18-'Net working capital'!D7-'Net working capital'!D14</f>
        <v>-451596549470</v>
      </c>
      <c r="E17" s="44">
        <f>E18-'Net working capital'!E7-'Net working capital'!E14</f>
        <v>-1278398998270</v>
      </c>
      <c r="F17" s="44">
        <f>F18-'Net working capital'!F7-'Net working capital'!F14</f>
        <v>-915244454257</v>
      </c>
      <c r="G17" s="44">
        <f>G18-'Net working capital'!G7-'Net working capital'!G14</f>
        <v>-919963975239</v>
      </c>
      <c r="H17" s="44">
        <f>H18-'Net working capital'!H7-'Net working capital'!H14</f>
        <v>-1003764515266</v>
      </c>
      <c r="I17" s="44">
        <f>I18-'Net working capital'!I7-'Net working capital'!I14</f>
        <v>-1106860407512</v>
      </c>
      <c r="J17" s="1"/>
      <c r="K17" s="42"/>
      <c r="L17" s="8" t="s">
        <v>47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4" t="s">
        <v>1</v>
      </c>
      <c r="C18" s="49">
        <f t="shared" ref="C18:I18" si="13">C19-C20</f>
        <v>805734105517</v>
      </c>
      <c r="D18" s="44">
        <f t="shared" si="13"/>
        <v>1095372525817</v>
      </c>
      <c r="E18" s="44">
        <f t="shared" si="13"/>
        <v>1051664163229</v>
      </c>
      <c r="F18" s="44">
        <f t="shared" si="13"/>
        <v>1022558702526</v>
      </c>
      <c r="G18" s="44">
        <f t="shared" si="13"/>
        <v>1138283611695</v>
      </c>
      <c r="H18" s="44">
        <f t="shared" si="13"/>
        <v>1255195858335</v>
      </c>
      <c r="I18" s="44">
        <f t="shared" si="13"/>
        <v>1384116073177</v>
      </c>
      <c r="J18" s="1"/>
      <c r="K18" s="8">
        <v>2020.0</v>
      </c>
      <c r="L18" s="53">
        <v>2.76744138506E12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5" t="s">
        <v>56</v>
      </c>
      <c r="C19" s="43">
        <f>'Net working capital'!D7</f>
        <v>1176351590402</v>
      </c>
      <c r="D19" s="44">
        <f>'Net working capital'!E7</f>
        <v>1712717843658</v>
      </c>
      <c r="E19" s="44">
        <f>'Net working capital'!F7</f>
        <v>1494733660006</v>
      </c>
      <c r="F19" s="44">
        <f>'Net working capital'!G7</f>
        <v>1540403144730</v>
      </c>
      <c r="G19" s="44">
        <f>'Net working capital'!H7</f>
        <v>1698621992648</v>
      </c>
      <c r="H19" s="44">
        <f>'Net working capital'!I7</f>
        <v>1873086169512</v>
      </c>
      <c r="I19" s="44">
        <f>'Net working capital'!J7</f>
        <v>2065469429692</v>
      </c>
      <c r="J19" s="1"/>
      <c r="K19" s="8">
        <v>2021.0</v>
      </c>
      <c r="L19" s="48">
        <v>2.178704787315E12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2" t="s">
        <v>59</v>
      </c>
      <c r="C20" s="49">
        <f>'Net working capital'!D14</f>
        <v>370617484885</v>
      </c>
      <c r="D20" s="44">
        <f>'Net working capital'!E14</f>
        <v>617345317841</v>
      </c>
      <c r="E20" s="44">
        <f>'Net working capital'!F14</f>
        <v>443069496777</v>
      </c>
      <c r="F20" s="44">
        <f>'Net working capital'!G14</f>
        <v>517844442204</v>
      </c>
      <c r="G20" s="44">
        <f>'Net working capital'!H14</f>
        <v>560338380953</v>
      </c>
      <c r="H20" s="44">
        <f>'Net working capital'!I14</f>
        <v>617890311177</v>
      </c>
      <c r="I20" s="44">
        <f>'Net working capital'!J14</f>
        <v>681353356515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5" t="s">
        <v>61</v>
      </c>
      <c r="C21" s="47">
        <f t="shared" ref="C21:I21" si="14">C14+C15-C16-C17</f>
        <v>663970628967</v>
      </c>
      <c r="D21" s="47">
        <f t="shared" si="14"/>
        <v>593734286489</v>
      </c>
      <c r="E21" s="47">
        <f t="shared" si="14"/>
        <v>1419156097851</v>
      </c>
      <c r="F21" s="47">
        <f t="shared" si="14"/>
        <v>1060710417072</v>
      </c>
      <c r="G21" s="47">
        <f t="shared" si="14"/>
        <v>1078930691629</v>
      </c>
      <c r="H21" s="47">
        <f t="shared" si="14"/>
        <v>1177780675127</v>
      </c>
      <c r="I21" s="47">
        <f t="shared" si="14"/>
        <v>1297615531319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4" t="s">
        <v>45</v>
      </c>
      <c r="C23" s="5"/>
      <c r="D23" s="5"/>
      <c r="E23" s="5"/>
      <c r="F23" s="5"/>
      <c r="G23" s="5"/>
      <c r="H23" s="5"/>
      <c r="I23" s="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8" t="s">
        <v>5</v>
      </c>
      <c r="C24" s="8">
        <v>2021.0</v>
      </c>
      <c r="D24" s="8">
        <v>2022.0</v>
      </c>
      <c r="E24" s="8">
        <v>2023.0</v>
      </c>
      <c r="F24" s="8">
        <v>2024.0</v>
      </c>
      <c r="G24" s="8">
        <v>2025.0</v>
      </c>
      <c r="H24" s="8">
        <v>2026.0</v>
      </c>
      <c r="I24" s="8">
        <v>2027.0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8" t="s">
        <v>63</v>
      </c>
      <c r="C25" s="45">
        <f>L18/L19</f>
        <v>1.270223208</v>
      </c>
      <c r="D25" s="45">
        <f t="shared" ref="D25:E25" si="15">D4/C4</f>
        <v>1.060737877</v>
      </c>
      <c r="E25" s="45">
        <f t="shared" si="15"/>
        <v>1.099875882</v>
      </c>
      <c r="F25" s="45">
        <f>0.98</f>
        <v>0.98</v>
      </c>
      <c r="G25" s="45">
        <f t="shared" ref="G25:I25" si="16">AVERAGE($C$25:$F$25)</f>
        <v>1.102709242</v>
      </c>
      <c r="H25" s="45">
        <f t="shared" si="16"/>
        <v>1.102709242</v>
      </c>
      <c r="I25" s="45">
        <f t="shared" si="16"/>
        <v>1.102709242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42"/>
      <c r="C26" s="42"/>
      <c r="D26" s="42"/>
      <c r="E26" s="42"/>
      <c r="F26" s="42"/>
      <c r="G26" s="42"/>
      <c r="H26" s="42"/>
      <c r="I26" s="4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8" t="s">
        <v>64</v>
      </c>
      <c r="C27" s="45">
        <f t="shared" ref="C27:E27" si="17">C5/C4</f>
        <v>0.9318910562</v>
      </c>
      <c r="D27" s="45">
        <f t="shared" si="17"/>
        <v>0.9242950721</v>
      </c>
      <c r="E27" s="45">
        <f t="shared" si="17"/>
        <v>0.9289880806</v>
      </c>
      <c r="F27" s="45">
        <f t="shared" ref="F27:I27" si="18">AVERAGE($C$27:$E$27)</f>
        <v>0.928391403</v>
      </c>
      <c r="G27" s="45">
        <f t="shared" si="18"/>
        <v>0.928391403</v>
      </c>
      <c r="H27" s="45">
        <f t="shared" si="18"/>
        <v>0.928391403</v>
      </c>
      <c r="I27" s="45">
        <f t="shared" si="18"/>
        <v>0.928391403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8" t="s">
        <v>65</v>
      </c>
      <c r="C28" s="45">
        <f t="shared" ref="C28:E28" si="19">C8/C4</f>
        <v>0.01311543807</v>
      </c>
      <c r="D28" s="45">
        <f t="shared" si="19"/>
        <v>0.0137781365</v>
      </c>
      <c r="E28" s="45">
        <f t="shared" si="19"/>
        <v>0.01049773021</v>
      </c>
      <c r="F28" s="45">
        <f t="shared" ref="F28:I28" si="20">AVERAGE($C$28:$E$28)</f>
        <v>0.01246376826</v>
      </c>
      <c r="G28" s="45">
        <f t="shared" si="20"/>
        <v>0.01246376826</v>
      </c>
      <c r="H28" s="45">
        <f t="shared" si="20"/>
        <v>0.01246376826</v>
      </c>
      <c r="I28" s="45">
        <f t="shared" si="20"/>
        <v>0.01246376826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8" t="s">
        <v>66</v>
      </c>
      <c r="C29" s="45">
        <f t="shared" ref="C29:E29" si="21">C13/C12</f>
        <v>0.231468142</v>
      </c>
      <c r="D29" s="45">
        <f t="shared" si="21"/>
        <v>0.2393678256</v>
      </c>
      <c r="E29" s="45">
        <f t="shared" si="21"/>
        <v>0.3045094539</v>
      </c>
      <c r="F29" s="45">
        <f t="shared" ref="F29:I29" si="22">AVERAGE($C$29:$E$29)</f>
        <v>0.2584484738</v>
      </c>
      <c r="G29" s="45">
        <f t="shared" si="22"/>
        <v>0.2584484738</v>
      </c>
      <c r="H29" s="45">
        <f t="shared" si="22"/>
        <v>0.2584484738</v>
      </c>
      <c r="I29" s="45">
        <f t="shared" si="22"/>
        <v>0.2584484738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">
    <mergeCell ref="B2:I2"/>
    <mergeCell ref="B23:I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4" width="16.0"/>
    <col customWidth="1" min="5" max="8" width="13.5"/>
    <col customWidth="1" min="9" max="9" width="1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7</v>
      </c>
      <c r="C2" s="5"/>
      <c r="D2" s="5"/>
      <c r="E2" s="5"/>
      <c r="F2" s="5"/>
      <c r="G2" s="5"/>
      <c r="H2" s="5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5</v>
      </c>
      <c r="C3" s="20">
        <v>2021.0</v>
      </c>
      <c r="D3" s="21">
        <v>2022.0</v>
      </c>
      <c r="E3" s="21">
        <v>2023.0</v>
      </c>
      <c r="F3" s="21">
        <v>2024.0</v>
      </c>
      <c r="G3" s="21">
        <v>2025.0</v>
      </c>
      <c r="H3" s="21">
        <v>2026.0</v>
      </c>
      <c r="I3" s="21">
        <v>2027.0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13</v>
      </c>
      <c r="C4" s="27">
        <v>1.86060221314E11</v>
      </c>
      <c r="D4" s="19">
        <f t="shared" ref="D4:I4" si="1">C7</f>
        <v>165259926262</v>
      </c>
      <c r="E4" s="19">
        <f t="shared" si="1"/>
        <v>146202835692</v>
      </c>
      <c r="F4" s="19">
        <f t="shared" si="1"/>
        <v>130050016397</v>
      </c>
      <c r="G4" s="19">
        <f t="shared" si="1"/>
        <v>115415424527</v>
      </c>
      <c r="H4" s="19">
        <f t="shared" si="1"/>
        <v>102427670429</v>
      </c>
      <c r="I4" s="19">
        <f t="shared" si="1"/>
        <v>90901434643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" t="s">
        <v>18</v>
      </c>
      <c r="C5" s="33">
        <v>2.848899053E9</v>
      </c>
      <c r="D5" s="26">
        <v>1.9974326641E10</v>
      </c>
      <c r="E5" s="26">
        <v>1.6223005207E10</v>
      </c>
      <c r="F5" s="26">
        <f t="shared" ref="F5:I5" si="2">F4*F11</f>
        <v>10713526557</v>
      </c>
      <c r="G5" s="26">
        <f t="shared" si="2"/>
        <v>9507928181</v>
      </c>
      <c r="H5" s="26">
        <f t="shared" si="2"/>
        <v>8437996378</v>
      </c>
      <c r="I5" s="26">
        <f t="shared" si="2"/>
        <v>7488464524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" t="s">
        <v>24</v>
      </c>
      <c r="C6" s="26">
        <f t="shared" ref="C6:E6" si="3">C7-C4+C5</f>
        <v>-17951395999</v>
      </c>
      <c r="D6" s="26">
        <f t="shared" si="3"/>
        <v>917236071</v>
      </c>
      <c r="E6" s="26">
        <f t="shared" si="3"/>
        <v>70185912</v>
      </c>
      <c r="F6" s="26">
        <f t="shared" ref="F6:I6" si="4">F12*F4</f>
        <v>-3921065312</v>
      </c>
      <c r="G6" s="26">
        <f t="shared" si="4"/>
        <v>-3479825918</v>
      </c>
      <c r="H6" s="26">
        <f t="shared" si="4"/>
        <v>-3088239407</v>
      </c>
      <c r="I6" s="26">
        <f t="shared" si="4"/>
        <v>-2740718318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29</v>
      </c>
      <c r="C7" s="41">
        <v>1.65259926262E11</v>
      </c>
      <c r="D7" s="27">
        <v>1.46202835692E11</v>
      </c>
      <c r="E7" s="19">
        <v>1.30050016397E11</v>
      </c>
      <c r="F7" s="26">
        <f t="shared" ref="F7:I7" si="5">F6+F4-F5</f>
        <v>115415424527</v>
      </c>
      <c r="G7" s="26">
        <f t="shared" si="5"/>
        <v>102427670429</v>
      </c>
      <c r="H7" s="26">
        <f t="shared" si="5"/>
        <v>90901434643</v>
      </c>
      <c r="I7" s="26">
        <f t="shared" si="5"/>
        <v>80672251801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s">
        <v>33</v>
      </c>
      <c r="C9" s="5"/>
      <c r="D9" s="5"/>
      <c r="E9" s="5"/>
      <c r="F9" s="5"/>
      <c r="G9" s="5"/>
      <c r="H9" s="5"/>
      <c r="I9" s="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" t="s">
        <v>35</v>
      </c>
      <c r="C10" s="20">
        <v>2021.0</v>
      </c>
      <c r="D10" s="21">
        <v>2022.0</v>
      </c>
      <c r="E10" s="21">
        <v>2023.0</v>
      </c>
      <c r="F10" s="21">
        <v>2024.0</v>
      </c>
      <c r="G10" s="21">
        <v>2025.0</v>
      </c>
      <c r="H10" s="21">
        <v>2026.0</v>
      </c>
      <c r="I10" s="21">
        <v>2027.0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 t="s">
        <v>36</v>
      </c>
      <c r="C11" s="45">
        <f t="shared" ref="C11:E11" si="6">C5/C4</f>
        <v>0.0153117041</v>
      </c>
      <c r="D11" s="45">
        <f t="shared" si="6"/>
        <v>0.1208661234</v>
      </c>
      <c r="E11" s="45">
        <f t="shared" si="6"/>
        <v>0.1109623157</v>
      </c>
      <c r="F11" s="45">
        <f t="shared" ref="F11:I11" si="7">AVERAGE($C$11:$E$11)</f>
        <v>0.08238004773</v>
      </c>
      <c r="G11" s="45">
        <f t="shared" si="7"/>
        <v>0.08238004773</v>
      </c>
      <c r="H11" s="45">
        <f t="shared" si="7"/>
        <v>0.08238004773</v>
      </c>
      <c r="I11" s="45">
        <f t="shared" si="7"/>
        <v>0.08238004773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" t="s">
        <v>40</v>
      </c>
      <c r="C12" s="45">
        <f t="shared" ref="C12:E12" si="8">C6/C4</f>
        <v>-0.0964816438</v>
      </c>
      <c r="D12" s="45">
        <f t="shared" si="8"/>
        <v>0.005550263102</v>
      </c>
      <c r="E12" s="45">
        <f t="shared" si="8"/>
        <v>0.0004800584863</v>
      </c>
      <c r="F12" s="45">
        <f t="shared" ref="F12:I12" si="9">AVERAGE($C$12:$E$12)</f>
        <v>-0.03015044074</v>
      </c>
      <c r="G12" s="45">
        <f t="shared" si="9"/>
        <v>-0.03015044074</v>
      </c>
      <c r="H12" s="45">
        <f t="shared" si="9"/>
        <v>-0.03015044074</v>
      </c>
      <c r="I12" s="45">
        <f t="shared" si="9"/>
        <v>-0.03015044074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I2"/>
    <mergeCell ref="B9:I9"/>
  </mergeCells>
  <conditionalFormatting sqref="C5">
    <cfRule type="notContainsBlanks" dxfId="3" priority="1">
      <formula>LEN(TRIM(C5))&gt;0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25"/>
    <col customWidth="1" min="3" max="10" width="14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4" t="s">
        <v>1</v>
      </c>
      <c r="C2" s="5"/>
      <c r="D2" s="5"/>
      <c r="E2" s="5"/>
      <c r="F2" s="5"/>
      <c r="G2" s="5"/>
      <c r="H2" s="5"/>
      <c r="I2" s="5"/>
      <c r="J2" s="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8" t="s">
        <v>5</v>
      </c>
      <c r="C3" s="8">
        <v>2020.0</v>
      </c>
      <c r="D3" s="8">
        <v>2021.0</v>
      </c>
      <c r="E3" s="8">
        <v>2022.0</v>
      </c>
      <c r="F3" s="8">
        <v>2023.0</v>
      </c>
      <c r="G3" s="8">
        <v>2024.0</v>
      </c>
      <c r="H3" s="8">
        <v>2025.0</v>
      </c>
      <c r="I3" s="8">
        <v>2026.0</v>
      </c>
      <c r="J3" s="8">
        <v>2027.0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8" t="s">
        <v>8</v>
      </c>
      <c r="C4" s="16">
        <v>8.4027384972E11</v>
      </c>
      <c r="D4" s="16">
        <v>9.12990601451E11</v>
      </c>
      <c r="E4" s="19">
        <v>1.337797171092E12</v>
      </c>
      <c r="F4" s="19">
        <v>1.15816596565E12</v>
      </c>
      <c r="G4" s="26">
        <f t="shared" ref="G4:J4" si="1">G21*G19/365</f>
        <v>1207530425856</v>
      </c>
      <c r="H4" s="26">
        <f t="shared" si="1"/>
        <v>1331554960271</v>
      </c>
      <c r="I4" s="26">
        <f t="shared" si="1"/>
        <v>1468317960573</v>
      </c>
      <c r="J4" s="26">
        <f t="shared" si="1"/>
        <v>1619127784933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8" t="s">
        <v>15</v>
      </c>
      <c r="C5" s="28">
        <v>1.63776078943E11</v>
      </c>
      <c r="D5" s="28">
        <v>2.56946359992E11</v>
      </c>
      <c r="E5" s="19">
        <v>3.639520173E11</v>
      </c>
      <c r="F5" s="19">
        <v>3.1839662032E11</v>
      </c>
      <c r="G5" s="26">
        <f t="shared" ref="G5:J5" si="2">G22*G19/365</f>
        <v>332846102300</v>
      </c>
      <c r="H5" s="26">
        <f t="shared" si="2"/>
        <v>367032473083</v>
      </c>
      <c r="I5" s="26">
        <f t="shared" si="2"/>
        <v>404730100087</v>
      </c>
      <c r="J5" s="26">
        <f t="shared" si="2"/>
        <v>446299621775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8" t="s">
        <v>20</v>
      </c>
      <c r="C6" s="35">
        <v>3.395017804E9</v>
      </c>
      <c r="D6" s="35">
        <v>6.414628959E9</v>
      </c>
      <c r="E6" s="19">
        <v>1.0968655266E10</v>
      </c>
      <c r="F6" s="19">
        <v>1.8171074036E10</v>
      </c>
      <c r="G6" s="26">
        <f t="shared" ref="G6:J6" si="3">G19*G25/365</f>
        <v>26616573.68</v>
      </c>
      <c r="H6" s="26">
        <f t="shared" si="3"/>
        <v>34559293.78</v>
      </c>
      <c r="I6" s="26">
        <f t="shared" si="3"/>
        <v>38108852.64</v>
      </c>
      <c r="J6" s="26">
        <f t="shared" si="3"/>
        <v>42022984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8" t="s">
        <v>25</v>
      </c>
      <c r="C7" s="26">
        <f t="shared" ref="C7:J7" si="4">SUM(C4:C6)</f>
        <v>1007444946467</v>
      </c>
      <c r="D7" s="26">
        <f t="shared" si="4"/>
        <v>1176351590402</v>
      </c>
      <c r="E7" s="26">
        <f t="shared" si="4"/>
        <v>1712717843658</v>
      </c>
      <c r="F7" s="26">
        <f t="shared" si="4"/>
        <v>1494733660006</v>
      </c>
      <c r="G7" s="26">
        <f t="shared" si="4"/>
        <v>1540403144730</v>
      </c>
      <c r="H7" s="26">
        <f t="shared" si="4"/>
        <v>1698621992648</v>
      </c>
      <c r="I7" s="26">
        <f t="shared" si="4"/>
        <v>1873086169512</v>
      </c>
      <c r="J7" s="26">
        <f t="shared" si="4"/>
        <v>2065469429692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42"/>
      <c r="C8" s="42"/>
      <c r="D8" s="42"/>
      <c r="E8" s="42"/>
      <c r="F8" s="42"/>
      <c r="G8" s="26"/>
      <c r="H8" s="26"/>
      <c r="I8" s="26"/>
      <c r="J8" s="2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8" t="s">
        <v>31</v>
      </c>
      <c r="C9" s="19">
        <v>2.0127617464E11</v>
      </c>
      <c r="D9" s="19">
        <v>2.39425736234E11</v>
      </c>
      <c r="E9" s="19">
        <v>4.79526147585E11</v>
      </c>
      <c r="F9" s="19">
        <v>3.13174345331E11</v>
      </c>
      <c r="G9" s="26">
        <f t="shared" ref="G9:J9" si="5">G19*G23/365</f>
        <v>366197934119</v>
      </c>
      <c r="H9" s="26">
        <f t="shared" si="5"/>
        <v>403809846258</v>
      </c>
      <c r="I9" s="26">
        <f t="shared" si="5"/>
        <v>445284849374</v>
      </c>
      <c r="J9" s="26">
        <f t="shared" si="5"/>
        <v>491019718610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8" t="s">
        <v>34</v>
      </c>
      <c r="C10" s="19">
        <v>2.1381700463E10</v>
      </c>
      <c r="D10" s="19">
        <v>1.3425965039E10</v>
      </c>
      <c r="E10" s="19">
        <v>1.2869887553E10</v>
      </c>
      <c r="F10" s="19">
        <v>1.8097259395E10</v>
      </c>
      <c r="G10" s="26">
        <f t="shared" ref="G10:J10" si="6">G18*G26</f>
        <v>19443310690</v>
      </c>
      <c r="H10" s="26">
        <f t="shared" si="6"/>
        <v>17260346235</v>
      </c>
      <c r="I10" s="26">
        <f t="shared" si="6"/>
        <v>19033143309</v>
      </c>
      <c r="J10" s="26">
        <f t="shared" si="6"/>
        <v>20988023026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8" t="s">
        <v>38</v>
      </c>
      <c r="C11" s="19">
        <v>8.642308995E9</v>
      </c>
      <c r="D11" s="19">
        <v>2.277982083E9</v>
      </c>
      <c r="E11" s="19">
        <v>6.69687252E8</v>
      </c>
      <c r="F11" s="19">
        <v>3.2674595E7</v>
      </c>
      <c r="G11" s="26">
        <f t="shared" ref="G11:J11" si="7">G27*G18</f>
        <v>3953412091</v>
      </c>
      <c r="H11" s="26">
        <f t="shared" si="7"/>
        <v>1234440775</v>
      </c>
      <c r="I11" s="26">
        <f t="shared" si="7"/>
        <v>1361229251</v>
      </c>
      <c r="J11" s="26">
        <f t="shared" si="7"/>
        <v>1501040075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8" t="s">
        <v>39</v>
      </c>
      <c r="C12" s="19">
        <v>9.0416308108E10</v>
      </c>
      <c r="D12" s="19">
        <v>1.10724990085E11</v>
      </c>
      <c r="E12" s="19">
        <v>1.16471108093E11</v>
      </c>
      <c r="F12" s="19">
        <v>1.08174426424E11</v>
      </c>
      <c r="G12" s="26">
        <f t="shared" ref="G12:J12" si="8">G18*G28</f>
        <v>122114322069</v>
      </c>
      <c r="H12" s="26">
        <f t="shared" si="8"/>
        <v>131644974481</v>
      </c>
      <c r="I12" s="26">
        <f t="shared" si="8"/>
        <v>145166129989</v>
      </c>
      <c r="J12" s="26">
        <f t="shared" si="8"/>
        <v>160076033126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8" t="s">
        <v>42</v>
      </c>
      <c r="C13" s="19">
        <v>4.968604966E9</v>
      </c>
      <c r="D13" s="19">
        <v>4.762811444E9</v>
      </c>
      <c r="E13" s="19">
        <v>7.808487358E9</v>
      </c>
      <c r="F13" s="19">
        <v>3.590791032E9</v>
      </c>
      <c r="G13" s="26">
        <f t="shared" ref="G13:J13" si="9">G29*G18</f>
        <v>6135463235</v>
      </c>
      <c r="H13" s="26">
        <f t="shared" si="9"/>
        <v>6388773203</v>
      </c>
      <c r="I13" s="26">
        <f t="shared" si="9"/>
        <v>7044959255</v>
      </c>
      <c r="J13" s="26">
        <f t="shared" si="9"/>
        <v>7768541678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8" t="s">
        <v>43</v>
      </c>
      <c r="C14" s="26">
        <f t="shared" ref="C14:J14" si="10">SUM(C9:C13)</f>
        <v>326685097172</v>
      </c>
      <c r="D14" s="26">
        <f t="shared" si="10"/>
        <v>370617484885</v>
      </c>
      <c r="E14" s="26">
        <f t="shared" si="10"/>
        <v>617345317841</v>
      </c>
      <c r="F14" s="26">
        <f t="shared" si="10"/>
        <v>443069496777</v>
      </c>
      <c r="G14" s="26">
        <f t="shared" si="10"/>
        <v>517844442204</v>
      </c>
      <c r="H14" s="26">
        <f t="shared" si="10"/>
        <v>560338380953</v>
      </c>
      <c r="I14" s="26">
        <f t="shared" si="10"/>
        <v>617890311177</v>
      </c>
      <c r="J14" s="26">
        <f t="shared" si="10"/>
        <v>681353356515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4" t="s">
        <v>45</v>
      </c>
      <c r="C16" s="5"/>
      <c r="D16" s="5"/>
      <c r="E16" s="5"/>
      <c r="F16" s="5"/>
      <c r="G16" s="5"/>
      <c r="H16" s="5"/>
      <c r="I16" s="5"/>
      <c r="J16" s="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8" t="s">
        <v>5</v>
      </c>
      <c r="C17" s="8">
        <v>2020.0</v>
      </c>
      <c r="D17" s="8">
        <v>2021.0</v>
      </c>
      <c r="E17" s="8">
        <v>2022.0</v>
      </c>
      <c r="F17" s="8">
        <v>2023.0</v>
      </c>
      <c r="G17" s="8">
        <v>2024.0</v>
      </c>
      <c r="H17" s="8">
        <v>2025.0</v>
      </c>
      <c r="I17" s="8">
        <v>2026.0</v>
      </c>
      <c r="J17" s="8">
        <v>2027.0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8" t="s">
        <v>47</v>
      </c>
      <c r="C18" s="16">
        <v>2.195498487388E12</v>
      </c>
      <c r="D18" s="50">
        <v>2.76744138506E12</v>
      </c>
      <c r="E18" s="25">
        <v>2.93552989899E12</v>
      </c>
      <c r="F18" s="25">
        <v>3.228718536079E12</v>
      </c>
      <c r="G18" s="26">
        <v>3.16414416535742E12</v>
      </c>
      <c r="H18" s="26">
        <v>3.4891310133308716E12</v>
      </c>
      <c r="I18" s="26">
        <v>3.8474970140344863E12</v>
      </c>
      <c r="J18" s="26">
        <v>4.2426705149350347E12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8" t="s">
        <v>49</v>
      </c>
      <c r="C19" s="37">
        <v>1.992377348652E12</v>
      </c>
      <c r="D19" s="37">
        <v>2.578953875169E12</v>
      </c>
      <c r="E19" s="31">
        <v>2.713295819602E12</v>
      </c>
      <c r="F19" s="19">
        <v>2.999441035747E12</v>
      </c>
      <c r="G19" s="26">
        <v>2.937564240842041E12</v>
      </c>
      <c r="H19" s="26">
        <v>3.2392792365754736E12</v>
      </c>
      <c r="I19" s="26">
        <v>3.5719831507416597E12</v>
      </c>
      <c r="J19" s="26">
        <v>3.9388588316551055E12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42"/>
      <c r="C20" s="42"/>
      <c r="D20" s="42"/>
      <c r="E20" s="42"/>
      <c r="F20" s="42"/>
      <c r="G20" s="42"/>
      <c r="H20" s="42"/>
      <c r="I20" s="42"/>
      <c r="J20" s="4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8" t="s">
        <v>50</v>
      </c>
      <c r="C21" s="51">
        <f t="shared" ref="C21:F21" si="11">C4/C19 *365</f>
        <v>153.9366804</v>
      </c>
      <c r="D21" s="51">
        <f t="shared" si="11"/>
        <v>129.2157928</v>
      </c>
      <c r="E21" s="51">
        <f t="shared" si="11"/>
        <v>179.9641469</v>
      </c>
      <c r="F21" s="51">
        <f t="shared" si="11"/>
        <v>140.936452</v>
      </c>
      <c r="G21" s="51">
        <f t="shared" ref="G21:J21" si="12">AVERAGE($D$21:$F$21)</f>
        <v>150.0387972</v>
      </c>
      <c r="H21" s="51">
        <f t="shared" si="12"/>
        <v>150.0387972</v>
      </c>
      <c r="I21" s="51">
        <f t="shared" si="12"/>
        <v>150.0387972</v>
      </c>
      <c r="J21" s="51">
        <f t="shared" si="12"/>
        <v>150.0387972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8" t="s">
        <v>53</v>
      </c>
      <c r="C22" s="51">
        <f t="shared" ref="C22:F22" si="13">C5/C19 *365</f>
        <v>30.00348747</v>
      </c>
      <c r="D22" s="51">
        <f t="shared" si="13"/>
        <v>36.36568389</v>
      </c>
      <c r="E22" s="51">
        <f t="shared" si="13"/>
        <v>48.95982419</v>
      </c>
      <c r="F22" s="51">
        <f t="shared" si="13"/>
        <v>38.74547458</v>
      </c>
      <c r="G22" s="51">
        <f t="shared" ref="G22:J22" si="14">AVERAGE($D$22:$F$22)</f>
        <v>41.35699422</v>
      </c>
      <c r="H22" s="51">
        <f t="shared" si="14"/>
        <v>41.35699422</v>
      </c>
      <c r="I22" s="51">
        <f t="shared" si="14"/>
        <v>41.35699422</v>
      </c>
      <c r="J22" s="51">
        <f t="shared" si="14"/>
        <v>41.35699422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52" t="s">
        <v>54</v>
      </c>
      <c r="C23" s="51">
        <f t="shared" ref="C23:F23" si="15">C9/C19 *365</f>
        <v>36.87343855</v>
      </c>
      <c r="D23" s="51">
        <f t="shared" si="15"/>
        <v>33.88598554</v>
      </c>
      <c r="E23" s="51">
        <f t="shared" si="15"/>
        <v>64.50717338</v>
      </c>
      <c r="F23" s="51">
        <f t="shared" si="15"/>
        <v>38.10997939</v>
      </c>
      <c r="G23" s="51">
        <f t="shared" ref="G23:J23" si="16">AVERAGE($D$23:$F$23)</f>
        <v>45.5010461</v>
      </c>
      <c r="H23" s="51">
        <f t="shared" si="16"/>
        <v>45.5010461</v>
      </c>
      <c r="I23" s="51">
        <f t="shared" si="16"/>
        <v>45.5010461</v>
      </c>
      <c r="J23" s="51">
        <f t="shared" si="16"/>
        <v>45.5010461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42"/>
      <c r="C24" s="42"/>
      <c r="D24" s="42"/>
      <c r="E24" s="42"/>
      <c r="F24" s="42"/>
      <c r="G24" s="42"/>
      <c r="H24" s="42"/>
      <c r="I24" s="42"/>
      <c r="J24" s="4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8" t="s">
        <v>20</v>
      </c>
      <c r="C25" s="45">
        <f t="shared" ref="C25:F25" si="17">C6/C18</f>
        <v>0.001546353971</v>
      </c>
      <c r="D25" s="45">
        <f t="shared" si="17"/>
        <v>0.002317891535</v>
      </c>
      <c r="E25" s="45">
        <f t="shared" si="17"/>
        <v>0.003736516283</v>
      </c>
      <c r="F25" s="45">
        <f t="shared" si="17"/>
        <v>0.005627952339</v>
      </c>
      <c r="G25" s="45">
        <f>AVERAGE($C$25:$F$25)</f>
        <v>0.003307178532</v>
      </c>
      <c r="H25" s="45">
        <f t="shared" ref="H25:J25" si="18">AVERAGE($D$25:$F$25)</f>
        <v>0.003894120052</v>
      </c>
      <c r="I25" s="45">
        <f t="shared" si="18"/>
        <v>0.003894120052</v>
      </c>
      <c r="J25" s="45">
        <f t="shared" si="18"/>
        <v>0.003894120052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8" t="s">
        <v>57</v>
      </c>
      <c r="C26" s="45">
        <f t="shared" ref="C26:F26" si="19">C10/C18</f>
        <v>0.009738881892</v>
      </c>
      <c r="D26" s="45">
        <f t="shared" si="19"/>
        <v>0.004851399965</v>
      </c>
      <c r="E26" s="45">
        <f t="shared" si="19"/>
        <v>0.004384178665</v>
      </c>
      <c r="F26" s="45">
        <f t="shared" si="19"/>
        <v>0.005605090438</v>
      </c>
      <c r="G26" s="45">
        <f>AVERAGE($C$26:$F$26)</f>
        <v>0.00614488774</v>
      </c>
      <c r="H26" s="45">
        <f t="shared" ref="H26:J26" si="20">AVERAGE($D$26:$F$26)</f>
        <v>0.004946889689</v>
      </c>
      <c r="I26" s="45">
        <f t="shared" si="20"/>
        <v>0.004946889689</v>
      </c>
      <c r="J26" s="45">
        <f t="shared" si="20"/>
        <v>0.004946889689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8" t="s">
        <v>58</v>
      </c>
      <c r="C27" s="45">
        <f t="shared" ref="C27:F27" si="21">C11/C18</f>
        <v>0.003936376656</v>
      </c>
      <c r="D27" s="45">
        <f t="shared" si="21"/>
        <v>0.0008231365243</v>
      </c>
      <c r="E27" s="45">
        <f t="shared" si="21"/>
        <v>0.0002281316406</v>
      </c>
      <c r="F27" s="54">
        <f t="shared" si="21"/>
        <v>0.00001011998867</v>
      </c>
      <c r="G27" s="45">
        <f>AVERAGE($C$27:$F$27)</f>
        <v>0.001249441203</v>
      </c>
      <c r="H27" s="45">
        <f t="shared" ref="H27:J27" si="22">AVERAGE($D$27:$F$27)</f>
        <v>0.0003537960512</v>
      </c>
      <c r="I27" s="45">
        <f t="shared" si="22"/>
        <v>0.0003537960512</v>
      </c>
      <c r="J27" s="45">
        <f t="shared" si="22"/>
        <v>0.0003537960512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8" t="s">
        <v>60</v>
      </c>
      <c r="C28" s="45">
        <f t="shared" ref="C28:F28" si="23">C12/C18</f>
        <v>0.04118258729</v>
      </c>
      <c r="D28" s="45">
        <f t="shared" si="23"/>
        <v>0.04000987724</v>
      </c>
      <c r="E28" s="45">
        <f t="shared" si="23"/>
        <v>0.03967634877</v>
      </c>
      <c r="F28" s="45">
        <f t="shared" si="23"/>
        <v>0.03350382674</v>
      </c>
      <c r="G28" s="45">
        <f>AVERAGE($C$28:$F$28)</f>
        <v>0.03859316001</v>
      </c>
      <c r="H28" s="45">
        <f t="shared" ref="H28:J28" si="24">AVERAGE($D$28:$F$28)</f>
        <v>0.03773001758</v>
      </c>
      <c r="I28" s="45">
        <f t="shared" si="24"/>
        <v>0.03773001758</v>
      </c>
      <c r="J28" s="45">
        <f t="shared" si="24"/>
        <v>0.03773001758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8" t="s">
        <v>62</v>
      </c>
      <c r="C29" s="45">
        <f t="shared" ref="C29:F29" si="25">C13/C18</f>
        <v>0.002263087401</v>
      </c>
      <c r="D29" s="45">
        <f t="shared" si="25"/>
        <v>0.001721016196</v>
      </c>
      <c r="E29" s="45">
        <f t="shared" si="25"/>
        <v>0.002659992447</v>
      </c>
      <c r="F29" s="45">
        <f t="shared" si="25"/>
        <v>0.001112141239</v>
      </c>
      <c r="G29" s="45">
        <f>AVERAGE($C$29:$F$29)</f>
        <v>0.00193905932</v>
      </c>
      <c r="H29" s="45">
        <f t="shared" ref="H29:J29" si="26">AVERAGE($D$29:$F$29)</f>
        <v>0.00183104996</v>
      </c>
      <c r="I29" s="45">
        <f t="shared" si="26"/>
        <v>0.00183104996</v>
      </c>
      <c r="J29" s="45">
        <f t="shared" si="26"/>
        <v>0.00183104996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2">
    <mergeCell ref="B2:J2"/>
    <mergeCell ref="B16:J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5"/>
    <col customWidth="1" min="3" max="3" width="14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2</v>
      </c>
      <c r="C3" s="6">
        <v>1.049722021727E12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4</v>
      </c>
      <c r="C4" s="6">
        <v>1.42231848656E12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/>
      <c r="C5" s="11"/>
      <c r="D5" s="1"/>
      <c r="E5" s="1"/>
      <c r="F5" s="1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 t="s">
        <v>6</v>
      </c>
      <c r="C6" s="13">
        <v>0.05</v>
      </c>
      <c r="D6" s="1"/>
      <c r="E6" s="1"/>
      <c r="F6" s="12"/>
      <c r="G6" s="1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 t="s">
        <v>9</v>
      </c>
      <c r="C7" s="17">
        <v>0.0184</v>
      </c>
      <c r="D7" s="1"/>
      <c r="E7" s="1"/>
      <c r="F7" s="18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 t="s">
        <v>10</v>
      </c>
      <c r="C8" s="23">
        <f>C7+C6</f>
        <v>0.0684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 t="s">
        <v>12</v>
      </c>
      <c r="C9" s="13">
        <v>0.35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" t="s">
        <v>14</v>
      </c>
      <c r="C10" s="23">
        <f>C4/(C4+C3)</f>
        <v>0.5753621277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9" t="s">
        <v>17</v>
      </c>
      <c r="C11" s="32">
        <f>C8*(1-C9)</f>
        <v>0.04446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" t="s">
        <v>6</v>
      </c>
      <c r="C13" s="13">
        <v>0.05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" t="s">
        <v>21</v>
      </c>
      <c r="C14" s="17">
        <v>0.09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" t="s">
        <v>22</v>
      </c>
      <c r="C15" s="38">
        <v>0.67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" t="s">
        <v>23</v>
      </c>
      <c r="C16" s="23">
        <f>C3/(C4+C3)</f>
        <v>0.4246378723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" t="s">
        <v>27</v>
      </c>
      <c r="C17" s="39">
        <f>C13+C14*C15</f>
        <v>0.1103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9" t="s">
        <v>28</v>
      </c>
      <c r="C18" s="40">
        <f>C17*C16+C11*C10</f>
        <v>0.07241815751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C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14.88"/>
    <col customWidth="1" min="4" max="4" width="13.38"/>
    <col customWidth="1" min="5" max="9" width="14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67</v>
      </c>
      <c r="C2" s="55"/>
      <c r="D2" s="5"/>
      <c r="E2" s="5"/>
      <c r="F2" s="5"/>
      <c r="G2" s="5"/>
      <c r="H2" s="5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68</v>
      </c>
      <c r="C3" s="56">
        <v>2021.0</v>
      </c>
      <c r="D3" s="20">
        <v>2022.0</v>
      </c>
      <c r="E3" s="20">
        <v>2023.0</v>
      </c>
      <c r="F3" s="20">
        <v>2024.0</v>
      </c>
      <c r="G3" s="20">
        <v>2025.0</v>
      </c>
      <c r="H3" s="20">
        <v>2026.0</v>
      </c>
      <c r="I3" s="20">
        <v>2027.0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67</v>
      </c>
      <c r="C4" s="47">
        <f>'Free cash flow'!C21</f>
        <v>663970628967</v>
      </c>
      <c r="D4" s="47">
        <f>'Free cash flow'!D21</f>
        <v>593734286489</v>
      </c>
      <c r="E4" s="47">
        <f>'Free cash flow'!E21</f>
        <v>1419156097851</v>
      </c>
      <c r="F4" s="47">
        <f>'Free cash flow'!F21</f>
        <v>1060710417072</v>
      </c>
      <c r="G4" s="47">
        <f>'Free cash flow'!G21</f>
        <v>1078930691629</v>
      </c>
      <c r="H4" s="47">
        <f>'Free cash flow'!H21</f>
        <v>1177780675127</v>
      </c>
      <c r="I4" s="47">
        <f>'Free cash flow'!I21</f>
        <v>1297615531319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2"/>
      <c r="C5" s="42"/>
      <c r="D5" s="42"/>
      <c r="E5" s="42"/>
      <c r="F5" s="42"/>
      <c r="G5" s="42"/>
      <c r="H5" s="42"/>
      <c r="I5" s="4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" t="s">
        <v>69</v>
      </c>
      <c r="C6" s="42"/>
      <c r="D6" s="42"/>
      <c r="E6" s="42"/>
      <c r="F6" s="8">
        <v>1.0</v>
      </c>
      <c r="G6" s="8">
        <v>2.0</v>
      </c>
      <c r="H6" s="8">
        <v>3.0</v>
      </c>
      <c r="I6" s="8">
        <v>4.0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70</v>
      </c>
      <c r="C7" s="42"/>
      <c r="D7" s="42"/>
      <c r="E7" s="42"/>
      <c r="F7" s="26">
        <f t="shared" ref="F7:I7" si="1">F4/(1+$C$12)^F6</f>
        <v>989082858809</v>
      </c>
      <c r="G7" s="26">
        <f t="shared" si="1"/>
        <v>938134765105</v>
      </c>
      <c r="H7" s="26">
        <f t="shared" si="1"/>
        <v>954930904048</v>
      </c>
      <c r="I7" s="26">
        <f t="shared" si="1"/>
        <v>981046066290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57" t="s">
        <v>71</v>
      </c>
      <c r="C9" s="7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" t="s">
        <v>72</v>
      </c>
      <c r="C10" s="26">
        <f>SUM(F7:I7)</f>
        <v>3863194594253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 t="s">
        <v>73</v>
      </c>
      <c r="C11" s="58">
        <v>0.0642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" t="s">
        <v>28</v>
      </c>
      <c r="C12" s="59">
        <f>WACC!C18</f>
        <v>0.07241815751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" t="s">
        <v>74</v>
      </c>
      <c r="C13" s="26">
        <f>I4*(1+C11)*(C12-C11)</f>
        <v>11348638195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" t="s">
        <v>75</v>
      </c>
      <c r="C14" s="26">
        <f>C13/(1+C12)^4</f>
        <v>8579996609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" t="s">
        <v>76</v>
      </c>
      <c r="C15" s="26">
        <f>C14+C10</f>
        <v>3871774590863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" t="s">
        <v>77</v>
      </c>
      <c r="C16" s="19">
        <v>6.49484816227E11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" t="s">
        <v>78</v>
      </c>
      <c r="C17" s="60">
        <v>1.42231848656E12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" t="s">
        <v>79</v>
      </c>
      <c r="C18" s="19">
        <v>1.07914630936E11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" t="s">
        <v>80</v>
      </c>
      <c r="C19" s="26">
        <f>C15+C16-C17-C18</f>
        <v>2991026289594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" t="s">
        <v>81</v>
      </c>
      <c r="C20" s="25">
        <v>8.1194463E7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8" t="s">
        <v>82</v>
      </c>
      <c r="C21" s="26">
        <f>C19/C20</f>
        <v>36837.81109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I2"/>
    <mergeCell ref="B9:C9"/>
  </mergeCells>
  <drawing r:id="rId1"/>
</worksheet>
</file>