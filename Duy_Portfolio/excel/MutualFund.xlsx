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duynguyen/Desktop/Python work/duy_portfolio_website/Projects/"/>
    </mc:Choice>
  </mc:AlternateContent>
  <xr:revisionPtr revIDLastSave="0" documentId="8_{B14DA76D-2AC2-B64A-BB52-8D4E37650C40}" xr6:coauthVersionLast="47" xr6:coauthVersionMax="47" xr10:uidLastSave="{00000000-0000-0000-0000-000000000000}"/>
  <bookViews>
    <workbookView xWindow="2920" yWindow="780" windowWidth="36000" windowHeight="20460" xr2:uid="{00000000-000D-0000-FFFF-FFFF00000000}"/>
  </bookViews>
  <sheets>
    <sheet name="Inputs" sheetId="1" r:id="rId1"/>
    <sheet name="NAV Data" sheetId="2" r:id="rId2"/>
    <sheet name="Monthly Returns" sheetId="3" r:id="rId3"/>
    <sheet name="Performance" sheetId="4" r:id="rId4"/>
    <sheet name="Benchmark" sheetId="5" r:id="rId5"/>
    <sheet name="Correlation" sheetId="6" r:id="rId6"/>
    <sheet name="Portfolio Analysis" sheetId="7" r:id="rId7"/>
    <sheet name="Efficient Frontier" sheetId="8" r:id="rId8"/>
    <sheet name="Monte Carlo" sheetId="9" r:id="rId9"/>
    <sheet name="DCA Analysis" sheetId="10" r:id="rId10"/>
    <sheet name="Dashboard" sheetId="11" r:id="rId11"/>
    <sheet name="Methodology" sheetId="12" r:id="rId1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7" l="1"/>
  <c r="F17" i="6"/>
  <c r="F16" i="6"/>
  <c r="F15" i="6"/>
  <c r="F14" i="6"/>
  <c r="F13" i="6"/>
  <c r="E17" i="6"/>
  <c r="E16" i="6"/>
  <c r="E15" i="6"/>
  <c r="E14" i="6"/>
  <c r="E13" i="6"/>
  <c r="D17" i="6"/>
  <c r="D16" i="6"/>
  <c r="D15" i="6"/>
  <c r="D14" i="6"/>
  <c r="D13" i="6"/>
  <c r="C17" i="6"/>
  <c r="C16" i="6"/>
  <c r="C15" i="6"/>
  <c r="C14" i="6"/>
  <c r="C13" i="6"/>
  <c r="B17" i="6"/>
  <c r="B16" i="6"/>
  <c r="B15" i="6"/>
  <c r="B14" i="6"/>
  <c r="B13" i="6"/>
  <c r="B13" i="7"/>
  <c r="F9" i="5"/>
  <c r="F8" i="5"/>
  <c r="F7" i="5"/>
  <c r="F6" i="5"/>
  <c r="F5" i="5"/>
  <c r="B9" i="5"/>
  <c r="B8" i="5"/>
  <c r="B7" i="5"/>
  <c r="B6" i="5"/>
  <c r="B5" i="5"/>
  <c r="G9" i="4"/>
  <c r="H9" i="4"/>
  <c r="G8" i="4"/>
  <c r="G7" i="4"/>
  <c r="G6" i="4"/>
  <c r="G5" i="4"/>
  <c r="G4" i="4"/>
  <c r="G132" i="10"/>
  <c r="G131" i="10"/>
  <c r="C131" i="10"/>
  <c r="B131" i="10"/>
  <c r="G130" i="10"/>
  <c r="C130" i="10"/>
  <c r="B130" i="10"/>
  <c r="G129" i="10"/>
  <c r="C129" i="10"/>
  <c r="B129" i="10"/>
  <c r="D123" i="10"/>
  <c r="I123" i="10" s="1"/>
  <c r="D122" i="10"/>
  <c r="I122" i="10" s="1"/>
  <c r="D121" i="10"/>
  <c r="I121" i="10" s="1"/>
  <c r="D120" i="10"/>
  <c r="I120" i="10" s="1"/>
  <c r="D119" i="10"/>
  <c r="I119" i="10" s="1"/>
  <c r="D118" i="10"/>
  <c r="I118" i="10" s="1"/>
  <c r="D117" i="10"/>
  <c r="I117" i="10" s="1"/>
  <c r="D116" i="10"/>
  <c r="D115" i="10"/>
  <c r="I115" i="10" s="1"/>
  <c r="D114" i="10"/>
  <c r="I114" i="10" s="1"/>
  <c r="I113" i="10"/>
  <c r="D113" i="10"/>
  <c r="D112" i="10"/>
  <c r="I112" i="10" s="1"/>
  <c r="D111" i="10"/>
  <c r="I111" i="10" s="1"/>
  <c r="D110" i="10"/>
  <c r="I110" i="10" s="1"/>
  <c r="D109" i="10"/>
  <c r="I109" i="10" s="1"/>
  <c r="D108" i="10"/>
  <c r="I108" i="10" s="1"/>
  <c r="D107" i="10"/>
  <c r="I107" i="10" s="1"/>
  <c r="D106" i="10"/>
  <c r="I106" i="10" s="1"/>
  <c r="D105" i="10"/>
  <c r="D104" i="10"/>
  <c r="I104" i="10" s="1"/>
  <c r="D103" i="10"/>
  <c r="I103" i="10" s="1"/>
  <c r="D102" i="10"/>
  <c r="I102" i="10" s="1"/>
  <c r="D101" i="10"/>
  <c r="I101" i="10" s="1"/>
  <c r="D100" i="10"/>
  <c r="I100" i="10" s="1"/>
  <c r="D99" i="10"/>
  <c r="I99" i="10" s="1"/>
  <c r="D98" i="10"/>
  <c r="I98" i="10" s="1"/>
  <c r="D97" i="10"/>
  <c r="D96" i="10"/>
  <c r="I96" i="10" s="1"/>
  <c r="D95" i="10"/>
  <c r="D94" i="10"/>
  <c r="D93" i="10"/>
  <c r="I93" i="10" s="1"/>
  <c r="D92" i="10"/>
  <c r="I92" i="10" s="1"/>
  <c r="D91" i="10"/>
  <c r="I91" i="10" s="1"/>
  <c r="D90" i="10"/>
  <c r="I90" i="10" s="1"/>
  <c r="D89" i="10"/>
  <c r="I89" i="10" s="1"/>
  <c r="D88" i="10"/>
  <c r="I88" i="10" s="1"/>
  <c r="D87" i="10"/>
  <c r="D86" i="10"/>
  <c r="I86" i="10" s="1"/>
  <c r="D85" i="10"/>
  <c r="I85" i="10" s="1"/>
  <c r="D84" i="10"/>
  <c r="I84" i="10" s="1"/>
  <c r="D83" i="10"/>
  <c r="I83" i="10" s="1"/>
  <c r="D82" i="10"/>
  <c r="I82" i="10" s="1"/>
  <c r="D81" i="10"/>
  <c r="I81" i="10" s="1"/>
  <c r="D80" i="10"/>
  <c r="I80" i="10" s="1"/>
  <c r="D79" i="10"/>
  <c r="I79" i="10" s="1"/>
  <c r="D78" i="10"/>
  <c r="I78" i="10" s="1"/>
  <c r="D77" i="10"/>
  <c r="I77" i="10" s="1"/>
  <c r="D76" i="10"/>
  <c r="I76" i="10" s="1"/>
  <c r="D75" i="10"/>
  <c r="I75" i="10" s="1"/>
  <c r="D74" i="10"/>
  <c r="I74" i="10" s="1"/>
  <c r="D73" i="10"/>
  <c r="I73" i="10" s="1"/>
  <c r="D72" i="10"/>
  <c r="D71" i="10"/>
  <c r="I71" i="10" s="1"/>
  <c r="D70" i="10"/>
  <c r="D69" i="10"/>
  <c r="I69" i="10" s="1"/>
  <c r="I68" i="10"/>
  <c r="D68" i="10"/>
  <c r="D67" i="10"/>
  <c r="I67" i="10" s="1"/>
  <c r="D66" i="10"/>
  <c r="I66" i="10" s="1"/>
  <c r="D65" i="10"/>
  <c r="I65" i="10" s="1"/>
  <c r="D64" i="10"/>
  <c r="I64" i="10" s="1"/>
  <c r="D63" i="10"/>
  <c r="I63" i="10" s="1"/>
  <c r="D62" i="10"/>
  <c r="I62" i="10" s="1"/>
  <c r="D61" i="10"/>
  <c r="D60" i="10"/>
  <c r="I60" i="10" s="1"/>
  <c r="D59" i="10"/>
  <c r="I59" i="10" s="1"/>
  <c r="D58" i="10"/>
  <c r="I58" i="10" s="1"/>
  <c r="D57" i="10"/>
  <c r="I57" i="10" s="1"/>
  <c r="D56" i="10"/>
  <c r="I56" i="10" s="1"/>
  <c r="D55" i="10"/>
  <c r="I55" i="10" s="1"/>
  <c r="D54" i="10"/>
  <c r="I54" i="10" s="1"/>
  <c r="I53" i="10"/>
  <c r="D53" i="10"/>
  <c r="D52" i="10"/>
  <c r="D51" i="10"/>
  <c r="I51" i="10" s="1"/>
  <c r="D50" i="10"/>
  <c r="D49" i="10"/>
  <c r="I49" i="10" s="1"/>
  <c r="D48" i="10"/>
  <c r="I48" i="10" s="1"/>
  <c r="D47" i="10"/>
  <c r="D46" i="10"/>
  <c r="I46" i="10" s="1"/>
  <c r="D45" i="10"/>
  <c r="I45" i="10" s="1"/>
  <c r="D44" i="10"/>
  <c r="D43" i="10"/>
  <c r="I43" i="10" s="1"/>
  <c r="D42" i="10"/>
  <c r="I42" i="10" s="1"/>
  <c r="D41" i="10"/>
  <c r="D40" i="10"/>
  <c r="D39" i="10"/>
  <c r="I39" i="10" s="1"/>
  <c r="D38" i="10"/>
  <c r="I38" i="10" s="1"/>
  <c r="D37" i="10"/>
  <c r="I37" i="10" s="1"/>
  <c r="D36" i="10"/>
  <c r="I36" i="10" s="1"/>
  <c r="D35" i="10"/>
  <c r="D34" i="10"/>
  <c r="I34" i="10" s="1"/>
  <c r="D33" i="10"/>
  <c r="D32" i="10"/>
  <c r="D31" i="10"/>
  <c r="D30" i="10"/>
  <c r="I30" i="10" s="1"/>
  <c r="D29" i="10"/>
  <c r="I29" i="10" s="1"/>
  <c r="D28" i="10"/>
  <c r="I28" i="10" s="1"/>
  <c r="I27" i="10"/>
  <c r="D27" i="10"/>
  <c r="I26" i="10"/>
  <c r="D26" i="10"/>
  <c r="D25" i="10"/>
  <c r="I25" i="10" s="1"/>
  <c r="D24" i="10"/>
  <c r="D23" i="10"/>
  <c r="I23" i="10" s="1"/>
  <c r="D22" i="10"/>
  <c r="I22" i="10" s="1"/>
  <c r="D21" i="10"/>
  <c r="I21" i="10" s="1"/>
  <c r="D20" i="10"/>
  <c r="D19" i="10"/>
  <c r="I19" i="10" s="1"/>
  <c r="D18" i="10"/>
  <c r="I18" i="10" s="1"/>
  <c r="D17" i="10"/>
  <c r="I17" i="10" s="1"/>
  <c r="D16" i="10"/>
  <c r="I16" i="10" s="1"/>
  <c r="D15" i="10"/>
  <c r="I15" i="10" s="1"/>
  <c r="D14" i="10"/>
  <c r="I14" i="10" s="1"/>
  <c r="D13" i="10"/>
  <c r="I13" i="10" s="1"/>
  <c r="D12" i="10"/>
  <c r="D11" i="10"/>
  <c r="I11" i="10" s="1"/>
  <c r="D10" i="10"/>
  <c r="I10" i="10" s="1"/>
  <c r="D9" i="10"/>
  <c r="D8" i="10"/>
  <c r="I8" i="10" s="1"/>
  <c r="D7" i="10"/>
  <c r="I7" i="10" s="1"/>
  <c r="D6" i="10"/>
  <c r="I6" i="10" s="1"/>
  <c r="D5" i="10"/>
  <c r="I5" i="10" s="1"/>
  <c r="D4" i="10"/>
  <c r="E4" i="10" s="1"/>
  <c r="F4" i="10" s="1"/>
  <c r="E10" i="9"/>
  <c r="E9" i="9"/>
  <c r="E8" i="9"/>
  <c r="E7" i="9"/>
  <c r="E6" i="9"/>
  <c r="E5" i="9"/>
  <c r="L19" i="7"/>
  <c r="E9" i="7"/>
  <c r="D9" i="7"/>
  <c r="B9" i="7"/>
  <c r="L8" i="7"/>
  <c r="C8" i="7"/>
  <c r="C7" i="7"/>
  <c r="C6" i="7"/>
  <c r="C5" i="7"/>
  <c r="C9" i="4"/>
  <c r="E9" i="4" s="1"/>
  <c r="B9" i="4"/>
  <c r="C8" i="4"/>
  <c r="B8" i="4"/>
  <c r="E7" i="4"/>
  <c r="C7" i="4"/>
  <c r="D7" i="4" s="1"/>
  <c r="B7" i="4"/>
  <c r="C6" i="4"/>
  <c r="B6" i="4"/>
  <c r="C5" i="4"/>
  <c r="D5" i="4" s="1"/>
  <c r="B5" i="4"/>
  <c r="H4" i="4"/>
  <c r="C4" i="4"/>
  <c r="B4" i="4"/>
  <c r="G35" i="3"/>
  <c r="L34" i="7" s="1"/>
  <c r="F35" i="3"/>
  <c r="AL35" i="3" s="1"/>
  <c r="E35" i="3"/>
  <c r="AK35" i="3" s="1"/>
  <c r="D35" i="3"/>
  <c r="C35" i="3"/>
  <c r="B35" i="3"/>
  <c r="G34" i="3"/>
  <c r="F34" i="3"/>
  <c r="E34" i="3"/>
  <c r="AK34" i="3" s="1"/>
  <c r="D34" i="3"/>
  <c r="C34" i="3"/>
  <c r="AI34" i="3" s="1"/>
  <c r="B34" i="3"/>
  <c r="G33" i="3"/>
  <c r="L32" i="7" s="1"/>
  <c r="F33" i="3"/>
  <c r="E33" i="3"/>
  <c r="D33" i="3"/>
  <c r="C33" i="3"/>
  <c r="B33" i="3"/>
  <c r="G32" i="3"/>
  <c r="L31" i="7" s="1"/>
  <c r="F32" i="3"/>
  <c r="AL32" i="3" s="1"/>
  <c r="E32" i="3"/>
  <c r="AK32" i="3" s="1"/>
  <c r="D32" i="3"/>
  <c r="AJ32" i="3" s="1"/>
  <c r="C32" i="3"/>
  <c r="AI32" i="3" s="1"/>
  <c r="B32" i="3"/>
  <c r="G31" i="3"/>
  <c r="F31" i="3"/>
  <c r="AL31" i="3" s="1"/>
  <c r="E31" i="3"/>
  <c r="D31" i="3"/>
  <c r="C31" i="3"/>
  <c r="B31" i="3"/>
  <c r="G30" i="3"/>
  <c r="F30" i="3"/>
  <c r="AL30" i="3" s="1"/>
  <c r="E30" i="3"/>
  <c r="AK30" i="3" s="1"/>
  <c r="D30" i="3"/>
  <c r="C30" i="3"/>
  <c r="B30" i="3"/>
  <c r="AH30" i="3" s="1"/>
  <c r="AL29" i="3"/>
  <c r="G29" i="3"/>
  <c r="L28" i="7" s="1"/>
  <c r="F29" i="3"/>
  <c r="E29" i="3"/>
  <c r="D29" i="3"/>
  <c r="AJ29" i="3" s="1"/>
  <c r="C29" i="3"/>
  <c r="AI29" i="3" s="1"/>
  <c r="B29" i="3"/>
  <c r="AJ28" i="3"/>
  <c r="AI28" i="3"/>
  <c r="G28" i="3"/>
  <c r="F28" i="3"/>
  <c r="AL28" i="3" s="1"/>
  <c r="E28" i="3"/>
  <c r="D28" i="3"/>
  <c r="C28" i="3"/>
  <c r="B28" i="3"/>
  <c r="G27" i="3"/>
  <c r="L26" i="7" s="1"/>
  <c r="F27" i="3"/>
  <c r="AL27" i="3" s="1"/>
  <c r="E27" i="3"/>
  <c r="D27" i="3"/>
  <c r="C27" i="3"/>
  <c r="B27" i="3"/>
  <c r="J26" i="7" s="1"/>
  <c r="G26" i="3"/>
  <c r="AL26" i="3" s="1"/>
  <c r="F26" i="3"/>
  <c r="E26" i="3"/>
  <c r="D26" i="3"/>
  <c r="AJ26" i="3" s="1"/>
  <c r="C26" i="3"/>
  <c r="AI26" i="3" s="1"/>
  <c r="B26" i="3"/>
  <c r="AL25" i="3"/>
  <c r="G25" i="3"/>
  <c r="F25" i="3"/>
  <c r="E25" i="3"/>
  <c r="D25" i="3"/>
  <c r="C25" i="3"/>
  <c r="B25" i="3"/>
  <c r="G24" i="3"/>
  <c r="L23" i="7" s="1"/>
  <c r="F24" i="3"/>
  <c r="E24" i="3"/>
  <c r="D24" i="3"/>
  <c r="C24" i="3"/>
  <c r="B24" i="3"/>
  <c r="G23" i="3"/>
  <c r="L22" i="7" s="1"/>
  <c r="F23" i="3"/>
  <c r="AL23" i="3" s="1"/>
  <c r="E23" i="3"/>
  <c r="D23" i="3"/>
  <c r="AJ23" i="3" s="1"/>
  <c r="C23" i="3"/>
  <c r="B23" i="3"/>
  <c r="G22" i="3"/>
  <c r="L21" i="7" s="1"/>
  <c r="F22" i="3"/>
  <c r="AL22" i="3" s="1"/>
  <c r="E22" i="3"/>
  <c r="D22" i="3"/>
  <c r="C22" i="3"/>
  <c r="B22" i="3"/>
  <c r="G21" i="3"/>
  <c r="L20" i="7" s="1"/>
  <c r="F21" i="3"/>
  <c r="E21" i="3"/>
  <c r="AK21" i="3" s="1"/>
  <c r="D21" i="3"/>
  <c r="C21" i="3"/>
  <c r="B21" i="3"/>
  <c r="G20" i="3"/>
  <c r="F20" i="3"/>
  <c r="E20" i="3"/>
  <c r="AK20" i="3" s="1"/>
  <c r="D20" i="3"/>
  <c r="AJ20" i="3" s="1"/>
  <c r="C20" i="3"/>
  <c r="AI20" i="3" s="1"/>
  <c r="B20" i="3"/>
  <c r="AK19" i="3"/>
  <c r="G19" i="3"/>
  <c r="L18" i="7" s="1"/>
  <c r="F19" i="3"/>
  <c r="E19" i="3"/>
  <c r="D19" i="3"/>
  <c r="AJ19" i="3" s="1"/>
  <c r="C19" i="3"/>
  <c r="AI19" i="3" s="1"/>
  <c r="B19" i="3"/>
  <c r="J18" i="7" s="1"/>
  <c r="AK18" i="3"/>
  <c r="AJ18" i="3"/>
  <c r="G18" i="3"/>
  <c r="L17" i="7" s="1"/>
  <c r="F18" i="3"/>
  <c r="AL18" i="3" s="1"/>
  <c r="E18" i="3"/>
  <c r="D18" i="3"/>
  <c r="C18" i="3"/>
  <c r="B18" i="3"/>
  <c r="G17" i="3"/>
  <c r="L16" i="7" s="1"/>
  <c r="F17" i="3"/>
  <c r="E17" i="3"/>
  <c r="D17" i="3"/>
  <c r="C17" i="3"/>
  <c r="B17" i="3"/>
  <c r="G16" i="3"/>
  <c r="L15" i="7" s="1"/>
  <c r="F16" i="3"/>
  <c r="AL16" i="3" s="1"/>
  <c r="E16" i="3"/>
  <c r="AK16" i="3" s="1"/>
  <c r="D16" i="3"/>
  <c r="C16" i="3"/>
  <c r="AI16" i="3" s="1"/>
  <c r="B16" i="3"/>
  <c r="AH16" i="3" s="1"/>
  <c r="G15" i="3"/>
  <c r="L14" i="7" s="1"/>
  <c r="F15" i="3"/>
  <c r="E15" i="3"/>
  <c r="AK15" i="3" s="1"/>
  <c r="D15" i="3"/>
  <c r="AJ15" i="3" s="1"/>
  <c r="C15" i="3"/>
  <c r="AI15" i="3" s="1"/>
  <c r="B15" i="3"/>
  <c r="AH15" i="3" s="1"/>
  <c r="AL14" i="3"/>
  <c r="G14" i="3"/>
  <c r="L13" i="7" s="1"/>
  <c r="F14" i="3"/>
  <c r="E14" i="3"/>
  <c r="D14" i="3"/>
  <c r="C14" i="3"/>
  <c r="B14" i="3"/>
  <c r="G13" i="3"/>
  <c r="L12" i="7" s="1"/>
  <c r="F13" i="3"/>
  <c r="E13" i="3"/>
  <c r="D13" i="3"/>
  <c r="C13" i="3"/>
  <c r="B13" i="3"/>
  <c r="G12" i="3"/>
  <c r="L11" i="7" s="1"/>
  <c r="F12" i="3"/>
  <c r="AL12" i="3" s="1"/>
  <c r="E12" i="3"/>
  <c r="AK12" i="3" s="1"/>
  <c r="D12" i="3"/>
  <c r="AJ12" i="3" s="1"/>
  <c r="C12" i="3"/>
  <c r="AI12" i="3" s="1"/>
  <c r="B12" i="3"/>
  <c r="G11" i="3"/>
  <c r="AL11" i="3" s="1"/>
  <c r="F11" i="3"/>
  <c r="E11" i="3"/>
  <c r="D11" i="3"/>
  <c r="C11" i="3"/>
  <c r="B11" i="3"/>
  <c r="G10" i="3"/>
  <c r="L9" i="7" s="1"/>
  <c r="F10" i="3"/>
  <c r="AL10" i="3" s="1"/>
  <c r="E10" i="3"/>
  <c r="AK10" i="3" s="1"/>
  <c r="D10" i="3"/>
  <c r="C10" i="3"/>
  <c r="B10" i="3"/>
  <c r="AL9" i="3"/>
  <c r="G9" i="3"/>
  <c r="F9" i="3"/>
  <c r="E9" i="3"/>
  <c r="AK9" i="3" s="1"/>
  <c r="D9" i="3"/>
  <c r="AJ9" i="3" s="1"/>
  <c r="C9" i="3"/>
  <c r="AI9" i="3" s="1"/>
  <c r="B9" i="3"/>
  <c r="AL8" i="3"/>
  <c r="G8" i="3"/>
  <c r="L7" i="7" s="1"/>
  <c r="F8" i="3"/>
  <c r="E8" i="3"/>
  <c r="D8" i="3"/>
  <c r="C8" i="3"/>
  <c r="AI8" i="3" s="1"/>
  <c r="B8" i="3"/>
  <c r="AH8" i="3" s="1"/>
  <c r="G7" i="3"/>
  <c r="AJ7" i="3" s="1"/>
  <c r="F7" i="3"/>
  <c r="E7" i="3"/>
  <c r="D7" i="3"/>
  <c r="K6" i="7" s="1"/>
  <c r="C7" i="3"/>
  <c r="B7" i="3"/>
  <c r="G6" i="3"/>
  <c r="F6" i="3"/>
  <c r="E6" i="3"/>
  <c r="AK6" i="3" s="1"/>
  <c r="D6" i="3"/>
  <c r="C6" i="3"/>
  <c r="B6" i="3"/>
  <c r="AH6" i="3" s="1"/>
  <c r="AD5" i="3"/>
  <c r="Z5" i="3"/>
  <c r="W5" i="3"/>
  <c r="AE5" i="3" s="1"/>
  <c r="V5" i="3"/>
  <c r="U5" i="3"/>
  <c r="T5" i="3"/>
  <c r="S5" i="3"/>
  <c r="AA5" i="3" s="1"/>
  <c r="R5" i="3"/>
  <c r="H10" i="1"/>
  <c r="E10" i="1"/>
  <c r="B20" i="7" l="1"/>
  <c r="B19" i="7"/>
  <c r="C19" i="7"/>
  <c r="E4" i="4"/>
  <c r="E5" i="4"/>
  <c r="E8" i="4"/>
  <c r="E6" i="4"/>
  <c r="H6" i="4"/>
  <c r="H8" i="5"/>
  <c r="AK13" i="3"/>
  <c r="J14" i="7"/>
  <c r="AH19" i="3"/>
  <c r="AI27" i="3"/>
  <c r="J34" i="7"/>
  <c r="H6" i="5"/>
  <c r="H7" i="4"/>
  <c r="H5" i="4"/>
  <c r="M6" i="3"/>
  <c r="M7" i="3" s="1"/>
  <c r="AJ13" i="3"/>
  <c r="AI10" i="3"/>
  <c r="D9" i="4"/>
  <c r="AJ14" i="3"/>
  <c r="AI35" i="3"/>
  <c r="AK14" i="3"/>
  <c r="AI18" i="3"/>
  <c r="AI21" i="3"/>
  <c r="AK27" i="3"/>
  <c r="AJ35" i="3"/>
  <c r="H15" i="7"/>
  <c r="AI24" i="3"/>
  <c r="H26" i="7"/>
  <c r="AI14" i="3"/>
  <c r="K18" i="7"/>
  <c r="AL24" i="3"/>
  <c r="D8" i="4"/>
  <c r="I26" i="7"/>
  <c r="AJ8" i="3"/>
  <c r="AL15" i="3"/>
  <c r="AL20" i="3"/>
  <c r="AI22" i="3"/>
  <c r="AL34" i="3"/>
  <c r="D6" i="4"/>
  <c r="AK24" i="3"/>
  <c r="AJ27" i="3"/>
  <c r="J6" i="7"/>
  <c r="AK8" i="3"/>
  <c r="AK11" i="3"/>
  <c r="AL19" i="3"/>
  <c r="AJ22" i="3"/>
  <c r="AH24" i="3"/>
  <c r="AI25" i="3"/>
  <c r="D4" i="4"/>
  <c r="AL13" i="3"/>
  <c r="AJ24" i="3"/>
  <c r="AH27" i="3"/>
  <c r="AI13" i="3"/>
  <c r="AK22" i="3"/>
  <c r="K34" i="7"/>
  <c r="E23" i="7"/>
  <c r="D22" i="7"/>
  <c r="I4" i="10"/>
  <c r="J4" i="10" s="1"/>
  <c r="K4" i="10" s="1"/>
  <c r="D20" i="7"/>
  <c r="M4" i="10"/>
  <c r="M5" i="10" s="1"/>
  <c r="M6" i="10" s="1"/>
  <c r="M7" i="10" s="1"/>
  <c r="M8" i="10" s="1"/>
  <c r="M9" i="10" s="1"/>
  <c r="M10" i="10" s="1"/>
  <c r="C132" i="10" s="1"/>
  <c r="C20" i="7"/>
  <c r="B23" i="7"/>
  <c r="E20" i="7"/>
  <c r="C22" i="7"/>
  <c r="K21" i="7"/>
  <c r="I21" i="7"/>
  <c r="H21" i="7"/>
  <c r="J21" i="7"/>
  <c r="AJ10" i="3"/>
  <c r="J9" i="7"/>
  <c r="L6" i="7"/>
  <c r="AI7" i="3"/>
  <c r="AH7" i="3"/>
  <c r="K15" i="7"/>
  <c r="AJ16" i="3"/>
  <c r="I8" i="4"/>
  <c r="H19" i="7"/>
  <c r="AH20" i="3"/>
  <c r="J19" i="7"/>
  <c r="K19" i="7"/>
  <c r="AH22" i="3"/>
  <c r="AK33" i="3"/>
  <c r="K8" i="4"/>
  <c r="H5" i="7"/>
  <c r="H39" i="7" s="1"/>
  <c r="J4" i="4"/>
  <c r="J5" i="7"/>
  <c r="J39" i="7" s="1"/>
  <c r="J40" i="7" s="1"/>
  <c r="K4" i="4"/>
  <c r="I4" i="4"/>
  <c r="E5" i="6"/>
  <c r="D5" i="6"/>
  <c r="C5" i="6"/>
  <c r="J6" i="3"/>
  <c r="B5" i="6"/>
  <c r="F5" i="6"/>
  <c r="D5" i="5"/>
  <c r="E5" i="5" s="1"/>
  <c r="F6" i="6"/>
  <c r="E6" i="6"/>
  <c r="D6" i="6"/>
  <c r="C6" i="6"/>
  <c r="J5" i="4"/>
  <c r="B6" i="6"/>
  <c r="D6" i="5"/>
  <c r="E6" i="5" s="1"/>
  <c r="K5" i="4"/>
  <c r="F5" i="4"/>
  <c r="K6" i="3"/>
  <c r="S6" i="3" s="1"/>
  <c r="AI6" i="3"/>
  <c r="C8" i="6"/>
  <c r="I5" i="4"/>
  <c r="H11" i="7"/>
  <c r="K11" i="7"/>
  <c r="J11" i="7"/>
  <c r="AH12" i="3"/>
  <c r="AH13" i="3"/>
  <c r="I12" i="7"/>
  <c r="K12" i="7"/>
  <c r="J12" i="7"/>
  <c r="H12" i="7"/>
  <c r="K17" i="7"/>
  <c r="J17" i="7"/>
  <c r="H17" i="7"/>
  <c r="I17" i="7"/>
  <c r="AH18" i="3"/>
  <c r="AL33" i="3"/>
  <c r="H34" i="7"/>
  <c r="I34" i="7"/>
  <c r="AH35" i="3"/>
  <c r="K7" i="4"/>
  <c r="I40" i="10"/>
  <c r="K5" i="7"/>
  <c r="K39" i="7" s="1"/>
  <c r="K40" i="7" s="1"/>
  <c r="D9" i="6"/>
  <c r="M8" i="3"/>
  <c r="J13" i="7"/>
  <c r="H13" i="7"/>
  <c r="K13" i="7"/>
  <c r="AH14" i="3"/>
  <c r="I35" i="10"/>
  <c r="J6" i="4"/>
  <c r="B7" i="6"/>
  <c r="E7" i="6"/>
  <c r="D7" i="6"/>
  <c r="C7" i="6"/>
  <c r="K6" i="4"/>
  <c r="L6" i="3"/>
  <c r="T6" i="3" s="1"/>
  <c r="D7" i="5"/>
  <c r="E7" i="5" s="1"/>
  <c r="I6" i="4"/>
  <c r="F6" i="4"/>
  <c r="AJ6" i="3"/>
  <c r="H25" i="7"/>
  <c r="I25" i="7"/>
  <c r="K25" i="7"/>
  <c r="J25" i="7"/>
  <c r="AH26" i="3"/>
  <c r="AI17" i="3"/>
  <c r="H16" i="7"/>
  <c r="AC5" i="3"/>
  <c r="U6" i="3"/>
  <c r="U7" i="3" s="1"/>
  <c r="AK7" i="3"/>
  <c r="D13" i="7"/>
  <c r="C13" i="7"/>
  <c r="E13" i="7"/>
  <c r="L5" i="7"/>
  <c r="L39" i="7" s="1"/>
  <c r="J9" i="4"/>
  <c r="K9" i="4"/>
  <c r="I9" i="4"/>
  <c r="AL6" i="3"/>
  <c r="F9" i="4"/>
  <c r="O6" i="3"/>
  <c r="AL7" i="3"/>
  <c r="L29" i="7"/>
  <c r="H5" i="10"/>
  <c r="H6" i="10" s="1"/>
  <c r="H7" i="10" s="1"/>
  <c r="H8" i="10" s="1"/>
  <c r="H32" i="7"/>
  <c r="F4" i="4"/>
  <c r="F7" i="6"/>
  <c r="AB5" i="3"/>
  <c r="AK29" i="3"/>
  <c r="K28" i="7"/>
  <c r="J28" i="7"/>
  <c r="I28" i="7"/>
  <c r="F9" i="6"/>
  <c r="H6" i="7"/>
  <c r="L10" i="7"/>
  <c r="AI11" i="3"/>
  <c r="AJ11" i="3"/>
  <c r="L27" i="7"/>
  <c r="AH28" i="3"/>
  <c r="H31" i="7"/>
  <c r="J31" i="7"/>
  <c r="K31" i="7"/>
  <c r="AH32" i="3"/>
  <c r="H5" i="5"/>
  <c r="B8" i="6"/>
  <c r="H9" i="7"/>
  <c r="I9" i="7"/>
  <c r="AJ21" i="3"/>
  <c r="L24" i="7"/>
  <c r="AH25" i="3"/>
  <c r="AI30" i="3"/>
  <c r="AI33" i="3"/>
  <c r="N6" i="3"/>
  <c r="AK28" i="3"/>
  <c r="AJ30" i="3"/>
  <c r="AJ33" i="3"/>
  <c r="H7" i="5"/>
  <c r="L25" i="7"/>
  <c r="K32" i="7"/>
  <c r="I12" i="10"/>
  <c r="I50" i="10"/>
  <c r="F8" i="6"/>
  <c r="E8" i="6"/>
  <c r="D8" i="6"/>
  <c r="J7" i="4"/>
  <c r="D8" i="5"/>
  <c r="E8" i="5" s="1"/>
  <c r="F7" i="4"/>
  <c r="C8" i="5" s="1"/>
  <c r="K7" i="7"/>
  <c r="H7" i="7"/>
  <c r="J7" i="7"/>
  <c r="H14" i="7"/>
  <c r="K14" i="7"/>
  <c r="I14" i="7"/>
  <c r="AK17" i="3"/>
  <c r="I6" i="7"/>
  <c r="K9" i="7"/>
  <c r="B9" i="6"/>
  <c r="D9" i="5"/>
  <c r="E9" i="5" s="1"/>
  <c r="J8" i="4"/>
  <c r="C9" i="6"/>
  <c r="F8" i="4"/>
  <c r="K16" i="7"/>
  <c r="J16" i="7"/>
  <c r="AH17" i="3"/>
  <c r="AL17" i="3"/>
  <c r="G9" i="5" s="1"/>
  <c r="AK23" i="3"/>
  <c r="AK31" i="3"/>
  <c r="I7" i="4"/>
  <c r="E9" i="6"/>
  <c r="I32" i="10"/>
  <c r="I41" i="10"/>
  <c r="I70" i="10"/>
  <c r="I47" i="10"/>
  <c r="E19" i="7"/>
  <c r="D19" i="7"/>
  <c r="I16" i="7"/>
  <c r="AJ17" i="3"/>
  <c r="AK26" i="3"/>
  <c r="L33" i="7"/>
  <c r="AJ34" i="3"/>
  <c r="AK25" i="3"/>
  <c r="B21" i="7"/>
  <c r="D21" i="7"/>
  <c r="E21" i="7"/>
  <c r="J8" i="7"/>
  <c r="I8" i="7"/>
  <c r="H8" i="7"/>
  <c r="AH9" i="3"/>
  <c r="AH10" i="3"/>
  <c r="K23" i="7"/>
  <c r="J23" i="7"/>
  <c r="AJ25" i="3"/>
  <c r="L30" i="7"/>
  <c r="AJ31" i="3"/>
  <c r="AI31" i="3"/>
  <c r="AL21" i="3"/>
  <c r="K26" i="7"/>
  <c r="K29" i="7"/>
  <c r="AH33" i="3"/>
  <c r="K8" i="7"/>
  <c r="H23" i="7"/>
  <c r="I32" i="7"/>
  <c r="I44" i="10"/>
  <c r="I23" i="7"/>
  <c r="J32" i="7"/>
  <c r="I33" i="10"/>
  <c r="I95" i="10"/>
  <c r="I52" i="10"/>
  <c r="H24" i="7"/>
  <c r="H9" i="5"/>
  <c r="J29" i="7"/>
  <c r="I72" i="10"/>
  <c r="K10" i="7"/>
  <c r="J22" i="7"/>
  <c r="H22" i="7"/>
  <c r="K22" i="7"/>
  <c r="J27" i="7"/>
  <c r="H10" i="7"/>
  <c r="H18" i="7"/>
  <c r="AI23" i="3"/>
  <c r="AH23" i="3"/>
  <c r="AH29" i="3"/>
  <c r="H28" i="7"/>
  <c r="I10" i="7"/>
  <c r="I18" i="7"/>
  <c r="I24" i="10"/>
  <c r="I87" i="10"/>
  <c r="AH11" i="3"/>
  <c r="J15" i="7"/>
  <c r="J20" i="7"/>
  <c r="K20" i="7"/>
  <c r="H20" i="7"/>
  <c r="AH21" i="3"/>
  <c r="H29" i="7"/>
  <c r="C5" i="10"/>
  <c r="C6" i="10" s="1"/>
  <c r="C7" i="10" s="1"/>
  <c r="C8" i="10" s="1"/>
  <c r="K30" i="7"/>
  <c r="AH31" i="3"/>
  <c r="J30" i="7"/>
  <c r="H30" i="7"/>
  <c r="H8" i="4"/>
  <c r="E22" i="7"/>
  <c r="J10" i="7"/>
  <c r="L4" i="10"/>
  <c r="J33" i="7"/>
  <c r="K33" i="7"/>
  <c r="I31" i="7"/>
  <c r="C23" i="7"/>
  <c r="I11" i="7"/>
  <c r="I33" i="7"/>
  <c r="I20" i="7"/>
  <c r="I15" i="7"/>
  <c r="I29" i="7"/>
  <c r="I27" i="7"/>
  <c r="I31" i="10"/>
  <c r="I97" i="10"/>
  <c r="B22" i="7"/>
  <c r="C9" i="7"/>
  <c r="I30" i="7"/>
  <c r="H33" i="7"/>
  <c r="I20" i="10"/>
  <c r="H27" i="7"/>
  <c r="AH34" i="3"/>
  <c r="I13" i="7"/>
  <c r="I22" i="7"/>
  <c r="I24" i="7"/>
  <c r="K27" i="7"/>
  <c r="G4" i="10"/>
  <c r="I9" i="10"/>
  <c r="K24" i="7"/>
  <c r="J24" i="7"/>
  <c r="I5" i="7"/>
  <c r="I39" i="7" s="1"/>
  <c r="I7" i="7"/>
  <c r="I19" i="7"/>
  <c r="C21" i="7"/>
  <c r="D23" i="7"/>
  <c r="I105" i="10"/>
  <c r="I61" i="10"/>
  <c r="I94" i="10"/>
  <c r="I116" i="10"/>
  <c r="J5" i="10" l="1"/>
  <c r="K5" i="10" s="1"/>
  <c r="M11" i="10"/>
  <c r="M12" i="10" s="1"/>
  <c r="M13" i="10" s="1"/>
  <c r="M14" i="10" s="1"/>
  <c r="M15" i="10" s="1"/>
  <c r="M16" i="10" s="1"/>
  <c r="M17" i="10" s="1"/>
  <c r="M18" i="10" s="1"/>
  <c r="M19" i="10" s="1"/>
  <c r="M20" i="10" s="1"/>
  <c r="M21" i="10" s="1"/>
  <c r="M22" i="10" s="1"/>
  <c r="M23" i="10" s="1"/>
  <c r="M24" i="10" s="1"/>
  <c r="M25" i="10" s="1"/>
  <c r="M26" i="10" s="1"/>
  <c r="M27" i="10" s="1"/>
  <c r="M28" i="10" s="1"/>
  <c r="M29" i="10" s="1"/>
  <c r="M30" i="10" s="1"/>
  <c r="M31" i="10" s="1"/>
  <c r="M32" i="10" s="1"/>
  <c r="M33" i="10" s="1"/>
  <c r="M34" i="10" s="1"/>
  <c r="M35" i="10" s="1"/>
  <c r="M36" i="10" s="1"/>
  <c r="M37" i="10" s="1"/>
  <c r="M38" i="10" s="1"/>
  <c r="M39" i="10" s="1"/>
  <c r="M40" i="10" s="1"/>
  <c r="M41" i="10" s="1"/>
  <c r="M42" i="10" s="1"/>
  <c r="M43" i="10" s="1"/>
  <c r="M44" i="10" s="1"/>
  <c r="M45" i="10" s="1"/>
  <c r="M46" i="10" s="1"/>
  <c r="M47" i="10" s="1"/>
  <c r="M48" i="10" s="1"/>
  <c r="M49" i="10" s="1"/>
  <c r="M50" i="10" s="1"/>
  <c r="M51" i="10" s="1"/>
  <c r="M52" i="10" s="1"/>
  <c r="M53" i="10" s="1"/>
  <c r="M54" i="10" s="1"/>
  <c r="M55" i="10" s="1"/>
  <c r="M56" i="10" s="1"/>
  <c r="M57" i="10" s="1"/>
  <c r="M58" i="10" s="1"/>
  <c r="M59" i="10" s="1"/>
  <c r="M60" i="10" s="1"/>
  <c r="M61" i="10" s="1"/>
  <c r="M62" i="10" s="1"/>
  <c r="M63" i="10" s="1"/>
  <c r="M64" i="10" s="1"/>
  <c r="M65" i="10" s="1"/>
  <c r="M66" i="10" s="1"/>
  <c r="M67" i="10" s="1"/>
  <c r="M68" i="10" s="1"/>
  <c r="M69" i="10" s="1"/>
  <c r="M70" i="10" s="1"/>
  <c r="M71" i="10" s="1"/>
  <c r="M72" i="10" s="1"/>
  <c r="M73" i="10" s="1"/>
  <c r="M74" i="10" s="1"/>
  <c r="M75" i="10" s="1"/>
  <c r="M76" i="10" s="1"/>
  <c r="M77" i="10" s="1"/>
  <c r="M78" i="10" s="1"/>
  <c r="M79" i="10" s="1"/>
  <c r="M80" i="10" s="1"/>
  <c r="M81" i="10" s="1"/>
  <c r="M82" i="10" s="1"/>
  <c r="M83" i="10" s="1"/>
  <c r="M84" i="10" s="1"/>
  <c r="M85" i="10" s="1"/>
  <c r="M86" i="10" s="1"/>
  <c r="M87" i="10" s="1"/>
  <c r="M88" i="10" s="1"/>
  <c r="M89" i="10" s="1"/>
  <c r="M90" i="10" s="1"/>
  <c r="M91" i="10" s="1"/>
  <c r="M92" i="10" s="1"/>
  <c r="M93" i="10" s="1"/>
  <c r="M94" i="10" s="1"/>
  <c r="M95" i="10" s="1"/>
  <c r="M96" i="10" s="1"/>
  <c r="M97" i="10" s="1"/>
  <c r="M98" i="10" s="1"/>
  <c r="M99" i="10" s="1"/>
  <c r="M100" i="10" s="1"/>
  <c r="M101" i="10" s="1"/>
  <c r="M102" i="10" s="1"/>
  <c r="M103" i="10" s="1"/>
  <c r="M104" i="10" s="1"/>
  <c r="M105" i="10" s="1"/>
  <c r="M106" i="10" s="1"/>
  <c r="M107" i="10" s="1"/>
  <c r="M108" i="10" s="1"/>
  <c r="M109" i="10" s="1"/>
  <c r="M110" i="10" s="1"/>
  <c r="M111" i="10" s="1"/>
  <c r="M112" i="10" s="1"/>
  <c r="M113" i="10" s="1"/>
  <c r="M114" i="10" s="1"/>
  <c r="M115" i="10" s="1"/>
  <c r="M116" i="10" s="1"/>
  <c r="M117" i="10" s="1"/>
  <c r="M118" i="10" s="1"/>
  <c r="M119" i="10" s="1"/>
  <c r="M120" i="10" s="1"/>
  <c r="M121" i="10" s="1"/>
  <c r="M122" i="10" s="1"/>
  <c r="M123" i="10" s="1"/>
  <c r="C134" i="10" s="1"/>
  <c r="E6" i="10"/>
  <c r="B132" i="10"/>
  <c r="L40" i="7"/>
  <c r="L41" i="7" s="1"/>
  <c r="L42" i="7" s="1"/>
  <c r="L43" i="7" s="1"/>
  <c r="I40" i="7"/>
  <c r="I41" i="7" s="1"/>
  <c r="I42" i="7" s="1"/>
  <c r="I43" i="7" s="1"/>
  <c r="I44" i="7" s="1"/>
  <c r="I45" i="7" s="1"/>
  <c r="I46" i="7" s="1"/>
  <c r="I47" i="7" s="1"/>
  <c r="I48" i="7" s="1"/>
  <c r="I49" i="7" s="1"/>
  <c r="I50" i="7" s="1"/>
  <c r="I51" i="7" s="1"/>
  <c r="I52" i="7" s="1"/>
  <c r="I53" i="7" s="1"/>
  <c r="I54" i="7" s="1"/>
  <c r="I55" i="7" s="1"/>
  <c r="I56" i="7" s="1"/>
  <c r="I57" i="7" s="1"/>
  <c r="I58" i="7" s="1"/>
  <c r="I59" i="7" s="1"/>
  <c r="I60" i="7" s="1"/>
  <c r="I61" i="7" s="1"/>
  <c r="I62" i="7" s="1"/>
  <c r="I63" i="7" s="1"/>
  <c r="I64" i="7" s="1"/>
  <c r="I65" i="7" s="1"/>
  <c r="I66" i="7" s="1"/>
  <c r="I67" i="7" s="1"/>
  <c r="I68" i="7" s="1"/>
  <c r="B14" i="7"/>
  <c r="B15" i="7" s="1"/>
  <c r="C9" i="5"/>
  <c r="C5" i="5"/>
  <c r="J6" i="10"/>
  <c r="K6" i="10" s="1"/>
  <c r="U8" i="3"/>
  <c r="G7" i="5"/>
  <c r="G5" i="5"/>
  <c r="G8" i="5"/>
  <c r="C7" i="5"/>
  <c r="L5" i="10"/>
  <c r="K41" i="7"/>
  <c r="K42" i="7" s="1"/>
  <c r="K43" i="7" s="1"/>
  <c r="K44" i="7" s="1"/>
  <c r="K45" i="7" s="1"/>
  <c r="K46" i="7" s="1"/>
  <c r="K47" i="7" s="1"/>
  <c r="K48" i="7" s="1"/>
  <c r="K49" i="7" s="1"/>
  <c r="K50" i="7" s="1"/>
  <c r="K51" i="7" s="1"/>
  <c r="K52" i="7" s="1"/>
  <c r="K53" i="7" s="1"/>
  <c r="K54" i="7" s="1"/>
  <c r="K55" i="7" s="1"/>
  <c r="K56" i="7" s="1"/>
  <c r="K57" i="7" s="1"/>
  <c r="K58" i="7" s="1"/>
  <c r="K59" i="7" s="1"/>
  <c r="K60" i="7" s="1"/>
  <c r="K61" i="7" s="1"/>
  <c r="K62" i="7" s="1"/>
  <c r="K63" i="7" s="1"/>
  <c r="K64" i="7" s="1"/>
  <c r="K65" i="7" s="1"/>
  <c r="K66" i="7" s="1"/>
  <c r="K67" i="7" s="1"/>
  <c r="K68" i="7" s="1"/>
  <c r="AC6" i="3"/>
  <c r="R6" i="3"/>
  <c r="J7" i="3"/>
  <c r="J7" i="10"/>
  <c r="E8" i="10"/>
  <c r="C9" i="10"/>
  <c r="N7" i="3"/>
  <c r="AD6" i="3"/>
  <c r="V6" i="3"/>
  <c r="E7" i="10"/>
  <c r="D14" i="7"/>
  <c r="D15" i="7" s="1"/>
  <c r="J9" i="10"/>
  <c r="C14" i="7"/>
  <c r="C15" i="7" s="1"/>
  <c r="E14" i="7"/>
  <c r="E15" i="7" s="1"/>
  <c r="L44" i="7"/>
  <c r="L45" i="7" s="1"/>
  <c r="L46" i="7" s="1"/>
  <c r="L47" i="7" s="1"/>
  <c r="L48" i="7" s="1"/>
  <c r="L49" i="7" s="1"/>
  <c r="L50" i="7" s="1"/>
  <c r="L51" i="7" s="1"/>
  <c r="L52" i="7" s="1"/>
  <c r="L53" i="7" s="1"/>
  <c r="L54" i="7" s="1"/>
  <c r="L55" i="7" s="1"/>
  <c r="L56" i="7" s="1"/>
  <c r="L57" i="7" s="1"/>
  <c r="L58" i="7" s="1"/>
  <c r="L59" i="7" s="1"/>
  <c r="L60" i="7" s="1"/>
  <c r="L61" i="7" s="1"/>
  <c r="L62" i="7" s="1"/>
  <c r="L63" i="7" s="1"/>
  <c r="L64" i="7" s="1"/>
  <c r="L65" i="7" s="1"/>
  <c r="L66" i="7" s="1"/>
  <c r="L67" i="7" s="1"/>
  <c r="L68" i="7" s="1"/>
  <c r="L7" i="3"/>
  <c r="AB6" i="3"/>
  <c r="E5" i="10"/>
  <c r="F5" i="10" s="1"/>
  <c r="H9" i="10"/>
  <c r="H10" i="10" s="1"/>
  <c r="J8" i="10"/>
  <c r="G6" i="5"/>
  <c r="J41" i="7"/>
  <c r="J42" i="7" s="1"/>
  <c r="J43" i="7" s="1"/>
  <c r="J44" i="7" s="1"/>
  <c r="J45" i="7" s="1"/>
  <c r="J46" i="7" s="1"/>
  <c r="J47" i="7" s="1"/>
  <c r="J48" i="7" s="1"/>
  <c r="J49" i="7" s="1"/>
  <c r="J50" i="7" s="1"/>
  <c r="J51" i="7" s="1"/>
  <c r="J52" i="7" s="1"/>
  <c r="J53" i="7" s="1"/>
  <c r="J54" i="7" s="1"/>
  <c r="J55" i="7" s="1"/>
  <c r="J56" i="7" s="1"/>
  <c r="J57" i="7" s="1"/>
  <c r="J58" i="7" s="1"/>
  <c r="J59" i="7" s="1"/>
  <c r="J60" i="7" s="1"/>
  <c r="J61" i="7" s="1"/>
  <c r="J62" i="7" s="1"/>
  <c r="J63" i="7" s="1"/>
  <c r="J64" i="7" s="1"/>
  <c r="J65" i="7" s="1"/>
  <c r="J66" i="7" s="1"/>
  <c r="J67" i="7" s="1"/>
  <c r="J68" i="7" s="1"/>
  <c r="M9" i="3"/>
  <c r="AC8" i="3"/>
  <c r="AA6" i="3"/>
  <c r="K7" i="3"/>
  <c r="S7" i="3" s="1"/>
  <c r="AC7" i="3"/>
  <c r="C6" i="5"/>
  <c r="H40" i="7"/>
  <c r="H41" i="7" s="1"/>
  <c r="H42" i="7" s="1"/>
  <c r="H43" i="7" s="1"/>
  <c r="H44" i="7" s="1"/>
  <c r="H45" i="7" s="1"/>
  <c r="H46" i="7" s="1"/>
  <c r="H47" i="7" s="1"/>
  <c r="H48" i="7" s="1"/>
  <c r="H49" i="7" s="1"/>
  <c r="H50" i="7" s="1"/>
  <c r="H51" i="7" s="1"/>
  <c r="H52" i="7" s="1"/>
  <c r="H53" i="7" s="1"/>
  <c r="H54" i="7" s="1"/>
  <c r="H55" i="7" s="1"/>
  <c r="H56" i="7" s="1"/>
  <c r="H57" i="7" s="1"/>
  <c r="H58" i="7" s="1"/>
  <c r="H59" i="7" s="1"/>
  <c r="H60" i="7" s="1"/>
  <c r="H61" i="7" s="1"/>
  <c r="H62" i="7" s="1"/>
  <c r="H63" i="7" s="1"/>
  <c r="H64" i="7" s="1"/>
  <c r="H65" i="7" s="1"/>
  <c r="H66" i="7" s="1"/>
  <c r="H67" i="7" s="1"/>
  <c r="H68" i="7" s="1"/>
  <c r="O7" i="3"/>
  <c r="W6" i="3"/>
  <c r="W7" i="3" s="1"/>
  <c r="AE6" i="3"/>
  <c r="B134" i="10" l="1"/>
  <c r="V7" i="3"/>
  <c r="M10" i="3"/>
  <c r="L8" i="3"/>
  <c r="U9" i="3"/>
  <c r="C10" i="10"/>
  <c r="E9" i="10"/>
  <c r="J8" i="3"/>
  <c r="AD7" i="3"/>
  <c r="N8" i="3"/>
  <c r="V8" i="3" s="1"/>
  <c r="O8" i="3"/>
  <c r="AE7" i="3"/>
  <c r="R7" i="3"/>
  <c r="K7" i="10"/>
  <c r="L6" i="10"/>
  <c r="H11" i="10"/>
  <c r="J10" i="10"/>
  <c r="AA7" i="3"/>
  <c r="K8" i="3"/>
  <c r="S8" i="3" s="1"/>
  <c r="T7" i="3"/>
  <c r="T8" i="3" s="1"/>
  <c r="F6" i="10"/>
  <c r="G5" i="10"/>
  <c r="Z6" i="3"/>
  <c r="R8" i="3" l="1"/>
  <c r="M11" i="3"/>
  <c r="K8" i="10"/>
  <c r="L7" i="10"/>
  <c r="U10" i="3"/>
  <c r="U11" i="3" s="1"/>
  <c r="V9" i="3"/>
  <c r="C11" i="10"/>
  <c r="E10" i="10"/>
  <c r="AB7" i="3"/>
  <c r="O9" i="3"/>
  <c r="AC9" i="3"/>
  <c r="AD8" i="3"/>
  <c r="N9" i="3"/>
  <c r="W8" i="3"/>
  <c r="Z8" i="3"/>
  <c r="J9" i="3"/>
  <c r="F7" i="10"/>
  <c r="G6" i="10"/>
  <c r="L9" i="3"/>
  <c r="AB8" i="3"/>
  <c r="AA8" i="3"/>
  <c r="K9" i="3"/>
  <c r="H12" i="10"/>
  <c r="J11" i="10"/>
  <c r="Z7" i="3"/>
  <c r="W9" i="3" l="1"/>
  <c r="J10" i="3"/>
  <c r="N10" i="3"/>
  <c r="V10" i="3" s="1"/>
  <c r="AD9" i="3"/>
  <c r="AE8" i="3"/>
  <c r="C12" i="10"/>
  <c r="E11" i="10"/>
  <c r="K10" i="3"/>
  <c r="L10" i="3"/>
  <c r="H13" i="10"/>
  <c r="J12" i="10"/>
  <c r="K9" i="10"/>
  <c r="L8" i="10"/>
  <c r="O10" i="3"/>
  <c r="W10" i="3" s="1"/>
  <c r="AE9" i="3"/>
  <c r="AC11" i="3"/>
  <c r="M12" i="3"/>
  <c r="AC10" i="3"/>
  <c r="T9" i="3"/>
  <c r="T10" i="3" s="1"/>
  <c r="S9" i="3"/>
  <c r="S10" i="3" s="1"/>
  <c r="F8" i="10"/>
  <c r="G7" i="10"/>
  <c r="R9" i="3"/>
  <c r="R10" i="3" s="1"/>
  <c r="G8" i="10" l="1"/>
  <c r="F9" i="10"/>
  <c r="K10" i="10"/>
  <c r="L9" i="10"/>
  <c r="H14" i="10"/>
  <c r="J13" i="10"/>
  <c r="M13" i="3"/>
  <c r="AC12" i="3"/>
  <c r="AA10" i="3"/>
  <c r="K11" i="3"/>
  <c r="S11" i="3" s="1"/>
  <c r="Z9" i="3"/>
  <c r="AB9" i="3"/>
  <c r="AB10" i="3"/>
  <c r="L11" i="3"/>
  <c r="AA9" i="3"/>
  <c r="Z10" i="3"/>
  <c r="J11" i="3"/>
  <c r="C13" i="10"/>
  <c r="E12" i="10"/>
  <c r="AD10" i="3"/>
  <c r="N11" i="3"/>
  <c r="O11" i="3"/>
  <c r="AE10" i="3"/>
  <c r="U12" i="3"/>
  <c r="J12" i="3" l="1"/>
  <c r="M14" i="3"/>
  <c r="U13" i="3"/>
  <c r="U14" i="3" s="1"/>
  <c r="G9" i="10"/>
  <c r="F10" i="10"/>
  <c r="O12" i="3"/>
  <c r="H15" i="10"/>
  <c r="J14" i="10"/>
  <c r="K11" i="10"/>
  <c r="L10" i="10"/>
  <c r="C133" i="10" s="1"/>
  <c r="N12" i="3"/>
  <c r="V11" i="3"/>
  <c r="V12" i="3" s="1"/>
  <c r="L12" i="3"/>
  <c r="R11" i="3"/>
  <c r="R12" i="3" s="1"/>
  <c r="K12" i="3"/>
  <c r="AA11" i="3"/>
  <c r="C14" i="10"/>
  <c r="E13" i="10"/>
  <c r="T11" i="3"/>
  <c r="AB11" i="3" s="1"/>
  <c r="W11" i="3"/>
  <c r="AE11" i="3" s="1"/>
  <c r="H16" i="10" l="1"/>
  <c r="J15" i="10"/>
  <c r="O13" i="3"/>
  <c r="K13" i="3"/>
  <c r="G10" i="10"/>
  <c r="B133" i="10" s="1"/>
  <c r="F11" i="10"/>
  <c r="R13" i="3"/>
  <c r="S12" i="3"/>
  <c r="S13" i="3" s="1"/>
  <c r="L13" i="3"/>
  <c r="W12" i="3"/>
  <c r="W13" i="3" s="1"/>
  <c r="N13" i="3"/>
  <c r="AD12" i="3"/>
  <c r="M15" i="3"/>
  <c r="AC14" i="3"/>
  <c r="T12" i="3"/>
  <c r="AD11" i="3"/>
  <c r="AC13" i="3"/>
  <c r="Z11" i="3"/>
  <c r="C15" i="10"/>
  <c r="E14" i="10"/>
  <c r="K12" i="10"/>
  <c r="L11" i="10"/>
  <c r="J13" i="3"/>
  <c r="Z12" i="3"/>
  <c r="T13" i="3" l="1"/>
  <c r="AA12" i="3"/>
  <c r="N14" i="3"/>
  <c r="AB13" i="3"/>
  <c r="L14" i="3"/>
  <c r="S14" i="3"/>
  <c r="M16" i="3"/>
  <c r="AC15" i="3"/>
  <c r="J14" i="3"/>
  <c r="Z13" i="3"/>
  <c r="W14" i="3"/>
  <c r="AE12" i="3"/>
  <c r="AE13" i="3"/>
  <c r="O14" i="3"/>
  <c r="K13" i="10"/>
  <c r="L12" i="10"/>
  <c r="U15" i="3"/>
  <c r="V13" i="3"/>
  <c r="V14" i="3" s="1"/>
  <c r="T14" i="3"/>
  <c r="G11" i="10"/>
  <c r="F12" i="10"/>
  <c r="AA13" i="3"/>
  <c r="K14" i="3"/>
  <c r="C16" i="10"/>
  <c r="E15" i="10"/>
  <c r="AB12" i="3"/>
  <c r="H17" i="10"/>
  <c r="J16" i="10"/>
  <c r="F13" i="10" l="1"/>
  <c r="G12" i="10"/>
  <c r="J15" i="3"/>
  <c r="M17" i="3"/>
  <c r="H18" i="10"/>
  <c r="J17" i="10"/>
  <c r="K14" i="10"/>
  <c r="L13" i="10"/>
  <c r="AB14" i="3"/>
  <c r="L15" i="3"/>
  <c r="AE14" i="3"/>
  <c r="O15" i="3"/>
  <c r="AD14" i="3"/>
  <c r="N15" i="3"/>
  <c r="W15" i="3"/>
  <c r="V15" i="3"/>
  <c r="U16" i="3"/>
  <c r="U17" i="3" s="1"/>
  <c r="R14" i="3"/>
  <c r="R15" i="3" s="1"/>
  <c r="C17" i="10"/>
  <c r="E16" i="10"/>
  <c r="K15" i="3"/>
  <c r="S15" i="3" s="1"/>
  <c r="AA14" i="3"/>
  <c r="AD13" i="3"/>
  <c r="K15" i="10" l="1"/>
  <c r="L14" i="10"/>
  <c r="H19" i="10"/>
  <c r="J18" i="10"/>
  <c r="N16" i="3"/>
  <c r="AD15" i="3"/>
  <c r="Z15" i="3"/>
  <c r="J16" i="3"/>
  <c r="AB15" i="3"/>
  <c r="L16" i="3"/>
  <c r="AC17" i="3"/>
  <c r="M18" i="3"/>
  <c r="AC16" i="3"/>
  <c r="O16" i="3"/>
  <c r="W16" i="3" s="1"/>
  <c r="AE15" i="3"/>
  <c r="Z14" i="3"/>
  <c r="G13" i="10"/>
  <c r="F14" i="10"/>
  <c r="AA15" i="3"/>
  <c r="K16" i="3"/>
  <c r="C18" i="10"/>
  <c r="E17" i="10"/>
  <c r="T15" i="3"/>
  <c r="N17" i="3" l="1"/>
  <c r="L17" i="3"/>
  <c r="J17" i="3"/>
  <c r="T16" i="3"/>
  <c r="T17" i="3" s="1"/>
  <c r="O17" i="3"/>
  <c r="AE16" i="3"/>
  <c r="M19" i="3"/>
  <c r="E18" i="10"/>
  <c r="C19" i="10"/>
  <c r="H20" i="10"/>
  <c r="J19" i="10"/>
  <c r="K17" i="3"/>
  <c r="V16" i="3"/>
  <c r="V17" i="3" s="1"/>
  <c r="U18" i="3"/>
  <c r="K16" i="10"/>
  <c r="L15" i="10"/>
  <c r="F15" i="10"/>
  <c r="G14" i="10"/>
  <c r="R16" i="3"/>
  <c r="Z16" i="3" s="1"/>
  <c r="S16" i="3"/>
  <c r="AA16" i="3" s="1"/>
  <c r="O18" i="3" l="1"/>
  <c r="M20" i="3"/>
  <c r="K18" i="3"/>
  <c r="S17" i="3"/>
  <c r="S18" i="3" s="1"/>
  <c r="U19" i="3"/>
  <c r="U20" i="3" s="1"/>
  <c r="J18" i="3"/>
  <c r="Z17" i="3"/>
  <c r="L18" i="3"/>
  <c r="T18" i="3" s="1"/>
  <c r="AB17" i="3"/>
  <c r="AB16" i="3"/>
  <c r="K17" i="10"/>
  <c r="L16" i="10"/>
  <c r="H21" i="10"/>
  <c r="J20" i="10"/>
  <c r="R17" i="3"/>
  <c r="C20" i="10"/>
  <c r="E19" i="10"/>
  <c r="AD17" i="3"/>
  <c r="N18" i="3"/>
  <c r="V18" i="3" s="1"/>
  <c r="AD16" i="3"/>
  <c r="G15" i="10"/>
  <c r="F16" i="10"/>
  <c r="AC18" i="3"/>
  <c r="W17" i="3"/>
  <c r="W18" i="3" s="1"/>
  <c r="J19" i="3" l="1"/>
  <c r="C21" i="10"/>
  <c r="E20" i="10"/>
  <c r="R18" i="3"/>
  <c r="R19" i="3" s="1"/>
  <c r="H22" i="10"/>
  <c r="J21" i="10"/>
  <c r="AA17" i="3"/>
  <c r="AA18" i="3"/>
  <c r="K19" i="3"/>
  <c r="S19" i="3" s="1"/>
  <c r="F17" i="10"/>
  <c r="G16" i="10"/>
  <c r="K18" i="10"/>
  <c r="L17" i="10"/>
  <c r="M21" i="3"/>
  <c r="AC20" i="3"/>
  <c r="AC19" i="3"/>
  <c r="N19" i="3"/>
  <c r="V19" i="3" s="1"/>
  <c r="AD18" i="3"/>
  <c r="O19" i="3"/>
  <c r="AE18" i="3"/>
  <c r="AB18" i="3"/>
  <c r="L19" i="3"/>
  <c r="AE17" i="3"/>
  <c r="M22" i="3" l="1"/>
  <c r="U21" i="3"/>
  <c r="U22" i="3" s="1"/>
  <c r="S20" i="3"/>
  <c r="K19" i="10"/>
  <c r="L18" i="10"/>
  <c r="R20" i="3"/>
  <c r="L20" i="3"/>
  <c r="V20" i="3"/>
  <c r="Z19" i="3"/>
  <c r="J20" i="3"/>
  <c r="F18" i="10"/>
  <c r="G17" i="10"/>
  <c r="Z18" i="3"/>
  <c r="H23" i="10"/>
  <c r="J22" i="10"/>
  <c r="C22" i="10"/>
  <c r="E21" i="10"/>
  <c r="T19" i="3"/>
  <c r="T20" i="3" s="1"/>
  <c r="AE19" i="3"/>
  <c r="O20" i="3"/>
  <c r="AA19" i="3"/>
  <c r="K20" i="3"/>
  <c r="AD19" i="3"/>
  <c r="N20" i="3"/>
  <c r="W19" i="3"/>
  <c r="AB19" i="3" l="1"/>
  <c r="AB20" i="3"/>
  <c r="L21" i="3"/>
  <c r="O21" i="3"/>
  <c r="AE20" i="3"/>
  <c r="N21" i="3"/>
  <c r="AD20" i="3"/>
  <c r="V21" i="3"/>
  <c r="C23" i="10"/>
  <c r="E22" i="10"/>
  <c r="W20" i="3"/>
  <c r="K20" i="10"/>
  <c r="L19" i="10"/>
  <c r="F19" i="10"/>
  <c r="G18" i="10"/>
  <c r="AC22" i="3"/>
  <c r="M23" i="3"/>
  <c r="H24" i="10"/>
  <c r="J23" i="10"/>
  <c r="AA20" i="3"/>
  <c r="K21" i="3"/>
  <c r="S21" i="3" s="1"/>
  <c r="J21" i="3"/>
  <c r="Z20" i="3"/>
  <c r="AC21" i="3"/>
  <c r="C24" i="10" l="1"/>
  <c r="E23" i="10"/>
  <c r="M24" i="3"/>
  <c r="AC23" i="3"/>
  <c r="N22" i="3"/>
  <c r="AD21" i="3"/>
  <c r="H25" i="10"/>
  <c r="J24" i="10"/>
  <c r="V22" i="3"/>
  <c r="G19" i="10"/>
  <c r="F20" i="10"/>
  <c r="K21" i="10"/>
  <c r="L20" i="10"/>
  <c r="U23" i="3"/>
  <c r="U24" i="3" s="1"/>
  <c r="AE21" i="3"/>
  <c r="O22" i="3"/>
  <c r="J22" i="3"/>
  <c r="R21" i="3"/>
  <c r="R22" i="3" s="1"/>
  <c r="L22" i="3"/>
  <c r="AB21" i="3"/>
  <c r="K22" i="3"/>
  <c r="S22" i="3" s="1"/>
  <c r="AA21" i="3"/>
  <c r="W21" i="3"/>
  <c r="T21" i="3"/>
  <c r="G20" i="10" l="1"/>
  <c r="F21" i="10"/>
  <c r="Z21" i="3"/>
  <c r="N23" i="3"/>
  <c r="V23" i="3" s="1"/>
  <c r="AD22" i="3"/>
  <c r="L23" i="3"/>
  <c r="H26" i="10"/>
  <c r="J25" i="10"/>
  <c r="O23" i="3"/>
  <c r="S23" i="3"/>
  <c r="W22" i="3"/>
  <c r="Z22" i="3"/>
  <c r="J23" i="3"/>
  <c r="T22" i="3"/>
  <c r="T23" i="3" s="1"/>
  <c r="AC24" i="3"/>
  <c r="M25" i="3"/>
  <c r="AA22" i="3"/>
  <c r="K23" i="3"/>
  <c r="K22" i="10"/>
  <c r="L21" i="10"/>
  <c r="C25" i="10"/>
  <c r="E24" i="10"/>
  <c r="AB22" i="3" l="1"/>
  <c r="O24" i="3"/>
  <c r="M26" i="3"/>
  <c r="J26" i="10"/>
  <c r="H27" i="10"/>
  <c r="U25" i="3"/>
  <c r="U26" i="3" s="1"/>
  <c r="L24" i="3"/>
  <c r="AB23" i="3"/>
  <c r="J24" i="3"/>
  <c r="W23" i="3"/>
  <c r="W24" i="3" s="1"/>
  <c r="R23" i="3"/>
  <c r="AD23" i="3"/>
  <c r="N24" i="3"/>
  <c r="C26" i="10"/>
  <c r="E25" i="10"/>
  <c r="G21" i="10"/>
  <c r="F22" i="10"/>
  <c r="V24" i="3"/>
  <c r="K23" i="10"/>
  <c r="L22" i="10"/>
  <c r="K24" i="3"/>
  <c r="S24" i="3" s="1"/>
  <c r="AA23" i="3"/>
  <c r="AE22" i="3"/>
  <c r="J25" i="3" l="1"/>
  <c r="L25" i="3"/>
  <c r="H28" i="10"/>
  <c r="J27" i="10"/>
  <c r="R24" i="3"/>
  <c r="R25" i="3" s="1"/>
  <c r="G22" i="10"/>
  <c r="F23" i="10"/>
  <c r="T24" i="3"/>
  <c r="AB24" i="3" s="1"/>
  <c r="C27" i="10"/>
  <c r="E26" i="10"/>
  <c r="AD24" i="3"/>
  <c r="N25" i="3"/>
  <c r="V25" i="3" s="1"/>
  <c r="AC25" i="3"/>
  <c r="AA24" i="3"/>
  <c r="K25" i="3"/>
  <c r="AC26" i="3"/>
  <c r="M27" i="3"/>
  <c r="O25" i="3"/>
  <c r="AE24" i="3"/>
  <c r="K24" i="10"/>
  <c r="L23" i="10"/>
  <c r="Z23" i="3"/>
  <c r="AE23" i="3"/>
  <c r="K26" i="3" l="1"/>
  <c r="M28" i="3"/>
  <c r="H29" i="10"/>
  <c r="J28" i="10"/>
  <c r="K25" i="10"/>
  <c r="L24" i="10"/>
  <c r="S25" i="3"/>
  <c r="S26" i="3" s="1"/>
  <c r="AD25" i="3"/>
  <c r="N26" i="3"/>
  <c r="U27" i="3"/>
  <c r="AC27" i="3" s="1"/>
  <c r="L26" i="3"/>
  <c r="C28" i="10"/>
  <c r="E27" i="10"/>
  <c r="O26" i="3"/>
  <c r="T25" i="3"/>
  <c r="T26" i="3" s="1"/>
  <c r="J26" i="3"/>
  <c r="Z25" i="3"/>
  <c r="W25" i="3"/>
  <c r="AE25" i="3" s="1"/>
  <c r="F24" i="10"/>
  <c r="G23" i="10"/>
  <c r="Z24" i="3"/>
  <c r="C29" i="10" l="1"/>
  <c r="E28" i="10"/>
  <c r="M29" i="3"/>
  <c r="O27" i="3"/>
  <c r="K26" i="10"/>
  <c r="L25" i="10"/>
  <c r="AA25" i="3"/>
  <c r="J27" i="3"/>
  <c r="R26" i="3"/>
  <c r="R27" i="3" s="1"/>
  <c r="H30" i="10"/>
  <c r="J29" i="10"/>
  <c r="L27" i="3"/>
  <c r="AB26" i="3"/>
  <c r="W26" i="3"/>
  <c r="W27" i="3" s="1"/>
  <c r="N27" i="3"/>
  <c r="AD26" i="3"/>
  <c r="AA26" i="3"/>
  <c r="K27" i="3"/>
  <c r="AB25" i="3"/>
  <c r="G24" i="10"/>
  <c r="F25" i="10"/>
  <c r="U28" i="3"/>
  <c r="U29" i="3" s="1"/>
  <c r="V26" i="3"/>
  <c r="Z26" i="3" l="1"/>
  <c r="AC28" i="3"/>
  <c r="N28" i="3"/>
  <c r="M30" i="3"/>
  <c r="AC29" i="3"/>
  <c r="K27" i="10"/>
  <c r="L26" i="10"/>
  <c r="O28" i="3"/>
  <c r="AE27" i="3"/>
  <c r="V27" i="3"/>
  <c r="V28" i="3" s="1"/>
  <c r="AE26" i="3"/>
  <c r="L28" i="3"/>
  <c r="F26" i="10"/>
  <c r="G25" i="10"/>
  <c r="C30" i="10"/>
  <c r="E29" i="10"/>
  <c r="U30" i="3"/>
  <c r="H31" i="10"/>
  <c r="J30" i="10"/>
  <c r="T27" i="3"/>
  <c r="T28" i="3" s="1"/>
  <c r="K28" i="3"/>
  <c r="Z27" i="3"/>
  <c r="J28" i="3"/>
  <c r="S27" i="3"/>
  <c r="S28" i="3" l="1"/>
  <c r="O29" i="3"/>
  <c r="K28" i="10"/>
  <c r="L27" i="10"/>
  <c r="H32" i="10"/>
  <c r="J31" i="10"/>
  <c r="C31" i="10"/>
  <c r="E30" i="10"/>
  <c r="J29" i="3"/>
  <c r="G26" i="10"/>
  <c r="F27" i="10"/>
  <c r="M31" i="3"/>
  <c r="AC30" i="3"/>
  <c r="AB27" i="3"/>
  <c r="W28" i="3"/>
  <c r="W29" i="3" s="1"/>
  <c r="AA28" i="3"/>
  <c r="K29" i="3"/>
  <c r="AB28" i="3"/>
  <c r="L29" i="3"/>
  <c r="T29" i="3" s="1"/>
  <c r="AD27" i="3"/>
  <c r="AA27" i="3"/>
  <c r="R28" i="3"/>
  <c r="AD28" i="3"/>
  <c r="N29" i="3"/>
  <c r="R29" i="3" l="1"/>
  <c r="F28" i="10"/>
  <c r="G27" i="10"/>
  <c r="AE28" i="3"/>
  <c r="H33" i="10"/>
  <c r="J32" i="10"/>
  <c r="AD29" i="3"/>
  <c r="N30" i="3"/>
  <c r="AC31" i="3"/>
  <c r="M32" i="3"/>
  <c r="J30" i="3"/>
  <c r="Z29" i="3"/>
  <c r="V29" i="3"/>
  <c r="K30" i="3"/>
  <c r="C32" i="10"/>
  <c r="E31" i="10"/>
  <c r="K29" i="10"/>
  <c r="L28" i="10"/>
  <c r="T30" i="3"/>
  <c r="O30" i="3"/>
  <c r="AE29" i="3"/>
  <c r="Z28" i="3"/>
  <c r="L30" i="3"/>
  <c r="AB29" i="3"/>
  <c r="S29" i="3"/>
  <c r="S30" i="3" s="1"/>
  <c r="U31" i="3"/>
  <c r="N31" i="3" l="1"/>
  <c r="M33" i="3"/>
  <c r="U32" i="3"/>
  <c r="U33" i="3" s="1"/>
  <c r="AA30" i="3"/>
  <c r="K31" i="3"/>
  <c r="AB30" i="3"/>
  <c r="L31" i="3"/>
  <c r="T31" i="3" s="1"/>
  <c r="H34" i="10"/>
  <c r="J33" i="10"/>
  <c r="AA29" i="3"/>
  <c r="V30" i="3"/>
  <c r="V31" i="3" s="1"/>
  <c r="F29" i="10"/>
  <c r="G28" i="10"/>
  <c r="O31" i="3"/>
  <c r="K30" i="10"/>
  <c r="L29" i="10"/>
  <c r="C33" i="10"/>
  <c r="E32" i="10"/>
  <c r="W30" i="3"/>
  <c r="AE30" i="3" s="1"/>
  <c r="J31" i="3"/>
  <c r="R30" i="3"/>
  <c r="R31" i="3" l="1"/>
  <c r="F30" i="10"/>
  <c r="G29" i="10"/>
  <c r="AC32" i="3"/>
  <c r="K31" i="10"/>
  <c r="L30" i="10"/>
  <c r="K32" i="3"/>
  <c r="O32" i="3"/>
  <c r="S31" i="3"/>
  <c r="S32" i="3" s="1"/>
  <c r="Z30" i="3"/>
  <c r="J32" i="3"/>
  <c r="R32" i="3" s="1"/>
  <c r="Z31" i="3"/>
  <c r="AC33" i="3"/>
  <c r="M34" i="3"/>
  <c r="W31" i="3"/>
  <c r="AE31" i="3" s="1"/>
  <c r="AD30" i="3"/>
  <c r="C34" i="10"/>
  <c r="E33" i="10"/>
  <c r="L32" i="3"/>
  <c r="AB31" i="3"/>
  <c r="H35" i="10"/>
  <c r="J34" i="10"/>
  <c r="N32" i="3"/>
  <c r="AD31" i="3"/>
  <c r="AA31" i="3" l="1"/>
  <c r="O33" i="3"/>
  <c r="M35" i="3"/>
  <c r="K32" i="10"/>
  <c r="L31" i="10"/>
  <c r="E34" i="10"/>
  <c r="C35" i="10"/>
  <c r="W32" i="3"/>
  <c r="AE32" i="3" s="1"/>
  <c r="K33" i="3"/>
  <c r="AA32" i="3"/>
  <c r="N33" i="3"/>
  <c r="H36" i="10"/>
  <c r="J35" i="10"/>
  <c r="V32" i="3"/>
  <c r="V33" i="3" s="1"/>
  <c r="Z32" i="3"/>
  <c r="J33" i="3"/>
  <c r="G30" i="10"/>
  <c r="F31" i="10"/>
  <c r="L33" i="3"/>
  <c r="U34" i="3"/>
  <c r="AC34" i="3" s="1"/>
  <c r="T32" i="3"/>
  <c r="T33" i="3" l="1"/>
  <c r="J34" i="3"/>
  <c r="C36" i="10"/>
  <c r="E35" i="10"/>
  <c r="AC35" i="3"/>
  <c r="L7" i="4" s="1"/>
  <c r="V34" i="3"/>
  <c r="K33" i="10"/>
  <c r="L32" i="10"/>
  <c r="H37" i="10"/>
  <c r="J36" i="10"/>
  <c r="T34" i="3"/>
  <c r="AD32" i="3"/>
  <c r="R33" i="3"/>
  <c r="R34" i="3" s="1"/>
  <c r="U35" i="3"/>
  <c r="N34" i="3"/>
  <c r="AD33" i="3"/>
  <c r="AB32" i="3"/>
  <c r="O34" i="3"/>
  <c r="AE33" i="3"/>
  <c r="AB33" i="3"/>
  <c r="L34" i="3"/>
  <c r="K34" i="3"/>
  <c r="G31" i="10"/>
  <c r="F32" i="10"/>
  <c r="W33" i="3"/>
  <c r="S33" i="3"/>
  <c r="K35" i="3" l="1"/>
  <c r="L35" i="3"/>
  <c r="AB34" i="3"/>
  <c r="H38" i="10"/>
  <c r="J37" i="10"/>
  <c r="AE34" i="3"/>
  <c r="O35" i="3"/>
  <c r="K34" i="10"/>
  <c r="L33" i="10"/>
  <c r="S34" i="3"/>
  <c r="S35" i="3" s="1"/>
  <c r="W34" i="3"/>
  <c r="AD34" i="3"/>
  <c r="N35" i="3"/>
  <c r="G32" i="10"/>
  <c r="F33" i="10"/>
  <c r="C37" i="10"/>
  <c r="E36" i="10"/>
  <c r="J35" i="3"/>
  <c r="R35" i="3" s="1"/>
  <c r="Z34" i="3"/>
  <c r="AA33" i="3"/>
  <c r="Z33" i="3"/>
  <c r="Z35" i="3" l="1"/>
  <c r="L4" i="4" s="1"/>
  <c r="C38" i="10"/>
  <c r="E37" i="10"/>
  <c r="H39" i="10"/>
  <c r="J38" i="10"/>
  <c r="AD35" i="3"/>
  <c r="L8" i="4" s="1"/>
  <c r="K35" i="10"/>
  <c r="L34" i="10"/>
  <c r="T35" i="3"/>
  <c r="AB35" i="3" s="1"/>
  <c r="L6" i="4" s="1"/>
  <c r="V35" i="3"/>
  <c r="AA34" i="3"/>
  <c r="G33" i="10"/>
  <c r="F34" i="10"/>
  <c r="W35" i="3"/>
  <c r="AE35" i="3" s="1"/>
  <c r="L9" i="4" s="1"/>
  <c r="AA35" i="3"/>
  <c r="L5" i="4" s="1"/>
  <c r="K36" i="10" l="1"/>
  <c r="L35" i="10"/>
  <c r="H40" i="10"/>
  <c r="J39" i="10"/>
  <c r="F35" i="10"/>
  <c r="G34" i="10"/>
  <c r="C39" i="10"/>
  <c r="E38" i="10"/>
  <c r="C40" i="10" l="1"/>
  <c r="E39" i="10"/>
  <c r="G35" i="10"/>
  <c r="F36" i="10"/>
  <c r="H41" i="10"/>
  <c r="J40" i="10"/>
  <c r="K37" i="10"/>
  <c r="L36" i="10"/>
  <c r="K38" i="10" l="1"/>
  <c r="L37" i="10"/>
  <c r="H42" i="10"/>
  <c r="J41" i="10"/>
  <c r="F37" i="10"/>
  <c r="G36" i="10"/>
  <c r="C41" i="10"/>
  <c r="E40" i="10"/>
  <c r="H43" i="10" l="1"/>
  <c r="J42" i="10"/>
  <c r="C42" i="10"/>
  <c r="E41" i="10"/>
  <c r="G37" i="10"/>
  <c r="F38" i="10"/>
  <c r="K39" i="10"/>
  <c r="L38" i="10"/>
  <c r="K40" i="10" l="1"/>
  <c r="L39" i="10"/>
  <c r="F39" i="10"/>
  <c r="G38" i="10"/>
  <c r="C43" i="10"/>
  <c r="E42" i="10"/>
  <c r="H44" i="10"/>
  <c r="J43" i="10"/>
  <c r="H45" i="10" l="1"/>
  <c r="J44" i="10"/>
  <c r="C44" i="10"/>
  <c r="E43" i="10"/>
  <c r="F40" i="10"/>
  <c r="G39" i="10"/>
  <c r="K41" i="10"/>
  <c r="L40" i="10"/>
  <c r="G40" i="10" l="1"/>
  <c r="F41" i="10"/>
  <c r="L41" i="10"/>
  <c r="K42" i="10"/>
  <c r="C45" i="10"/>
  <c r="E44" i="10"/>
  <c r="H46" i="10"/>
  <c r="J45" i="10"/>
  <c r="J46" i="10" l="1"/>
  <c r="H47" i="10"/>
  <c r="E45" i="10"/>
  <c r="C46" i="10"/>
  <c r="L42" i="10"/>
  <c r="K43" i="10"/>
  <c r="F42" i="10"/>
  <c r="G41" i="10"/>
  <c r="F43" i="10" l="1"/>
  <c r="G42" i="10"/>
  <c r="L43" i="10"/>
  <c r="K44" i="10"/>
  <c r="C47" i="10"/>
  <c r="E46" i="10"/>
  <c r="H48" i="10"/>
  <c r="J47" i="10"/>
  <c r="H49" i="10" l="1"/>
  <c r="J48" i="10"/>
  <c r="C48" i="10"/>
  <c r="E47" i="10"/>
  <c r="L44" i="10"/>
  <c r="K45" i="10"/>
  <c r="G43" i="10"/>
  <c r="F44" i="10"/>
  <c r="C49" i="10" l="1"/>
  <c r="E48" i="10"/>
  <c r="F45" i="10"/>
  <c r="G44" i="10"/>
  <c r="L45" i="10"/>
  <c r="K46" i="10"/>
  <c r="H50" i="10"/>
  <c r="J49" i="10"/>
  <c r="H51" i="10" l="1"/>
  <c r="J50" i="10"/>
  <c r="L46" i="10"/>
  <c r="K47" i="10"/>
  <c r="F46" i="10"/>
  <c r="G45" i="10"/>
  <c r="C50" i="10"/>
  <c r="E49" i="10"/>
  <c r="C51" i="10" l="1"/>
  <c r="E50" i="10"/>
  <c r="F47" i="10"/>
  <c r="G46" i="10"/>
  <c r="L47" i="10"/>
  <c r="K48" i="10"/>
  <c r="H52" i="10"/>
  <c r="J51" i="10"/>
  <c r="H53" i="10" l="1"/>
  <c r="J52" i="10"/>
  <c r="L48" i="10"/>
  <c r="K49" i="10"/>
  <c r="F48" i="10"/>
  <c r="G47" i="10"/>
  <c r="C52" i="10"/>
  <c r="E51" i="10"/>
  <c r="C53" i="10" l="1"/>
  <c r="E52" i="10"/>
  <c r="G48" i="10"/>
  <c r="F49" i="10"/>
  <c r="L49" i="10"/>
  <c r="K50" i="10"/>
  <c r="H54" i="10"/>
  <c r="J53" i="10"/>
  <c r="H55" i="10" l="1"/>
  <c r="J54" i="10"/>
  <c r="L50" i="10"/>
  <c r="K51" i="10"/>
  <c r="G49" i="10"/>
  <c r="F50" i="10"/>
  <c r="C54" i="10"/>
  <c r="E53" i="10"/>
  <c r="C55" i="10" l="1"/>
  <c r="E54" i="10"/>
  <c r="G50" i="10"/>
  <c r="F51" i="10"/>
  <c r="L51" i="10"/>
  <c r="K52" i="10"/>
  <c r="H56" i="10"/>
  <c r="J55" i="10"/>
  <c r="H57" i="10" l="1"/>
  <c r="J56" i="10"/>
  <c r="L52" i="10"/>
  <c r="K53" i="10"/>
  <c r="G51" i="10"/>
  <c r="F52" i="10"/>
  <c r="E55" i="10"/>
  <c r="C56" i="10"/>
  <c r="E56" i="10" l="1"/>
  <c r="C57" i="10"/>
  <c r="G52" i="10"/>
  <c r="F53" i="10"/>
  <c r="L53" i="10"/>
  <c r="K54" i="10"/>
  <c r="H58" i="10"/>
  <c r="J57" i="10"/>
  <c r="H59" i="10" l="1"/>
  <c r="J58" i="10"/>
  <c r="L54" i="10"/>
  <c r="K55" i="10"/>
  <c r="F54" i="10"/>
  <c r="G53" i="10"/>
  <c r="C58" i="10"/>
  <c r="E57" i="10"/>
  <c r="C59" i="10" l="1"/>
  <c r="E58" i="10"/>
  <c r="F55" i="10"/>
  <c r="G54" i="10"/>
  <c r="L55" i="10"/>
  <c r="K56" i="10"/>
  <c r="H60" i="10"/>
  <c r="J59" i="10"/>
  <c r="L56" i="10" l="1"/>
  <c r="K57" i="10"/>
  <c r="G55" i="10"/>
  <c r="F56" i="10"/>
  <c r="H61" i="10"/>
  <c r="J60" i="10"/>
  <c r="C60" i="10"/>
  <c r="E59" i="10"/>
  <c r="C61" i="10" l="1"/>
  <c r="E60" i="10"/>
  <c r="H62" i="10"/>
  <c r="J61" i="10"/>
  <c r="G56" i="10"/>
  <c r="F57" i="10"/>
  <c r="L57" i="10"/>
  <c r="K58" i="10"/>
  <c r="L58" i="10" l="1"/>
  <c r="K59" i="10"/>
  <c r="G57" i="10"/>
  <c r="F58" i="10"/>
  <c r="H63" i="10"/>
  <c r="J62" i="10"/>
  <c r="C62" i="10"/>
  <c r="E61" i="10"/>
  <c r="C63" i="10" l="1"/>
  <c r="E62" i="10"/>
  <c r="H64" i="10"/>
  <c r="J63" i="10"/>
  <c r="F59" i="10"/>
  <c r="G58" i="10"/>
  <c r="L59" i="10"/>
  <c r="K60" i="10"/>
  <c r="L60" i="10" l="1"/>
  <c r="K61" i="10"/>
  <c r="F60" i="10"/>
  <c r="G59" i="10"/>
  <c r="H65" i="10"/>
  <c r="J64" i="10"/>
  <c r="C64" i="10"/>
  <c r="E63" i="10"/>
  <c r="C65" i="10" l="1"/>
  <c r="E64" i="10"/>
  <c r="H66" i="10"/>
  <c r="J65" i="10"/>
  <c r="F61" i="10"/>
  <c r="G60" i="10"/>
  <c r="L61" i="10"/>
  <c r="K62" i="10"/>
  <c r="L62" i="10" l="1"/>
  <c r="K63" i="10"/>
  <c r="G61" i="10"/>
  <c r="F62" i="10"/>
  <c r="H67" i="10"/>
  <c r="J66" i="10"/>
  <c r="C66" i="10"/>
  <c r="E65" i="10"/>
  <c r="C67" i="10" l="1"/>
  <c r="E66" i="10"/>
  <c r="H68" i="10"/>
  <c r="J67" i="10"/>
  <c r="G62" i="10"/>
  <c r="F63" i="10"/>
  <c r="L63" i="10"/>
  <c r="K64" i="10"/>
  <c r="L64" i="10" l="1"/>
  <c r="K65" i="10"/>
  <c r="G63" i="10"/>
  <c r="F64" i="10"/>
  <c r="H69" i="10"/>
  <c r="J68" i="10"/>
  <c r="C68" i="10"/>
  <c r="E67" i="10"/>
  <c r="C69" i="10" l="1"/>
  <c r="E68" i="10"/>
  <c r="H70" i="10"/>
  <c r="J69" i="10"/>
  <c r="F65" i="10"/>
  <c r="G64" i="10"/>
  <c r="L65" i="10"/>
  <c r="K66" i="10"/>
  <c r="L66" i="10" l="1"/>
  <c r="K67" i="10"/>
  <c r="F66" i="10"/>
  <c r="G65" i="10"/>
  <c r="H71" i="10"/>
  <c r="J70" i="10"/>
  <c r="E69" i="10"/>
  <c r="C70" i="10"/>
  <c r="C71" i="10" l="1"/>
  <c r="E70" i="10"/>
  <c r="H72" i="10"/>
  <c r="J71" i="10"/>
  <c r="G66" i="10"/>
  <c r="F67" i="10"/>
  <c r="L67" i="10"/>
  <c r="K68" i="10"/>
  <c r="L68" i="10" l="1"/>
  <c r="K69" i="10"/>
  <c r="G67" i="10"/>
  <c r="F68" i="10"/>
  <c r="H73" i="10"/>
  <c r="J72" i="10"/>
  <c r="E71" i="10"/>
  <c r="C72" i="10"/>
  <c r="C73" i="10" l="1"/>
  <c r="E72" i="10"/>
  <c r="H74" i="10"/>
  <c r="J73" i="10"/>
  <c r="F69" i="10"/>
  <c r="G68" i="10"/>
  <c r="L69" i="10"/>
  <c r="K70" i="10"/>
  <c r="L70" i="10" l="1"/>
  <c r="K71" i="10"/>
  <c r="G69" i="10"/>
  <c r="F70" i="10"/>
  <c r="H75" i="10"/>
  <c r="J74" i="10"/>
  <c r="C74" i="10"/>
  <c r="E73" i="10"/>
  <c r="C75" i="10" l="1"/>
  <c r="E74" i="10"/>
  <c r="H76" i="10"/>
  <c r="J75" i="10"/>
  <c r="F71" i="10"/>
  <c r="G70" i="10"/>
  <c r="L71" i="10"/>
  <c r="K72" i="10"/>
  <c r="L72" i="10" l="1"/>
  <c r="K73" i="10"/>
  <c r="F72" i="10"/>
  <c r="G71" i="10"/>
  <c r="H77" i="10"/>
  <c r="J76" i="10"/>
  <c r="C76" i="10"/>
  <c r="E75" i="10"/>
  <c r="C77" i="10" l="1"/>
  <c r="E76" i="10"/>
  <c r="H78" i="10"/>
  <c r="J77" i="10"/>
  <c r="G72" i="10"/>
  <c r="F73" i="10"/>
  <c r="L73" i="10"/>
  <c r="K74" i="10"/>
  <c r="L74" i="10" l="1"/>
  <c r="K75" i="10"/>
  <c r="G73" i="10"/>
  <c r="F74" i="10"/>
  <c r="H79" i="10"/>
  <c r="J78" i="10"/>
  <c r="C78" i="10"/>
  <c r="E77" i="10"/>
  <c r="C79" i="10" l="1"/>
  <c r="E78" i="10"/>
  <c r="H80" i="10"/>
  <c r="J79" i="10"/>
  <c r="F75" i="10"/>
  <c r="G74" i="10"/>
  <c r="L75" i="10"/>
  <c r="K76" i="10"/>
  <c r="L76" i="10" l="1"/>
  <c r="K77" i="10"/>
  <c r="G75" i="10"/>
  <c r="F76" i="10"/>
  <c r="H81" i="10"/>
  <c r="J80" i="10"/>
  <c r="E79" i="10"/>
  <c r="C80" i="10"/>
  <c r="E80" i="10" l="1"/>
  <c r="C81" i="10"/>
  <c r="H82" i="10"/>
  <c r="J81" i="10"/>
  <c r="F77" i="10"/>
  <c r="G76" i="10"/>
  <c r="L77" i="10"/>
  <c r="K78" i="10"/>
  <c r="L78" i="10" l="1"/>
  <c r="K79" i="10"/>
  <c r="F78" i="10"/>
  <c r="G77" i="10"/>
  <c r="H83" i="10"/>
  <c r="J82" i="10"/>
  <c r="C82" i="10"/>
  <c r="E81" i="10"/>
  <c r="C83" i="10" l="1"/>
  <c r="E82" i="10"/>
  <c r="H84" i="10"/>
  <c r="J83" i="10"/>
  <c r="G78" i="10"/>
  <c r="F79" i="10"/>
  <c r="L79" i="10"/>
  <c r="K80" i="10"/>
  <c r="L80" i="10" l="1"/>
  <c r="K81" i="10"/>
  <c r="F80" i="10"/>
  <c r="G79" i="10"/>
  <c r="H85" i="10"/>
  <c r="J84" i="10"/>
  <c r="C84" i="10"/>
  <c r="E83" i="10"/>
  <c r="C85" i="10" l="1"/>
  <c r="E84" i="10"/>
  <c r="H86" i="10"/>
  <c r="J85" i="10"/>
  <c r="G80" i="10"/>
  <c r="F81" i="10"/>
  <c r="L81" i="10"/>
  <c r="K82" i="10"/>
  <c r="L82" i="10" l="1"/>
  <c r="K83" i="10"/>
  <c r="G81" i="10"/>
  <c r="F82" i="10"/>
  <c r="H87" i="10"/>
  <c r="J86" i="10"/>
  <c r="C86" i="10"/>
  <c r="E85" i="10"/>
  <c r="C87" i="10" l="1"/>
  <c r="E86" i="10"/>
  <c r="H88" i="10"/>
  <c r="J87" i="10"/>
  <c r="F83" i="10"/>
  <c r="G82" i="10"/>
  <c r="L83" i="10"/>
  <c r="K84" i="10"/>
  <c r="L84" i="10" l="1"/>
  <c r="K85" i="10"/>
  <c r="G83" i="10"/>
  <c r="F84" i="10"/>
  <c r="H89" i="10"/>
  <c r="J88" i="10"/>
  <c r="C88" i="10"/>
  <c r="E87" i="10"/>
  <c r="C89" i="10" l="1"/>
  <c r="E88" i="10"/>
  <c r="H90" i="10"/>
  <c r="J89" i="10"/>
  <c r="F85" i="10"/>
  <c r="G84" i="10"/>
  <c r="L85" i="10"/>
  <c r="K86" i="10"/>
  <c r="L86" i="10" l="1"/>
  <c r="K87" i="10"/>
  <c r="F86" i="10"/>
  <c r="G85" i="10"/>
  <c r="H91" i="10"/>
  <c r="J90" i="10"/>
  <c r="C90" i="10"/>
  <c r="E89" i="10"/>
  <c r="C91" i="10" l="1"/>
  <c r="E90" i="10"/>
  <c r="H92" i="10"/>
  <c r="J91" i="10"/>
  <c r="G86" i="10"/>
  <c r="F87" i="10"/>
  <c r="L87" i="10"/>
  <c r="K88" i="10"/>
  <c r="L88" i="10" l="1"/>
  <c r="K89" i="10"/>
  <c r="F88" i="10"/>
  <c r="G87" i="10"/>
  <c r="H93" i="10"/>
  <c r="J92" i="10"/>
  <c r="E91" i="10"/>
  <c r="C92" i="10"/>
  <c r="C93" i="10" l="1"/>
  <c r="E92" i="10"/>
  <c r="H94" i="10"/>
  <c r="J93" i="10"/>
  <c r="F89" i="10"/>
  <c r="G88" i="10"/>
  <c r="L89" i="10"/>
  <c r="K90" i="10"/>
  <c r="L90" i="10" l="1"/>
  <c r="K91" i="10"/>
  <c r="G89" i="10"/>
  <c r="F90" i="10"/>
  <c r="H95" i="10"/>
  <c r="J94" i="10"/>
  <c r="C94" i="10"/>
  <c r="E93" i="10"/>
  <c r="C95" i="10" l="1"/>
  <c r="E94" i="10"/>
  <c r="H96" i="10"/>
  <c r="J95" i="10"/>
  <c r="F91" i="10"/>
  <c r="G90" i="10"/>
  <c r="L91" i="10"/>
  <c r="K92" i="10"/>
  <c r="L92" i="10" l="1"/>
  <c r="K93" i="10"/>
  <c r="G91" i="10"/>
  <c r="F92" i="10"/>
  <c r="H97" i="10"/>
  <c r="J96" i="10"/>
  <c r="C96" i="10"/>
  <c r="E95" i="10"/>
  <c r="C97" i="10" l="1"/>
  <c r="E96" i="10"/>
  <c r="H98" i="10"/>
  <c r="J97" i="10"/>
  <c r="F93" i="10"/>
  <c r="G92" i="10"/>
  <c r="L93" i="10"/>
  <c r="K94" i="10"/>
  <c r="L94" i="10" l="1"/>
  <c r="K95" i="10"/>
  <c r="F94" i="10"/>
  <c r="G93" i="10"/>
  <c r="H99" i="10"/>
  <c r="J98" i="10"/>
  <c r="C98" i="10"/>
  <c r="E97" i="10"/>
  <c r="C99" i="10" l="1"/>
  <c r="E98" i="10"/>
  <c r="H100" i="10"/>
  <c r="J99" i="10"/>
  <c r="G94" i="10"/>
  <c r="F95" i="10"/>
  <c r="L95" i="10"/>
  <c r="K96" i="10"/>
  <c r="L96" i="10" l="1"/>
  <c r="K97" i="10"/>
  <c r="F96" i="10"/>
  <c r="G95" i="10"/>
  <c r="H101" i="10"/>
  <c r="J100" i="10"/>
  <c r="C100" i="10"/>
  <c r="E99" i="10"/>
  <c r="C101" i="10" l="1"/>
  <c r="E100" i="10"/>
  <c r="H102" i="10"/>
  <c r="J101" i="10"/>
  <c r="F97" i="10"/>
  <c r="G96" i="10"/>
  <c r="L97" i="10"/>
  <c r="K98" i="10"/>
  <c r="L98" i="10" l="1"/>
  <c r="K99" i="10"/>
  <c r="G97" i="10"/>
  <c r="F98" i="10"/>
  <c r="H103" i="10"/>
  <c r="J102" i="10"/>
  <c r="E101" i="10"/>
  <c r="C102" i="10"/>
  <c r="E102" i="10" l="1"/>
  <c r="C103" i="10"/>
  <c r="H104" i="10"/>
  <c r="J103" i="10"/>
  <c r="F99" i="10"/>
  <c r="G98" i="10"/>
  <c r="L99" i="10"/>
  <c r="K100" i="10"/>
  <c r="L100" i="10" l="1"/>
  <c r="K101" i="10"/>
  <c r="F100" i="10"/>
  <c r="G99" i="10"/>
  <c r="H105" i="10"/>
  <c r="J104" i="10"/>
  <c r="C104" i="10"/>
  <c r="E103" i="10"/>
  <c r="C105" i="10" l="1"/>
  <c r="E104" i="10"/>
  <c r="H106" i="10"/>
  <c r="J105" i="10"/>
  <c r="G100" i="10"/>
  <c r="F101" i="10"/>
  <c r="L101" i="10"/>
  <c r="K102" i="10"/>
  <c r="L102" i="10" l="1"/>
  <c r="K103" i="10"/>
  <c r="F102" i="10"/>
  <c r="G101" i="10"/>
  <c r="H107" i="10"/>
  <c r="J106" i="10"/>
  <c r="C106" i="10"/>
  <c r="E105" i="10"/>
  <c r="C107" i="10" l="1"/>
  <c r="E106" i="10"/>
  <c r="H108" i="10"/>
  <c r="J107" i="10"/>
  <c r="G102" i="10"/>
  <c r="F103" i="10"/>
  <c r="L103" i="10"/>
  <c r="K104" i="10"/>
  <c r="L104" i="10" l="1"/>
  <c r="K105" i="10"/>
  <c r="G103" i="10"/>
  <c r="F104" i="10"/>
  <c r="H109" i="10"/>
  <c r="J108" i="10"/>
  <c r="C108" i="10"/>
  <c r="E107" i="10"/>
  <c r="C109" i="10" l="1"/>
  <c r="E108" i="10"/>
  <c r="H110" i="10"/>
  <c r="J109" i="10"/>
  <c r="F105" i="10"/>
  <c r="G104" i="10"/>
  <c r="L105" i="10"/>
  <c r="K106" i="10"/>
  <c r="L106" i="10" l="1"/>
  <c r="K107" i="10"/>
  <c r="G105" i="10"/>
  <c r="F106" i="10"/>
  <c r="H111" i="10"/>
  <c r="J110" i="10"/>
  <c r="C110" i="10"/>
  <c r="E109" i="10"/>
  <c r="H112" i="10" l="1"/>
  <c r="J111" i="10"/>
  <c r="C111" i="10"/>
  <c r="E110" i="10"/>
  <c r="L107" i="10"/>
  <c r="K108" i="10"/>
  <c r="F107" i="10"/>
  <c r="G106" i="10"/>
  <c r="F108" i="10" l="1"/>
  <c r="G107" i="10"/>
  <c r="L108" i="10"/>
  <c r="K109" i="10"/>
  <c r="C112" i="10"/>
  <c r="E111" i="10"/>
  <c r="H113" i="10"/>
  <c r="J112" i="10"/>
  <c r="H114" i="10" l="1"/>
  <c r="J113" i="10"/>
  <c r="C113" i="10"/>
  <c r="E112" i="10"/>
  <c r="L109" i="10"/>
  <c r="K110" i="10"/>
  <c r="G108" i="10"/>
  <c r="F109" i="10"/>
  <c r="F110" i="10" l="1"/>
  <c r="G109" i="10"/>
  <c r="L110" i="10"/>
  <c r="K111" i="10"/>
  <c r="E113" i="10"/>
  <c r="C114" i="10"/>
  <c r="H115" i="10"/>
  <c r="J114" i="10"/>
  <c r="H116" i="10" l="1"/>
  <c r="J115" i="10"/>
  <c r="C115" i="10"/>
  <c r="E114" i="10"/>
  <c r="L111" i="10"/>
  <c r="K112" i="10"/>
  <c r="G110" i="10"/>
  <c r="F111" i="10"/>
  <c r="G111" i="10" l="1"/>
  <c r="F112" i="10"/>
  <c r="L112" i="10"/>
  <c r="K113" i="10"/>
  <c r="E115" i="10"/>
  <c r="C116" i="10"/>
  <c r="H117" i="10"/>
  <c r="J116" i="10"/>
  <c r="C117" i="10" l="1"/>
  <c r="E116" i="10"/>
  <c r="H118" i="10"/>
  <c r="J117" i="10"/>
  <c r="L113" i="10"/>
  <c r="K114" i="10"/>
  <c r="F113" i="10"/>
  <c r="G112" i="10"/>
  <c r="G113" i="10" l="1"/>
  <c r="F114" i="10"/>
  <c r="L114" i="10"/>
  <c r="K115" i="10"/>
  <c r="H119" i="10"/>
  <c r="J118" i="10"/>
  <c r="C118" i="10"/>
  <c r="E117" i="10"/>
  <c r="C119" i="10" l="1"/>
  <c r="E118" i="10"/>
  <c r="H120" i="10"/>
  <c r="J119" i="10"/>
  <c r="L115" i="10"/>
  <c r="K116" i="10"/>
  <c r="G114" i="10"/>
  <c r="F115" i="10"/>
  <c r="F116" i="10" l="1"/>
  <c r="G115" i="10"/>
  <c r="L116" i="10"/>
  <c r="K117" i="10"/>
  <c r="H121" i="10"/>
  <c r="J120" i="10"/>
  <c r="C120" i="10"/>
  <c r="E119" i="10"/>
  <c r="C121" i="10" l="1"/>
  <c r="E120" i="10"/>
  <c r="H122" i="10"/>
  <c r="J121" i="10"/>
  <c r="L117" i="10"/>
  <c r="K118" i="10"/>
  <c r="G116" i="10"/>
  <c r="F117" i="10"/>
  <c r="F118" i="10" l="1"/>
  <c r="G117" i="10"/>
  <c r="L118" i="10"/>
  <c r="K119" i="10"/>
  <c r="H123" i="10"/>
  <c r="J123" i="10" s="1"/>
  <c r="J122" i="10"/>
  <c r="C122" i="10"/>
  <c r="E121" i="10"/>
  <c r="C123" i="10" l="1"/>
  <c r="E123" i="10" s="1"/>
  <c r="E122" i="10"/>
  <c r="L119" i="10"/>
  <c r="K120" i="10"/>
  <c r="F119" i="10"/>
  <c r="G118" i="10"/>
  <c r="G119" i="10" l="1"/>
  <c r="F120" i="10"/>
  <c r="L120" i="10"/>
  <c r="K121" i="10"/>
  <c r="L121" i="10" l="1"/>
  <c r="K122" i="10"/>
  <c r="F121" i="10"/>
  <c r="G120" i="10"/>
  <c r="G121" i="10" l="1"/>
  <c r="F122" i="10"/>
  <c r="L122" i="10"/>
  <c r="K123" i="10"/>
  <c r="L123" i="10" s="1"/>
  <c r="C135" i="10" s="1"/>
  <c r="C137" i="10" l="1"/>
  <c r="C136" i="10"/>
  <c r="G122" i="10"/>
  <c r="F123" i="10"/>
  <c r="G123" i="10" s="1"/>
  <c r="B135" i="10" s="1"/>
  <c r="B137" i="10" l="1"/>
  <c r="B136" i="10"/>
</calcChain>
</file>

<file path=xl/sharedStrings.xml><?xml version="1.0" encoding="utf-8"?>
<sst xmlns="http://schemas.openxmlformats.org/spreadsheetml/2006/main" count="506" uniqueCount="225">
  <si>
    <t>Portfolio Project Inputs</t>
  </si>
  <si>
    <t>Blue-font cells are editable assumptions. The workbook recalculates automatically.</t>
  </si>
  <si>
    <t>Assumption</t>
  </si>
  <si>
    <t>Value</t>
  </si>
  <si>
    <t>Manual allocation</t>
  </si>
  <si>
    <t>Weight</t>
  </si>
  <si>
    <t>DCA Projection Assumptions</t>
  </si>
  <si>
    <t>Annual risk-free rate</t>
  </si>
  <si>
    <t>VESAF</t>
  </si>
  <si>
    <t>Notes</t>
  </si>
  <si>
    <t>Initial investment</t>
  </si>
  <si>
    <t>DCDS</t>
  </si>
  <si>
    <t>DCA start date</t>
  </si>
  <si>
    <t>Investment begins in January 2026.</t>
  </si>
  <si>
    <t>Monthly DCA contribution</t>
  </si>
  <si>
    <t>SSISCA</t>
  </si>
  <si>
    <t>Projection horizon (months)</t>
  </si>
  <si>
    <t>Jan-2026 through Dec-2035.</t>
  </si>
  <si>
    <t>Monte Carlo horizon (months)</t>
  </si>
  <si>
    <t>VCBF-BCF</t>
  </si>
  <si>
    <t>Future portfolio annual return</t>
  </si>
  <si>
    <t>Illustrative base case; editable.</t>
  </si>
  <si>
    <t>Monte Carlo simulations</t>
  </si>
  <si>
    <t>MAGEF</t>
  </si>
  <si>
    <t>Future VN-Index annual return</t>
  </si>
  <si>
    <t>Minimum fund weight</t>
  </si>
  <si>
    <t>Total</t>
  </si>
  <si>
    <t>Actual data end date</t>
  </si>
  <si>
    <t>Linked to the final date in NAV Data.</t>
  </si>
  <si>
    <t>Maximum fund weight</t>
  </si>
  <si>
    <t>Contribution timing</t>
  </si>
  <si>
    <t>Month-end</t>
  </si>
  <si>
    <t>Initial investment in Jan-2026; monthly DCA begins Feb-2026.</t>
  </si>
  <si>
    <t>Start with the Dashboard sheet for the executive summary.</t>
  </si>
  <si>
    <t>Model conventions</t>
  </si>
  <si>
    <t>Data frequency</t>
  </si>
  <si>
    <t>Monthly NAV/index levels from Jan-2024 to Jul-2026.</t>
  </si>
  <si>
    <t>Optimization</t>
  </si>
  <si>
    <t>Long-only; weights sum to 100%; each fund capped at 40%.</t>
  </si>
  <si>
    <t>Expected returns</t>
  </si>
  <si>
    <t>Historical CAGR over the available period.</t>
  </si>
  <si>
    <t>Risk</t>
  </si>
  <si>
    <t>Annualized sample standard deviation of monthly returns.</t>
  </si>
  <si>
    <t>Monte Carlo</t>
  </si>
  <si>
    <t>GBM-style simulation with a fixed random seed; monthly DCA is added at month-end.</t>
  </si>
  <si>
    <t>Important limitation</t>
  </si>
  <si>
    <t>31 observations is a short sample. Results are illustrative, not investment advice.</t>
  </si>
  <si>
    <t>Monthly Fund NAV and VN-Index</t>
  </si>
  <si>
    <t>Date</t>
  </si>
  <si>
    <t>VN-Index</t>
  </si>
  <si>
    <t>Monthly Return, Growth and Drawdown Engine</t>
  </si>
  <si>
    <t>Returns, normalized growth, running peaks, drawdowns and excess returns versus VN-Index.</t>
  </si>
  <si>
    <t>Growth Index</t>
  </si>
  <si>
    <t>Running Peak</t>
  </si>
  <si>
    <t>Drawdown</t>
  </si>
  <si>
    <t>Fund and Benchmark Performance Summary</t>
  </si>
  <si>
    <t>Asset</t>
  </si>
  <si>
    <t>Start Value</t>
  </si>
  <si>
    <t>End Value</t>
  </si>
  <si>
    <t>Total Return</t>
  </si>
  <si>
    <t>CAGR</t>
  </si>
  <si>
    <t>Avg Monthly Return</t>
  </si>
  <si>
    <t>Annualized Volatility</t>
  </si>
  <si>
    <t>Sharpe Ratio</t>
  </si>
  <si>
    <t>Best Month</t>
  </si>
  <si>
    <t>Worst Month</t>
  </si>
  <si>
    <t>Positive Months</t>
  </si>
  <si>
    <t>Max Drawdown</t>
  </si>
  <si>
    <t>Interpretation</t>
  </si>
  <si>
    <t>Highest fund CAGR</t>
  </si>
  <si>
    <t>Highest fund Sharpe</t>
  </si>
  <si>
    <t>VN-Index CAGR</t>
  </si>
  <si>
    <t>Sample period</t>
  </si>
  <si>
    <t>Jan 2024 – Jul 2026</t>
  </si>
  <si>
    <t>Benchmark Analysis versus VN-Index</t>
  </si>
  <si>
    <t>Beta, CAPM alpha, correlation, R-squared, tracking error and information ratio.</t>
  </si>
  <si>
    <t>Fund</t>
  </si>
  <si>
    <t>Beta</t>
  </si>
  <si>
    <t>CAPM Alpha</t>
  </si>
  <si>
    <t>Correlation</t>
  </si>
  <si>
    <t>R-Squared</t>
  </si>
  <si>
    <t>Tracking Error</t>
  </si>
  <si>
    <t>Information Ratio</t>
  </si>
  <si>
    <t>Excess CAGR</t>
  </si>
  <si>
    <t>Fund Correlation and Annualized Covariance</t>
  </si>
  <si>
    <t>Correlation shows co-movement; covariance is used in portfolio volatility calculations.</t>
  </si>
  <si>
    <t>Annualized Covariance</t>
  </si>
  <si>
    <t>Portfolio Construction and Strategy Comparison</t>
  </si>
  <si>
    <t>Equal Weight</t>
  </si>
  <si>
    <t>Manual</t>
  </si>
  <si>
    <t>Minimum Variance</t>
  </si>
  <si>
    <t>Maximum Sharpe</t>
  </si>
  <si>
    <t>Metric</t>
  </si>
  <si>
    <t>Expected Annual Return</t>
  </si>
  <si>
    <t>Covariance contribution</t>
  </si>
  <si>
    <t>Efficient Frontier</t>
  </si>
  <si>
    <t>Expected Return</t>
  </si>
  <si>
    <t>Sharpe</t>
  </si>
  <si>
    <t>Portfolio</t>
  </si>
  <si>
    <t>Return</t>
  </si>
  <si>
    <t>Volatility</t>
  </si>
  <si>
    <t>10-Year Monte Carlo Simulation</t>
  </si>
  <si>
    <t>Maximum-Sharpe portfolio; 5,000 paths; initial investment and monthly DCA from Inputs.</t>
  </si>
  <si>
    <t>Parameter</t>
  </si>
  <si>
    <t>Outcome</t>
  </si>
  <si>
    <t>Terminal Value Bin</t>
  </si>
  <si>
    <t>Frequency</t>
  </si>
  <si>
    <t>Terminal Value</t>
  </si>
  <si>
    <t>Expected annual return</t>
  </si>
  <si>
    <t>Mean terminal value</t>
  </si>
  <si>
    <t>Annualized volatility</t>
  </si>
  <si>
    <t>Median terminal value</t>
  </si>
  <si>
    <t>Sharpe ratio</t>
  </si>
  <si>
    <t>10th percentile</t>
  </si>
  <si>
    <t>90th percentile</t>
  </si>
  <si>
    <t>Monthly DCA</t>
  </si>
  <si>
    <t>Probability below contributions</t>
  </si>
  <si>
    <t>Horizon (months)</t>
  </si>
  <si>
    <t>Probability above 2× contributions</t>
  </si>
  <si>
    <t>Simulations</t>
  </si>
  <si>
    <t>Total contributions</t>
  </si>
  <si>
    <t>Month</t>
  </si>
  <si>
    <t>P10</t>
  </si>
  <si>
    <t>Median</t>
  </si>
  <si>
    <t>P90</t>
  </si>
  <si>
    <t>DCA Analysis: Actual from Jan-2026 and Projected Thereafter</t>
  </si>
  <si>
    <t>Status</t>
  </si>
  <si>
    <t>Portfolio Index
(Base=100)</t>
  </si>
  <si>
    <t>Contribution
(VND)</t>
  </si>
  <si>
    <t>Units Purchased</t>
  </si>
  <si>
    <t>Cumulative Units</t>
  </si>
  <si>
    <t>Portfolio Value
(VND)</t>
  </si>
  <si>
    <t>VN-Index
(Base=100)</t>
  </si>
  <si>
    <t>VN Contribution
(VND)</t>
  </si>
  <si>
    <t>VN Units Purchased</t>
  </si>
  <si>
    <t>VN Cumulative Units</t>
  </si>
  <si>
    <t>VN Value
(VND)</t>
  </si>
  <si>
    <t>Cumulative Contributions
(VND)</t>
  </si>
  <si>
    <t>Actual</t>
  </si>
  <si>
    <t>Projected</t>
  </si>
  <si>
    <t>DCA Summary</t>
  </si>
  <si>
    <t>Projection Assumptions</t>
  </si>
  <si>
    <t>Maximum-Sharpe Portfolio</t>
  </si>
  <si>
    <t>Investment start date</t>
  </si>
  <si>
    <t>Initial investment is made in Jan-2026.</t>
  </si>
  <si>
    <t>Base case applied from Aug-2026 onward.</t>
  </si>
  <si>
    <t>Actual data through</t>
  </si>
  <si>
    <t>Actual fund and VN-Index returns are used through Jul-2026.</t>
  </si>
  <si>
    <t>Benchmark base case from Aug-2026 onward.</t>
  </si>
  <si>
    <t>Projection end date</t>
  </si>
  <si>
    <t>Projection runs through Dec-2035.</t>
  </si>
  <si>
    <t>Contribution from Feb-2026 onward.</t>
  </si>
  <si>
    <t>Contributions through actual period</t>
  </si>
  <si>
    <t>Initial investment plus six monthly contributions.</t>
  </si>
  <si>
    <t>Purchases modeled at month-end.</t>
  </si>
  <si>
    <t>Value at Jul-2026</t>
  </si>
  <si>
    <t>Actual value using Jan-Jul 2026 market data.</t>
  </si>
  <si>
    <t>Projected total contributions</t>
  </si>
  <si>
    <t>Initial investment plus monthly DCA through Dec-2035.</t>
  </si>
  <si>
    <t>Projected ending value</t>
  </si>
  <si>
    <t>Based on editable future return assumptions.</t>
  </si>
  <si>
    <t>Projected investment gain</t>
  </si>
  <si>
    <t>Ending value less total contributions.</t>
  </si>
  <si>
    <t>Projected return on contributions</t>
  </si>
  <si>
    <t>Gain divided by total contributions.</t>
  </si>
  <si>
    <t>Vietnam Mutual Fund Portfolio Analytics Dashboard</t>
  </si>
  <si>
    <t>Five funds versus VN-Index | Jan 2024 – Jul 2026 | 30 monthly returns</t>
  </si>
  <si>
    <t>Best Fund CAGR
MAGEF
19.7%</t>
  </si>
  <si>
    <t>Best Fund Sharpe
VCBF-BCF
1.03x</t>
  </si>
  <si>
    <t>Max Sharpe Portfolio
Expected Return
19.2%</t>
  </si>
  <si>
    <t>Max Sharpe Portfolio
Volatility
15.5%</t>
  </si>
  <si>
    <t>Max Sharpe Portfolio
Sharpe
0.95x</t>
  </si>
  <si>
    <t>VN-Index CAGR
VN-Index
22.2%</t>
  </si>
  <si>
    <t>Minimum Variance Portfolio</t>
  </si>
  <si>
    <t>Maximum Sharpe Portfolio</t>
  </si>
  <si>
    <t>Maximum Sharpe Weight</t>
  </si>
  <si>
    <t>Key Findings and Investment Interpretation</t>
  </si>
  <si>
    <t>1. MAGEF delivered the strongest fund CAGR at 19.7%; however, VN-Index CAGR was 22.2% over the same short sample.
2. VCBF-BCF had the best fund-level risk-adjusted result, with a Sharpe ratio of 1.03.
3. The maximum-Sharpe portfolio allocates 20% to DCDS, 40% to VCBF-BCF and 40% to MAGEF, producing an expected return of 19.2% and volatility of 15.5%.
4. Average pairwise fund correlation was 0.89, indicating limited but still measurable diversification benefits.
5. The dataset contains only 30 monthly returns. Optimization results may be sensitive to the period and should be stress-tested with longer NAV histories.</t>
  </si>
  <si>
    <t>Project Methodology, Sources and Resume Summary</t>
  </si>
  <si>
    <t>Documentation for reproducibility, interpretation and interview discussion.</t>
  </si>
  <si>
    <t>Project Objective</t>
  </si>
  <si>
    <t>Build an end-to-end mutual fund portfolio analytics system that cleans monthly NAV data, measures performance and risk, compares funds with VN-Index, optimizes allocation, simulates long-term outcomes and evaluates a dollar-cost-averaging strategy.</t>
  </si>
  <si>
    <t>Data Sources</t>
  </si>
  <si>
    <t>Input</t>
  </si>
  <si>
    <t>Source</t>
  </si>
  <si>
    <t>Treatment</t>
  </si>
  <si>
    <t>Monthly fund NAV and VN-Index</t>
  </si>
  <si>
    <t>User-provided workbook: CCQ giá theo tháng(1).xlsx</t>
  </si>
  <si>
    <t>Monthly observations; no missing rows in the supplied range.</t>
  </si>
  <si>
    <t>Risk-free rate</t>
  </si>
  <si>
    <t>Editable analyst assumption in Inputs</t>
  </si>
  <si>
    <t>Default 4.5% annually; replace with a documented market proxy if required.</t>
  </si>
  <si>
    <t>Key Formulas</t>
  </si>
  <si>
    <t>Monthly return</t>
  </si>
  <si>
    <t>NAV(t) / NAV(t-1) - 1</t>
  </si>
  <si>
    <t>(Ending / Beginning)^(12 / number of monthly returns) - 1</t>
  </si>
  <si>
    <t>STDEV.S(monthly returns) × √12</t>
  </si>
  <si>
    <t>(CAGR - risk-free rate) / annualized volatility</t>
  </si>
  <si>
    <t>Covariance(fund, VN-Index) / Variance(VN-Index)</t>
  </si>
  <si>
    <t>Max drawdown</t>
  </si>
  <si>
    <t>Minimum of Growth Index / Running Peak - 1</t>
  </si>
  <si>
    <t>Portfolio volatility</t>
  </si>
  <si>
    <t>√(w'Σw)</t>
  </si>
  <si>
    <t>SLSQP; long-only; weights sum to 100%; maximum weight 40%.</t>
  </si>
  <si>
    <t>Geometric-Brownian-style monthly return process with fixed random seed and monthly contributions.</t>
  </si>
  <si>
    <t>Limitations</t>
  </si>
  <si>
    <t>• Only 31 monthly NAV observations are available; this is insufficient to represent a full market cycle.
• Historical CAGR and covariance are unstable estimates and do not guarantee future performance.
• Fund fees, subscription/redemption charges, taxes and tracking differences are not modeled.
• Monte Carlo assumes a stable return distribution and does not explicitly model regime changes or fat tails.
• The optimized portfolios should be stress-tested under alternative assumptions and longer histories.</t>
  </si>
  <si>
    <t>Resume-Ready Project Summary</t>
  </si>
  <si>
    <t>Vietnam Mutual Fund Portfolio Analytics | Excel, Python, Portfolio Optimization
• Built an end-to-end analytics model for five Vietnamese mutual funds and VN-Index, calculating CAGR, volatility, Sharpe ratio, beta, alpha, tracking error, correlation and maximum drawdown.
• Applied constrained portfolio optimization to construct minimum-variance and maximum-Sharpe allocations and generated an efficient frontier under long-only 0%–40% position limits.
• Developed a 5,000-path, 10-year Monte Carlo simulation and historical DCA analysis to evaluate portfolio value distributions, downside probability and benchmark-relative outcomes.
• Designed an interactive Excel dashboard with editable assumptions, automated formulas and investment insights.</t>
  </si>
  <si>
    <t>DCA Timeline and Projection Method</t>
  </si>
  <si>
    <t>Item</t>
  </si>
  <si>
    <t>Default assumption</t>
  </si>
  <si>
    <t>Start date</t>
  </si>
  <si>
    <t>Jan-2026</t>
  </si>
  <si>
    <t>Actual period</t>
  </si>
  <si>
    <t>Actual monthly fund and VN-Index returns are used.</t>
  </si>
  <si>
    <t>Jan-2026 to Jul-2026</t>
  </si>
  <si>
    <t>Projection period</t>
  </si>
  <si>
    <t>A constant equivalent monthly return is derived from the annual assumption.</t>
  </si>
  <si>
    <t>Aug-2026 to Dec-2035</t>
  </si>
  <si>
    <t>Portfolio return assumption</t>
  </si>
  <si>
    <t>Editable in Inputs; applied only to projected months.</t>
  </si>
  <si>
    <t>12.0% annually</t>
  </si>
  <si>
    <t>VN-Index return assumption</t>
  </si>
  <si>
    <t>10.0% annually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</si>
</sst>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Red]\(0.0%\);\-"/>
    <numFmt numFmtId="165" formatCode="#,##0\ &quot;VND&quot;;[Red]\(#,##0\ &quot;VND&quot;\);\-"/>
    <numFmt numFmtId="166" formatCode="#,##0.00;[Red]\(#,##0.00\);\-"/>
    <numFmt numFmtId="167" formatCode="0.00\x"/>
    <numFmt numFmtId="168" formatCode="0\ &quot;monthly returns&quot;"/>
    <numFmt numFmtId="169" formatCode="0.0000"/>
    <numFmt numFmtId="170" formatCode="mmm\-yyyy"/>
    <numFmt numFmtId="173" formatCode="[$VND]\ #,##0_);[Red]\([$VND]\ #,##0\)"/>
  </numFmts>
  <fonts count="21">
    <font>
      <sz val="11"/>
      <name val="Carlito"/>
    </font>
    <font>
      <b/>
      <sz val="18"/>
      <color rgb="FFFFFFFF"/>
      <name val="Carlito"/>
    </font>
    <font>
      <i/>
      <sz val="11"/>
      <color rgb="FF667085"/>
      <name val="Carlito"/>
    </font>
    <font>
      <b/>
      <sz val="11"/>
      <color rgb="FFFFFFFF"/>
      <name val="Carlito"/>
    </font>
    <font>
      <sz val="11"/>
      <color rgb="FF2563EB"/>
      <name val="Carlito"/>
    </font>
    <font>
      <b/>
      <sz val="11"/>
      <name val="Carlito"/>
    </font>
    <font>
      <b/>
      <sz val="11"/>
      <color rgb="FF12304A"/>
      <name val="Carlito"/>
    </font>
    <font>
      <sz val="11"/>
      <color rgb="FF008000"/>
      <name val="Carlito"/>
    </font>
    <font>
      <sz val="11"/>
      <color rgb="FF000000"/>
      <name val="Carlito"/>
    </font>
    <font>
      <b/>
      <sz val="12"/>
      <color rgb="FF12304A"/>
      <name val="Carlito"/>
    </font>
    <font>
      <sz val="11"/>
      <color rgb="FF1D2939"/>
      <name val="Carlito"/>
    </font>
    <font>
      <sz val="11"/>
      <color rgb="FF0000FF"/>
      <name val="Carlito"/>
    </font>
    <font>
      <b/>
      <sz val="18"/>
      <color rgb="FFFFFFFF"/>
      <name val="Times New Roman"/>
      <family val="1"/>
    </font>
    <font>
      <sz val="11"/>
      <name val="Times New Roman"/>
      <family val="1"/>
    </font>
    <font>
      <b/>
      <sz val="11"/>
      <color rgb="FFFFFFFF"/>
      <name val="Times New Roman"/>
      <family val="1"/>
    </font>
    <font>
      <b/>
      <sz val="11"/>
      <color rgb="FF166534"/>
      <name val="Times New Roman"/>
      <family val="1"/>
    </font>
    <font>
      <sz val="11"/>
      <color rgb="FF008000"/>
      <name val="Times New Roman"/>
      <family val="1"/>
    </font>
    <font>
      <b/>
      <sz val="11"/>
      <color rgb="FF12304A"/>
      <name val="Times New Roman"/>
      <family val="1"/>
    </font>
    <font>
      <sz val="11"/>
      <color rgb="FF000000"/>
      <name val="Times New Roman"/>
      <family val="1"/>
    </font>
    <font>
      <b/>
      <sz val="11"/>
      <color theme="1"/>
      <name val="Times New Roman"/>
      <family val="1"/>
    </font>
    <font>
      <sz val="11"/>
      <color theme="1"/>
      <name val="Times New Roman"/>
      <family val="1"/>
    </font>
  </fonts>
  <fills count="15">
    <fill>
      <patternFill patternType="none"/>
    </fill>
    <fill>
      <patternFill patternType="gray125"/>
    </fill>
    <fill>
      <patternFill patternType="solid">
        <fgColor rgb="FF12304A"/>
      </patternFill>
    </fill>
    <fill>
      <patternFill patternType="solid">
        <fgColor rgb="FFF2F4F7"/>
      </patternFill>
    </fill>
    <fill>
      <patternFill patternType="solid">
        <fgColor rgb="FFFFF7CC"/>
      </patternFill>
    </fill>
    <fill>
      <patternFill patternType="solid">
        <fgColor rgb="FF1D2939"/>
      </patternFill>
    </fill>
    <fill>
      <patternFill patternType="solid">
        <fgColor rgb="FFDBEAFE"/>
      </patternFill>
    </fill>
    <fill>
      <patternFill patternType="solid">
        <fgColor rgb="FFDCFCE7"/>
      </patternFill>
    </fill>
    <fill>
      <patternFill patternType="solid">
        <fgColor rgb="FF1D2939"/>
      </patternFill>
    </fill>
    <fill>
      <patternFill patternType="solid">
        <fgColor rgb="FF12304A"/>
      </patternFill>
    </fill>
    <fill>
      <patternFill patternType="solid">
        <fgColor rgb="FFFFFF00"/>
      </patternFill>
    </fill>
    <fill>
      <patternFill patternType="solid">
        <fgColor rgb="FFDCFCE7"/>
      </patternFill>
    </fill>
    <fill>
      <patternFill patternType="solid">
        <fgColor rgb="FFEFF6FF"/>
      </patternFill>
    </fill>
    <fill>
      <patternFill patternType="solid">
        <fgColor rgb="FFBBF7D0"/>
      </patternFill>
    </fill>
    <fill>
      <patternFill patternType="solid">
        <fgColor rgb="FFDBEAFE"/>
      </patternFill>
    </fill>
  </fills>
  <borders count="11">
    <border>
      <left/>
      <right/>
      <top/>
      <bottom/>
      <diagonal/>
    </border>
    <border>
      <left/>
      <right/>
      <top style="thin">
        <color rgb="FF12304A"/>
      </top>
      <bottom/>
      <diagonal/>
    </border>
    <border>
      <left style="thin">
        <color rgb="FF2563EB"/>
      </left>
      <right/>
      <top style="thin">
        <color rgb="FF2563EB"/>
      </top>
      <bottom/>
      <diagonal/>
    </border>
    <border>
      <left/>
      <right/>
      <top style="thin">
        <color rgb="FF2563EB"/>
      </top>
      <bottom/>
      <diagonal/>
    </border>
    <border>
      <left/>
      <right style="thin">
        <color rgb="FF2563EB"/>
      </right>
      <top style="thin">
        <color rgb="FF2563EB"/>
      </top>
      <bottom/>
      <diagonal/>
    </border>
    <border>
      <left style="thin">
        <color rgb="FF2563EB"/>
      </left>
      <right/>
      <top/>
      <bottom/>
      <diagonal/>
    </border>
    <border>
      <left/>
      <right style="thin">
        <color rgb="FF2563EB"/>
      </right>
      <top/>
      <bottom/>
      <diagonal/>
    </border>
    <border>
      <left style="thin">
        <color rgb="FF2563EB"/>
      </left>
      <right/>
      <top/>
      <bottom style="thin">
        <color rgb="FF2563EB"/>
      </bottom>
      <diagonal/>
    </border>
    <border>
      <left/>
      <right/>
      <top/>
      <bottom style="thin">
        <color rgb="FF2563EB"/>
      </bottom>
      <diagonal/>
    </border>
    <border>
      <left/>
      <right style="thin">
        <color rgb="FF2563EB"/>
      </right>
      <top/>
      <bottom style="thin">
        <color rgb="FF2563EB"/>
      </bottom>
      <diagonal/>
    </border>
    <border>
      <left/>
      <right/>
      <top/>
      <bottom style="medium">
        <color rgb="FF12304A"/>
      </bottom>
      <diagonal/>
    </border>
  </borders>
  <cellStyleXfs count="1">
    <xf numFmtId="0" fontId="0" fillId="0" borderId="0"/>
  </cellStyleXfs>
  <cellXfs count="98">
    <xf numFmtId="0" fontId="0" fillId="0" borderId="0" xfId="0"/>
    <xf numFmtId="0" fontId="3" fillId="2" borderId="0" xfId="0" applyFont="1" applyFill="1" applyAlignment="1">
      <alignment horizontal="center" vertical="center"/>
    </xf>
    <xf numFmtId="0" fontId="6" fillId="6" borderId="0" xfId="0" applyFont="1" applyFill="1" applyAlignment="1">
      <alignment horizontal="center" vertical="center"/>
    </xf>
    <xf numFmtId="165" fontId="0" fillId="0" borderId="0" xfId="0" applyNumberFormat="1"/>
    <xf numFmtId="0" fontId="3" fillId="2" borderId="0" xfId="0" applyFont="1" applyFill="1" applyAlignment="1">
      <alignment horizontal="center" vertical="center" wrapText="1"/>
    </xf>
    <xf numFmtId="0" fontId="0" fillId="0" borderId="0" xfId="0" applyAlignment="1">
      <alignment vertical="center"/>
    </xf>
    <xf numFmtId="164" fontId="4" fillId="4" borderId="0" xfId="0" applyNumberFormat="1" applyFont="1" applyFill="1" applyAlignment="1">
      <alignment vertical="center"/>
    </xf>
    <xf numFmtId="165" fontId="4" fillId="4" borderId="0" xfId="0" applyNumberFormat="1" applyFont="1" applyFill="1" applyAlignment="1">
      <alignment vertical="center"/>
    </xf>
    <xf numFmtId="1" fontId="4" fillId="4" borderId="0" xfId="0" applyNumberFormat="1" applyFont="1" applyFill="1" applyAlignment="1">
      <alignment vertical="center"/>
    </xf>
    <xf numFmtId="0" fontId="5" fillId="0" borderId="1" xfId="0" applyFont="1" applyBorder="1" applyAlignment="1">
      <alignment vertical="center"/>
    </xf>
    <xf numFmtId="164" fontId="5" fillId="0" borderId="1" xfId="0" applyNumberFormat="1" applyFont="1" applyBorder="1" applyAlignment="1">
      <alignment vertical="center"/>
    </xf>
    <xf numFmtId="0" fontId="6" fillId="0" borderId="0" xfId="0" applyFont="1" applyAlignment="1">
      <alignment vertical="center"/>
    </xf>
    <xf numFmtId="0" fontId="0" fillId="0" borderId="0" xfId="0" applyAlignment="1">
      <alignment vertical="center" wrapText="1"/>
    </xf>
    <xf numFmtId="17" fontId="4" fillId="0" borderId="0" xfId="0" applyNumberFormat="1" applyFont="1" applyAlignment="1">
      <alignment vertical="center"/>
    </xf>
    <xf numFmtId="17" fontId="0" fillId="0" borderId="0" xfId="0" applyNumberFormat="1" applyAlignment="1">
      <alignment vertical="center"/>
    </xf>
    <xf numFmtId="2" fontId="0" fillId="0" borderId="0" xfId="0" applyNumberFormat="1" applyAlignment="1">
      <alignment vertical="center"/>
    </xf>
    <xf numFmtId="164" fontId="0" fillId="0" borderId="0" xfId="0" applyNumberFormat="1" applyAlignment="1">
      <alignment vertical="center"/>
    </xf>
    <xf numFmtId="164" fontId="7" fillId="0" borderId="0" xfId="0" applyNumberFormat="1" applyFont="1" applyAlignment="1">
      <alignment vertical="center"/>
    </xf>
    <xf numFmtId="2" fontId="8" fillId="0" borderId="0" xfId="0" applyNumberFormat="1" applyFont="1" applyAlignment="1">
      <alignment vertical="center"/>
    </xf>
    <xf numFmtId="166" fontId="7" fillId="0" borderId="0" xfId="0" applyNumberFormat="1" applyFont="1" applyAlignment="1">
      <alignment vertical="center"/>
    </xf>
    <xf numFmtId="167" fontId="7" fillId="0" borderId="0" xfId="0" applyNumberFormat="1" applyFont="1" applyAlignment="1">
      <alignment vertical="center"/>
    </xf>
    <xf numFmtId="168" fontId="0" fillId="0" borderId="0" xfId="0" applyNumberFormat="1" applyAlignment="1">
      <alignment vertical="center"/>
    </xf>
    <xf numFmtId="2" fontId="7" fillId="0" borderId="0" xfId="0" applyNumberFormat="1" applyFont="1" applyAlignment="1">
      <alignment vertical="center"/>
    </xf>
    <xf numFmtId="169" fontId="0" fillId="0" borderId="0" xfId="0" applyNumberFormat="1" applyAlignment="1">
      <alignment vertical="center"/>
    </xf>
    <xf numFmtId="164" fontId="4" fillId="0" borderId="0" xfId="0" applyNumberFormat="1" applyFont="1" applyAlignment="1">
      <alignment vertical="center"/>
    </xf>
    <xf numFmtId="164" fontId="8" fillId="0" borderId="0" xfId="0" applyNumberFormat="1" applyFont="1" applyAlignment="1">
      <alignment vertical="center"/>
    </xf>
    <xf numFmtId="167" fontId="0" fillId="0" borderId="0" xfId="0" applyNumberFormat="1" applyAlignment="1">
      <alignment vertical="center"/>
    </xf>
    <xf numFmtId="165" fontId="0" fillId="0" borderId="0" xfId="0" applyNumberFormat="1" applyAlignment="1">
      <alignment vertical="center"/>
    </xf>
    <xf numFmtId="1" fontId="0" fillId="0" borderId="0" xfId="0" applyNumberFormat="1" applyAlignment="1">
      <alignment vertical="center"/>
    </xf>
    <xf numFmtId="0" fontId="3" fillId="9" borderId="0" xfId="0" applyFont="1" applyFill="1" applyAlignment="1">
      <alignment horizontal="center" vertical="center"/>
    </xf>
    <xf numFmtId="170" fontId="11" fillId="10" borderId="0" xfId="0" applyNumberFormat="1" applyFont="1" applyFill="1" applyAlignment="1">
      <alignment vertical="center"/>
    </xf>
    <xf numFmtId="1" fontId="11" fillId="10" borderId="0" xfId="0" applyNumberFormat="1" applyFont="1" applyFill="1" applyAlignment="1">
      <alignment vertical="center"/>
    </xf>
    <xf numFmtId="164" fontId="11" fillId="10" borderId="0" xfId="0" applyNumberFormat="1" applyFont="1" applyFill="1" applyAlignment="1">
      <alignment vertical="center"/>
    </xf>
    <xf numFmtId="170" fontId="7" fillId="0" borderId="0" xfId="0" applyNumberFormat="1" applyFont="1" applyAlignment="1">
      <alignment vertical="center"/>
    </xf>
    <xf numFmtId="0" fontId="1" fillId="2" borderId="0" xfId="0" applyFont="1" applyFill="1" applyAlignment="1">
      <alignment horizontal="left" vertical="center"/>
    </xf>
    <xf numFmtId="0" fontId="2" fillId="3" borderId="0" xfId="0" applyFont="1" applyFill="1" applyAlignment="1">
      <alignment horizontal="left" vertical="center"/>
    </xf>
    <xf numFmtId="0" fontId="3" fillId="5" borderId="0" xfId="0" applyFont="1" applyFill="1" applyAlignment="1">
      <alignment horizontal="left" vertical="center"/>
    </xf>
    <xf numFmtId="0" fontId="6" fillId="7" borderId="0" xfId="0" applyFont="1" applyFill="1" applyAlignment="1">
      <alignment vertical="center" wrapText="1"/>
    </xf>
    <xf numFmtId="0" fontId="3" fillId="8" borderId="0" xfId="0" applyFont="1" applyFill="1" applyAlignment="1">
      <alignment horizontal="left" vertical="center"/>
    </xf>
    <xf numFmtId="0" fontId="9" fillId="6" borderId="2"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6" borderId="0" xfId="0" applyFont="1" applyFill="1" applyAlignment="1">
      <alignment horizontal="center" vertical="center" wrapText="1"/>
    </xf>
    <xf numFmtId="0" fontId="9" fillId="6" borderId="6" xfId="0" applyFont="1" applyFill="1" applyBorder="1" applyAlignment="1">
      <alignment horizontal="center" vertical="center" wrapText="1"/>
    </xf>
    <xf numFmtId="0" fontId="9" fillId="6" borderId="7" xfId="0" applyFont="1" applyFill="1" applyBorder="1" applyAlignment="1">
      <alignment horizontal="center" vertical="center" wrapText="1"/>
    </xf>
    <xf numFmtId="0" fontId="9" fillId="6" borderId="8" xfId="0" applyFont="1" applyFill="1" applyBorder="1" applyAlignment="1">
      <alignment horizontal="center" vertical="center" wrapText="1"/>
    </xf>
    <xf numFmtId="0" fontId="9" fillId="6" borderId="9" xfId="0" applyFont="1" applyFill="1" applyBorder="1" applyAlignment="1">
      <alignment horizontal="center" vertical="center" wrapText="1"/>
    </xf>
    <xf numFmtId="0" fontId="10" fillId="3" borderId="0" xfId="0" applyFont="1" applyFill="1" applyAlignment="1">
      <alignment vertical="center" wrapText="1"/>
    </xf>
    <xf numFmtId="0" fontId="0" fillId="0" borderId="0" xfId="0" applyAlignment="1">
      <alignment vertical="center" wrapText="1"/>
    </xf>
    <xf numFmtId="0" fontId="10" fillId="6" borderId="0" xfId="0" applyFont="1" applyFill="1" applyAlignment="1">
      <alignment vertical="center" wrapText="1"/>
    </xf>
    <xf numFmtId="173" fontId="4" fillId="0" borderId="0" xfId="0" applyNumberFormat="1" applyFont="1" applyAlignment="1">
      <alignment vertical="center"/>
    </xf>
    <xf numFmtId="0" fontId="12" fillId="9" borderId="0" xfId="0" applyFont="1" applyFill="1" applyAlignment="1">
      <alignment horizontal="left" vertical="center"/>
    </xf>
    <xf numFmtId="0" fontId="12" fillId="9" borderId="0" xfId="0" applyFont="1" applyFill="1" applyAlignment="1">
      <alignment horizontal="left" vertical="center" wrapText="1"/>
    </xf>
    <xf numFmtId="0" fontId="12" fillId="9" borderId="0" xfId="0" applyFont="1" applyFill="1" applyAlignment="1">
      <alignment horizontal="left" vertical="center"/>
    </xf>
    <xf numFmtId="0" fontId="13" fillId="0" borderId="0" xfId="0" applyFont="1" applyAlignment="1">
      <alignment vertical="center"/>
    </xf>
    <xf numFmtId="0" fontId="13" fillId="0" borderId="0" xfId="0" applyFont="1"/>
    <xf numFmtId="0" fontId="14" fillId="9" borderId="0" xfId="0" applyFont="1" applyFill="1" applyAlignment="1">
      <alignment horizontal="center" vertical="center" wrapText="1"/>
    </xf>
    <xf numFmtId="17" fontId="13" fillId="11" borderId="0" xfId="0" applyNumberFormat="1" applyFont="1" applyFill="1" applyAlignment="1">
      <alignment vertical="center"/>
    </xf>
    <xf numFmtId="2" fontId="15" fillId="13" borderId="0" xfId="0" applyNumberFormat="1" applyFont="1" applyFill="1" applyAlignment="1">
      <alignment horizontal="center" vertical="center"/>
    </xf>
    <xf numFmtId="2" fontId="13" fillId="11" borderId="0" xfId="0" applyNumberFormat="1" applyFont="1" applyFill="1" applyAlignment="1">
      <alignment vertical="center"/>
    </xf>
    <xf numFmtId="165" fontId="16" fillId="11" borderId="0" xfId="0" applyNumberFormat="1" applyFont="1" applyFill="1" applyAlignment="1">
      <alignment vertical="center"/>
    </xf>
    <xf numFmtId="169" fontId="13" fillId="11" borderId="0" xfId="0" applyNumberFormat="1" applyFont="1" applyFill="1" applyAlignment="1">
      <alignment vertical="center"/>
    </xf>
    <xf numFmtId="165" fontId="13" fillId="11" borderId="0" xfId="0" applyNumberFormat="1" applyFont="1" applyFill="1" applyAlignment="1">
      <alignment vertical="center"/>
    </xf>
    <xf numFmtId="2" fontId="16" fillId="11" borderId="0" xfId="0" applyNumberFormat="1" applyFont="1" applyFill="1" applyAlignment="1">
      <alignment vertical="center"/>
    </xf>
    <xf numFmtId="17" fontId="13" fillId="11" borderId="10" xfId="0" applyNumberFormat="1" applyFont="1" applyFill="1" applyBorder="1" applyAlignment="1">
      <alignment vertical="center"/>
    </xf>
    <xf numFmtId="2" fontId="15" fillId="13" borderId="10" xfId="0" applyNumberFormat="1" applyFont="1" applyFill="1" applyBorder="1" applyAlignment="1">
      <alignment horizontal="center" vertical="center"/>
    </xf>
    <xf numFmtId="2" fontId="16" fillId="11" borderId="10" xfId="0" applyNumberFormat="1" applyFont="1" applyFill="1" applyBorder="1" applyAlignment="1">
      <alignment vertical="center"/>
    </xf>
    <xf numFmtId="165" fontId="16" fillId="11" borderId="10" xfId="0" applyNumberFormat="1" applyFont="1" applyFill="1" applyBorder="1" applyAlignment="1">
      <alignment vertical="center"/>
    </xf>
    <xf numFmtId="169" fontId="13" fillId="11" borderId="10" xfId="0" applyNumberFormat="1" applyFont="1" applyFill="1" applyBorder="1" applyAlignment="1">
      <alignment vertical="center"/>
    </xf>
    <xf numFmtId="165" fontId="13" fillId="11" borderId="10" xfId="0" applyNumberFormat="1" applyFont="1" applyFill="1" applyBorder="1" applyAlignment="1">
      <alignment vertical="center"/>
    </xf>
    <xf numFmtId="17" fontId="13" fillId="12" borderId="0" xfId="0" applyNumberFormat="1" applyFont="1" applyFill="1" applyAlignment="1">
      <alignment vertical="center"/>
    </xf>
    <xf numFmtId="2" fontId="17" fillId="14" borderId="0" xfId="0" applyNumberFormat="1" applyFont="1" applyFill="1" applyAlignment="1">
      <alignment horizontal="center" vertical="center"/>
    </xf>
    <xf numFmtId="2" fontId="18" fillId="12" borderId="0" xfId="0" applyNumberFormat="1" applyFont="1" applyFill="1" applyAlignment="1">
      <alignment vertical="center"/>
    </xf>
    <xf numFmtId="165" fontId="16" fillId="12" borderId="0" xfId="0" applyNumberFormat="1" applyFont="1" applyFill="1" applyAlignment="1">
      <alignment vertical="center"/>
    </xf>
    <xf numFmtId="169" fontId="13" fillId="12" borderId="0" xfId="0" applyNumberFormat="1" applyFont="1" applyFill="1" applyAlignment="1">
      <alignment vertical="center"/>
    </xf>
    <xf numFmtId="165" fontId="13" fillId="12" borderId="0" xfId="0" applyNumberFormat="1" applyFont="1" applyFill="1" applyAlignment="1">
      <alignment vertical="center"/>
    </xf>
    <xf numFmtId="0" fontId="17" fillId="14" borderId="0" xfId="0" applyFont="1" applyFill="1" applyAlignment="1">
      <alignment horizontal="center" vertical="center"/>
    </xf>
    <xf numFmtId="0" fontId="19" fillId="14" borderId="0" xfId="0" applyFont="1" applyFill="1" applyAlignment="1">
      <alignment horizontal="center" vertical="center"/>
    </xf>
    <xf numFmtId="165" fontId="20" fillId="12" borderId="0" xfId="0" applyNumberFormat="1" applyFont="1" applyFill="1" applyAlignment="1">
      <alignment vertical="center"/>
    </xf>
    <xf numFmtId="169" fontId="20" fillId="12" borderId="0" xfId="0" applyNumberFormat="1" applyFont="1" applyFill="1" applyAlignment="1">
      <alignment vertical="center"/>
    </xf>
    <xf numFmtId="2" fontId="20" fillId="12" borderId="0" xfId="0" applyNumberFormat="1" applyFont="1" applyFill="1" applyAlignment="1">
      <alignment vertical="center"/>
    </xf>
    <xf numFmtId="0" fontId="20" fillId="0" borderId="0" xfId="0" applyFont="1" applyAlignment="1">
      <alignment vertical="center"/>
    </xf>
    <xf numFmtId="0" fontId="20" fillId="0" borderId="0" xfId="0" applyFont="1"/>
    <xf numFmtId="165" fontId="17" fillId="14" borderId="0" xfId="0" applyNumberFormat="1" applyFont="1" applyFill="1" applyAlignment="1">
      <alignment horizontal="center" vertical="center"/>
    </xf>
    <xf numFmtId="164" fontId="17" fillId="14" borderId="0" xfId="0" applyNumberFormat="1" applyFont="1" applyFill="1" applyAlignment="1">
      <alignment horizontal="center" vertical="center"/>
    </xf>
    <xf numFmtId="0" fontId="14" fillId="8" borderId="0" xfId="0" applyFont="1" applyFill="1" applyAlignment="1">
      <alignment horizontal="left" vertical="center"/>
    </xf>
    <xf numFmtId="0" fontId="14" fillId="9" borderId="0" xfId="0" applyFont="1" applyFill="1" applyAlignment="1">
      <alignment horizontal="center" vertical="center"/>
    </xf>
    <xf numFmtId="0" fontId="17" fillId="0" borderId="0" xfId="0" applyFont="1" applyAlignment="1">
      <alignment vertical="center"/>
    </xf>
    <xf numFmtId="170" fontId="13" fillId="0" borderId="0" xfId="0" applyNumberFormat="1" applyFont="1" applyAlignment="1">
      <alignment vertical="center"/>
    </xf>
    <xf numFmtId="0" fontId="13" fillId="0" borderId="0" xfId="0" applyFont="1" applyAlignment="1">
      <alignment vertical="center" wrapText="1"/>
    </xf>
    <xf numFmtId="164" fontId="16" fillId="0" borderId="0" xfId="0" applyNumberFormat="1" applyFont="1" applyAlignment="1">
      <alignment vertical="center"/>
    </xf>
    <xf numFmtId="165" fontId="16" fillId="0" borderId="0" xfId="0" applyNumberFormat="1" applyFont="1" applyAlignment="1">
      <alignment vertical="center"/>
    </xf>
    <xf numFmtId="165" fontId="13" fillId="0" borderId="0" xfId="0" applyNumberFormat="1" applyFont="1" applyAlignment="1">
      <alignment vertical="center"/>
    </xf>
    <xf numFmtId="0" fontId="16" fillId="0" borderId="0" xfId="0" applyFont="1" applyAlignment="1">
      <alignment vertical="center"/>
    </xf>
    <xf numFmtId="164" fontId="13" fillId="0" borderId="0" xfId="0" applyNumberFormat="1" applyFont="1" applyAlignment="1">
      <alignment vertical="center"/>
    </xf>
    <xf numFmtId="17" fontId="20" fillId="12" borderId="0" xfId="0" applyNumberFormat="1" applyFont="1" applyFill="1" applyAlignment="1">
      <alignment horizontal="right" vertical="center"/>
    </xf>
    <xf numFmtId="2" fontId="20" fillId="12" borderId="0" xfId="0" applyNumberFormat="1" applyFont="1" applyFill="1" applyAlignment="1">
      <alignment horizontal="right" vertical="center"/>
    </xf>
  </cellXfs>
  <cellStyles count="1">
    <cellStyle name="Normal" xfId="0" builtinId="0"/>
  </cellStyles>
  <dxfs count="6">
    <dxf>
      <numFmt numFmtId="173" formatCode="[$VND]\ #,##0_);[Red]\([$VND]\ #,##0\)"/>
    </dxf>
    <dxf>
      <numFmt numFmtId="173" formatCode="[$VND]\ #,##0_);[Red]\([$VND]\ #,##0\)"/>
    </dxf>
    <dxf>
      <numFmt numFmtId="173" formatCode="[$VND]\ #,##0_);[Red]\([$VND]\ #,##0\)"/>
    </dxf>
    <dxf>
      <numFmt numFmtId="173" formatCode="[$VND]\ #,##0_);[Red]\([$VND]\ #,##0\)"/>
    </dxf>
    <dxf>
      <numFmt numFmtId="173" formatCode="[$VND]\ #,##0_);[Red]\([$VND]\ #,##0\)"/>
    </dxf>
    <dxf>
      <numFmt numFmtId="173" formatCode="[$VND]\ #,##0_);[Red]\([$VND]\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Efficient Frontier: Return vs Volatility</a:t>
            </a:r>
          </a:p>
        </c:rich>
      </c:tx>
      <c:overlay val="0"/>
    </c:title>
    <c:autoTitleDeleted val="0"/>
    <c:plotArea>
      <c:layout/>
      <c:lineChart>
        <c:grouping val="standard"/>
        <c:varyColors val="0"/>
        <c:ser>
          <c:idx val="0"/>
          <c:order val="0"/>
          <c:tx>
            <c:v>Expected Return</c:v>
          </c:tx>
          <c:cat>
            <c:numRef>
              <c:f>'Efficient Frontier'!$A$4:$A$48</c:f>
              <c:numCache>
                <c:formatCode>0.0%;[Red]\(0.0%\);\-</c:formatCode>
                <c:ptCount val="45"/>
                <c:pt idx="0">
                  <c:v>0.14675964173142048</c:v>
                </c:pt>
                <c:pt idx="1">
                  <c:v>0.14676116674444964</c:v>
                </c:pt>
                <c:pt idx="2">
                  <c:v>0.14676574168253642</c:v>
                </c:pt>
                <c:pt idx="3">
                  <c:v>0.14677336626048154</c:v>
                </c:pt>
                <c:pt idx="4">
                  <c:v>0.14678404000305181</c:v>
                </c:pt>
                <c:pt idx="5">
                  <c:v>0.14679776224512026</c:v>
                </c:pt>
                <c:pt idx="6">
                  <c:v>0.14681453213191259</c:v>
                </c:pt>
                <c:pt idx="7">
                  <c:v>0.14683434861917607</c:v>
                </c:pt>
                <c:pt idx="8">
                  <c:v>0.14685721047367623</c:v>
                </c:pt>
                <c:pt idx="9">
                  <c:v>0.14688311627332248</c:v>
                </c:pt>
                <c:pt idx="10">
                  <c:v>0.14691206440796234</c:v>
                </c:pt>
                <c:pt idx="11">
                  <c:v>0.14701621297021614</c:v>
                </c:pt>
                <c:pt idx="12">
                  <c:v>0.14715276547194825</c:v>
                </c:pt>
                <c:pt idx="13">
                  <c:v>0.14729415074783186</c:v>
                </c:pt>
                <c:pt idx="14">
                  <c:v>0.14744028553713751</c:v>
                </c:pt>
                <c:pt idx="15">
                  <c:v>0.147591155731299</c:v>
                </c:pt>
                <c:pt idx="16">
                  <c:v>0.1477467468243997</c:v>
                </c:pt>
                <c:pt idx="17">
                  <c:v>0.14790704391775691</c:v>
                </c:pt>
                <c:pt idx="18">
                  <c:v>0.14807203172776615</c:v>
                </c:pt>
                <c:pt idx="19">
                  <c:v>0.14824169459261857</c:v>
                </c:pt>
                <c:pt idx="20">
                  <c:v>0.14841601647959274</c:v>
                </c:pt>
                <c:pt idx="21">
                  <c:v>0.14859498099122312</c:v>
                </c:pt>
                <c:pt idx="22">
                  <c:v>0.14877857137402717</c:v>
                </c:pt>
                <c:pt idx="23">
                  <c:v>0.14896677052461932</c:v>
                </c:pt>
                <c:pt idx="24">
                  <c:v>0.14915956099846128</c:v>
                </c:pt>
                <c:pt idx="25">
                  <c:v>0.14935692501580261</c:v>
                </c:pt>
                <c:pt idx="26">
                  <c:v>0.14955884447033468</c:v>
                </c:pt>
                <c:pt idx="27">
                  <c:v>0.14976530093689452</c:v>
                </c:pt>
                <c:pt idx="28">
                  <c:v>0.14997627567773197</c:v>
                </c:pt>
                <c:pt idx="29">
                  <c:v>0.15019174965353624</c:v>
                </c:pt>
                <c:pt idx="30">
                  <c:v>0.1504117035268118</c:v>
                </c:pt>
                <c:pt idx="31">
                  <c:v>0.15063611767428062</c:v>
                </c:pt>
                <c:pt idx="32">
                  <c:v>0.15086497219144407</c:v>
                </c:pt>
                <c:pt idx="33">
                  <c:v>0.1511024381283925</c:v>
                </c:pt>
                <c:pt idx="34">
                  <c:v>0.15135861436924103</c:v>
                </c:pt>
                <c:pt idx="35">
                  <c:v>0.15163385756923561</c:v>
                </c:pt>
                <c:pt idx="36">
                  <c:v>0.15192806409941698</c:v>
                </c:pt>
                <c:pt idx="37">
                  <c:v>0.15224112401970949</c:v>
                </c:pt>
                <c:pt idx="38">
                  <c:v>0.15257292127599603</c:v>
                </c:pt>
                <c:pt idx="39">
                  <c:v>0.15292333390531573</c:v>
                </c:pt>
                <c:pt idx="40">
                  <c:v>0.15329223424838195</c:v>
                </c:pt>
                <c:pt idx="41">
                  <c:v>0.15367948916860574</c:v>
                </c:pt>
                <c:pt idx="42">
                  <c:v>0.15408496027680671</c:v>
                </c:pt>
                <c:pt idx="43">
                  <c:v>0.15450850416079145</c:v>
                </c:pt>
                <c:pt idx="44">
                  <c:v>0.15494997261898513</c:v>
                </c:pt>
              </c:numCache>
            </c:numRef>
          </c:cat>
          <c:val>
            <c:numRef>
              <c:f>'Efficient Frontier'!$B$4:$B$48</c:f>
              <c:numCache>
                <c:formatCode>0.0%;[Red]\(0.0%\);\-</c:formatCode>
                <c:ptCount val="45"/>
                <c:pt idx="0">
                  <c:v>0.16979195762745389</c:v>
                </c:pt>
                <c:pt idx="1">
                  <c:v>0.17029068095188274</c:v>
                </c:pt>
                <c:pt idx="2">
                  <c:v>0.17078940427636191</c:v>
                </c:pt>
                <c:pt idx="3">
                  <c:v>0.17128812760084083</c:v>
                </c:pt>
                <c:pt idx="4">
                  <c:v>0.17178685092531967</c:v>
                </c:pt>
                <c:pt idx="5">
                  <c:v>0.17228557424954224</c:v>
                </c:pt>
                <c:pt idx="6">
                  <c:v>0.17278429757427688</c:v>
                </c:pt>
                <c:pt idx="7">
                  <c:v>0.17328302089831818</c:v>
                </c:pt>
                <c:pt idx="8">
                  <c:v>0.17378174422323356</c:v>
                </c:pt>
                <c:pt idx="9">
                  <c:v>0.17428046754713652</c:v>
                </c:pt>
                <c:pt idx="10">
                  <c:v>0.17477919087218979</c:v>
                </c:pt>
                <c:pt idx="11">
                  <c:v>0.1752779141959549</c:v>
                </c:pt>
                <c:pt idx="12">
                  <c:v>0.17577663752036413</c:v>
                </c:pt>
                <c:pt idx="13">
                  <c:v>0.17627536084477324</c:v>
                </c:pt>
                <c:pt idx="14">
                  <c:v>0.17677408416988291</c:v>
                </c:pt>
                <c:pt idx="15">
                  <c:v>0.17727280749359164</c:v>
                </c:pt>
                <c:pt idx="16">
                  <c:v>0.17777153081800082</c:v>
                </c:pt>
                <c:pt idx="17">
                  <c:v>0.17827025414240999</c:v>
                </c:pt>
                <c:pt idx="18">
                  <c:v>0.17876897746681919</c:v>
                </c:pt>
                <c:pt idx="19">
                  <c:v>0.17926770079122839</c:v>
                </c:pt>
                <c:pt idx="20">
                  <c:v>0.17976642411633803</c:v>
                </c:pt>
                <c:pt idx="21">
                  <c:v>0.1802651474407472</c:v>
                </c:pt>
                <c:pt idx="22">
                  <c:v>0.18076387076515635</c:v>
                </c:pt>
                <c:pt idx="23">
                  <c:v>0.18126259408886511</c:v>
                </c:pt>
                <c:pt idx="24">
                  <c:v>0.18176131741327428</c:v>
                </c:pt>
                <c:pt idx="25">
                  <c:v>0.18226004073768343</c:v>
                </c:pt>
                <c:pt idx="26">
                  <c:v>0.18275876406209249</c:v>
                </c:pt>
                <c:pt idx="27">
                  <c:v>0.18325748738720229</c:v>
                </c:pt>
                <c:pt idx="28">
                  <c:v>0.183756210710911</c:v>
                </c:pt>
                <c:pt idx="29">
                  <c:v>0.18425493403602067</c:v>
                </c:pt>
                <c:pt idx="30">
                  <c:v>0.18475365735972937</c:v>
                </c:pt>
                <c:pt idx="31">
                  <c:v>0.18525238068413852</c:v>
                </c:pt>
                <c:pt idx="32">
                  <c:v>0.18575110400854772</c:v>
                </c:pt>
                <c:pt idx="33">
                  <c:v>0.18624982733295689</c:v>
                </c:pt>
                <c:pt idx="34">
                  <c:v>0.18674855065736609</c:v>
                </c:pt>
                <c:pt idx="35">
                  <c:v>0.18724727398177526</c:v>
                </c:pt>
                <c:pt idx="36">
                  <c:v>0.18774599730618446</c:v>
                </c:pt>
                <c:pt idx="37">
                  <c:v>0.18824472063059364</c:v>
                </c:pt>
                <c:pt idx="38">
                  <c:v>0.18874344395500284</c:v>
                </c:pt>
                <c:pt idx="39">
                  <c:v>0.18924216727941201</c:v>
                </c:pt>
                <c:pt idx="40">
                  <c:v>0.18974089060382121</c:v>
                </c:pt>
                <c:pt idx="41">
                  <c:v>0.19023961392823038</c:v>
                </c:pt>
                <c:pt idx="42">
                  <c:v>0.19073833725263956</c:v>
                </c:pt>
                <c:pt idx="43">
                  <c:v>0.19123706057704876</c:v>
                </c:pt>
                <c:pt idx="44">
                  <c:v>0.19173578390145807</c:v>
                </c:pt>
              </c:numCache>
            </c:numRef>
          </c:val>
          <c:smooth val="0"/>
          <c:extLst>
            <c:ext xmlns:c16="http://schemas.microsoft.com/office/drawing/2014/chart" uri="{C3380CC4-5D6E-409C-BE32-E72D297353CC}">
              <c16:uniqueId val="{00000000-EF21-C14D-BDAA-B77FF9C9F1FF}"/>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0%"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Portfolio Value Percentile Paths</a:t>
            </a:r>
          </a:p>
        </c:rich>
      </c:tx>
      <c:overlay val="0"/>
    </c:title>
    <c:autoTitleDeleted val="0"/>
    <c:plotArea>
      <c:layout/>
      <c:lineChart>
        <c:grouping val="standard"/>
        <c:varyColors val="0"/>
        <c:ser>
          <c:idx val="0"/>
          <c:order val="0"/>
          <c:tx>
            <c:v>P10</c:v>
          </c:tx>
          <c:cat>
            <c:numRef>
              <c:f>'Monte Carlo'!$A$16:$A$136</c:f>
              <c:numCache>
                <c:formatCode>General</c:formatCode>
                <c:ptCount val="1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numCache>
            </c:numRef>
          </c:cat>
          <c:val>
            <c:numRef>
              <c:f>'Monte Carlo'!$B$16:$B$136</c:f>
              <c:numCache>
                <c:formatCode>#,##0\ "VND";[Red]\(#,##0\ "VND"\);\-</c:formatCode>
                <c:ptCount val="121"/>
                <c:pt idx="0">
                  <c:v>100000000</c:v>
                </c:pt>
                <c:pt idx="1">
                  <c:v>100738174.35874459</c:v>
                </c:pt>
                <c:pt idx="2">
                  <c:v>104575646.03004257</c:v>
                </c:pt>
                <c:pt idx="3">
                  <c:v>108749109.82627361</c:v>
                </c:pt>
                <c:pt idx="4">
                  <c:v>113616895.66693777</c:v>
                </c:pt>
                <c:pt idx="5">
                  <c:v>118626538.08376138</c:v>
                </c:pt>
                <c:pt idx="6">
                  <c:v>123741776.85329498</c:v>
                </c:pt>
                <c:pt idx="7">
                  <c:v>128946115.46995696</c:v>
                </c:pt>
                <c:pt idx="8">
                  <c:v>133943825.45187627</c:v>
                </c:pt>
                <c:pt idx="9">
                  <c:v>139048967.50712547</c:v>
                </c:pt>
                <c:pt idx="10">
                  <c:v>144083762.02317289</c:v>
                </c:pt>
                <c:pt idx="11">
                  <c:v>149577300.17577025</c:v>
                </c:pt>
                <c:pt idx="12">
                  <c:v>155000695.81387585</c:v>
                </c:pt>
                <c:pt idx="13">
                  <c:v>160128467.63305008</c:v>
                </c:pt>
                <c:pt idx="14">
                  <c:v>166165367.30993876</c:v>
                </c:pt>
                <c:pt idx="15">
                  <c:v>171487214.8067759</c:v>
                </c:pt>
                <c:pt idx="16">
                  <c:v>177355937.00725558</c:v>
                </c:pt>
                <c:pt idx="17">
                  <c:v>183679265.42311567</c:v>
                </c:pt>
                <c:pt idx="18">
                  <c:v>190411139.74312383</c:v>
                </c:pt>
                <c:pt idx="19">
                  <c:v>195837981.74628863</c:v>
                </c:pt>
                <c:pt idx="20">
                  <c:v>202755192.17087346</c:v>
                </c:pt>
                <c:pt idx="21">
                  <c:v>208471745.1517171</c:v>
                </c:pt>
                <c:pt idx="22">
                  <c:v>214725666.7156513</c:v>
                </c:pt>
                <c:pt idx="23">
                  <c:v>220768966.01433909</c:v>
                </c:pt>
                <c:pt idx="24">
                  <c:v>227074026.02929434</c:v>
                </c:pt>
                <c:pt idx="25">
                  <c:v>233481438.99527225</c:v>
                </c:pt>
                <c:pt idx="26">
                  <c:v>240252370.57688066</c:v>
                </c:pt>
                <c:pt idx="27">
                  <c:v>247166513.26627925</c:v>
                </c:pt>
                <c:pt idx="28">
                  <c:v>252424296.80852759</c:v>
                </c:pt>
                <c:pt idx="29">
                  <c:v>259073494.13295192</c:v>
                </c:pt>
                <c:pt idx="30">
                  <c:v>266414205.07838666</c:v>
                </c:pt>
                <c:pt idx="31">
                  <c:v>272783190.59326822</c:v>
                </c:pt>
                <c:pt idx="32">
                  <c:v>279789036.16406476</c:v>
                </c:pt>
                <c:pt idx="33">
                  <c:v>287906522.16776311</c:v>
                </c:pt>
                <c:pt idx="34">
                  <c:v>294401607.54452014</c:v>
                </c:pt>
                <c:pt idx="35">
                  <c:v>302266172.14856732</c:v>
                </c:pt>
                <c:pt idx="36">
                  <c:v>308412078.46958977</c:v>
                </c:pt>
                <c:pt idx="37">
                  <c:v>315997627.53234273</c:v>
                </c:pt>
                <c:pt idx="38">
                  <c:v>323891935.81443447</c:v>
                </c:pt>
                <c:pt idx="39">
                  <c:v>331227050.20101863</c:v>
                </c:pt>
                <c:pt idx="40">
                  <c:v>339316919.22062266</c:v>
                </c:pt>
                <c:pt idx="41">
                  <c:v>347320433.36448926</c:v>
                </c:pt>
                <c:pt idx="42">
                  <c:v>355415448.25921553</c:v>
                </c:pt>
                <c:pt idx="43">
                  <c:v>361575426.60483956</c:v>
                </c:pt>
                <c:pt idx="44">
                  <c:v>369820749.39184314</c:v>
                </c:pt>
                <c:pt idx="45">
                  <c:v>378095125.19496888</c:v>
                </c:pt>
                <c:pt idx="46">
                  <c:v>386276660.95084387</c:v>
                </c:pt>
                <c:pt idx="47">
                  <c:v>395614107.03823477</c:v>
                </c:pt>
                <c:pt idx="48">
                  <c:v>403255559.18319756</c:v>
                </c:pt>
                <c:pt idx="49">
                  <c:v>409561064.19576818</c:v>
                </c:pt>
                <c:pt idx="50">
                  <c:v>418190003.04533881</c:v>
                </c:pt>
                <c:pt idx="51">
                  <c:v>427786284.15041268</c:v>
                </c:pt>
                <c:pt idx="52">
                  <c:v>436277922.33498698</c:v>
                </c:pt>
                <c:pt idx="53">
                  <c:v>446371964.92418545</c:v>
                </c:pt>
                <c:pt idx="54">
                  <c:v>454363863.66683167</c:v>
                </c:pt>
                <c:pt idx="55">
                  <c:v>463411871.27405894</c:v>
                </c:pt>
                <c:pt idx="56">
                  <c:v>472478547.25219691</c:v>
                </c:pt>
                <c:pt idx="57">
                  <c:v>483303707.53042185</c:v>
                </c:pt>
                <c:pt idx="58">
                  <c:v>492496644.07277244</c:v>
                </c:pt>
                <c:pt idx="59">
                  <c:v>503101746.40002215</c:v>
                </c:pt>
                <c:pt idx="60">
                  <c:v>513864118.41808224</c:v>
                </c:pt>
                <c:pt idx="61">
                  <c:v>523151413.72674191</c:v>
                </c:pt>
                <c:pt idx="62">
                  <c:v>533083758.74748957</c:v>
                </c:pt>
                <c:pt idx="63">
                  <c:v>541400028.02472484</c:v>
                </c:pt>
                <c:pt idx="64">
                  <c:v>553328693.56360722</c:v>
                </c:pt>
                <c:pt idx="65">
                  <c:v>559666839.26733816</c:v>
                </c:pt>
                <c:pt idx="66">
                  <c:v>570474776.08165288</c:v>
                </c:pt>
                <c:pt idx="67">
                  <c:v>581566347.76848269</c:v>
                </c:pt>
                <c:pt idx="68">
                  <c:v>592819967.17001152</c:v>
                </c:pt>
                <c:pt idx="69">
                  <c:v>600008936.01481485</c:v>
                </c:pt>
                <c:pt idx="70">
                  <c:v>610105005.72100604</c:v>
                </c:pt>
                <c:pt idx="71">
                  <c:v>621597090.85904777</c:v>
                </c:pt>
                <c:pt idx="72">
                  <c:v>629068294.64181983</c:v>
                </c:pt>
                <c:pt idx="73">
                  <c:v>643572561.5012877</c:v>
                </c:pt>
                <c:pt idx="74">
                  <c:v>654725743.88326383</c:v>
                </c:pt>
                <c:pt idx="75">
                  <c:v>664947226.7557348</c:v>
                </c:pt>
                <c:pt idx="76">
                  <c:v>676166468.40818048</c:v>
                </c:pt>
                <c:pt idx="77">
                  <c:v>688593241.88285959</c:v>
                </c:pt>
                <c:pt idx="78">
                  <c:v>699054534.74878633</c:v>
                </c:pt>
                <c:pt idx="79">
                  <c:v>712856923.44566882</c:v>
                </c:pt>
                <c:pt idx="80">
                  <c:v>726301447.75374913</c:v>
                </c:pt>
                <c:pt idx="81">
                  <c:v>735638405.92626524</c:v>
                </c:pt>
                <c:pt idx="82">
                  <c:v>747159892.32012498</c:v>
                </c:pt>
                <c:pt idx="83">
                  <c:v>761627086.8343116</c:v>
                </c:pt>
                <c:pt idx="84">
                  <c:v>774755406.75112212</c:v>
                </c:pt>
                <c:pt idx="85">
                  <c:v>786022283.84200191</c:v>
                </c:pt>
                <c:pt idx="86">
                  <c:v>793827949.6053257</c:v>
                </c:pt>
                <c:pt idx="87">
                  <c:v>806023113.41165805</c:v>
                </c:pt>
                <c:pt idx="88">
                  <c:v>818138707.37151241</c:v>
                </c:pt>
                <c:pt idx="89">
                  <c:v>829186104.87002838</c:v>
                </c:pt>
                <c:pt idx="90">
                  <c:v>843587853.44156623</c:v>
                </c:pt>
                <c:pt idx="91">
                  <c:v>860799010.23464942</c:v>
                </c:pt>
                <c:pt idx="92">
                  <c:v>878314720.16560006</c:v>
                </c:pt>
                <c:pt idx="93">
                  <c:v>887135705.78481567</c:v>
                </c:pt>
                <c:pt idx="94">
                  <c:v>900485031.01018286</c:v>
                </c:pt>
                <c:pt idx="95">
                  <c:v>913979292.37025344</c:v>
                </c:pt>
                <c:pt idx="96">
                  <c:v>924260116.50987971</c:v>
                </c:pt>
                <c:pt idx="97">
                  <c:v>938753269.80597448</c:v>
                </c:pt>
                <c:pt idx="98">
                  <c:v>950582747.7850709</c:v>
                </c:pt>
                <c:pt idx="99">
                  <c:v>966742505.91149497</c:v>
                </c:pt>
                <c:pt idx="100">
                  <c:v>984325909.71268499</c:v>
                </c:pt>
                <c:pt idx="101">
                  <c:v>994187192.8403405</c:v>
                </c:pt>
                <c:pt idx="102">
                  <c:v>1010132348.9604319</c:v>
                </c:pt>
                <c:pt idx="103">
                  <c:v>1021173486.0808324</c:v>
                </c:pt>
                <c:pt idx="104">
                  <c:v>1037746030.7407361</c:v>
                </c:pt>
                <c:pt idx="105">
                  <c:v>1046562145.0259936</c:v>
                </c:pt>
                <c:pt idx="106">
                  <c:v>1063252933.1699135</c:v>
                </c:pt>
                <c:pt idx="107">
                  <c:v>1082182984.8070223</c:v>
                </c:pt>
                <c:pt idx="108">
                  <c:v>1094724670.6829658</c:v>
                </c:pt>
                <c:pt idx="109">
                  <c:v>1113494835.5389941</c:v>
                </c:pt>
                <c:pt idx="110">
                  <c:v>1130405444.3367572</c:v>
                </c:pt>
                <c:pt idx="111">
                  <c:v>1141198793.9350693</c:v>
                </c:pt>
                <c:pt idx="112">
                  <c:v>1156356291.0893359</c:v>
                </c:pt>
                <c:pt idx="113">
                  <c:v>1176872764.9093189</c:v>
                </c:pt>
                <c:pt idx="114">
                  <c:v>1193145928.1102409</c:v>
                </c:pt>
                <c:pt idx="115">
                  <c:v>1210335221.9230165</c:v>
                </c:pt>
                <c:pt idx="116">
                  <c:v>1227124842.6166234</c:v>
                </c:pt>
                <c:pt idx="117">
                  <c:v>1247626772.7902181</c:v>
                </c:pt>
                <c:pt idx="118">
                  <c:v>1270164282.4674151</c:v>
                </c:pt>
                <c:pt idx="119">
                  <c:v>1284165689.7354767</c:v>
                </c:pt>
                <c:pt idx="120">
                  <c:v>1301612954.613708</c:v>
                </c:pt>
              </c:numCache>
            </c:numRef>
          </c:val>
          <c:smooth val="0"/>
          <c:extLst>
            <c:ext xmlns:c16="http://schemas.microsoft.com/office/drawing/2014/chart" uri="{C3380CC4-5D6E-409C-BE32-E72D297353CC}">
              <c16:uniqueId val="{00000000-B3D0-1844-811C-746179817974}"/>
            </c:ext>
          </c:extLst>
        </c:ser>
        <c:ser>
          <c:idx val="1"/>
          <c:order val="1"/>
          <c:tx>
            <c:v>Median</c:v>
          </c:tx>
          <c:cat>
            <c:numRef>
              <c:f>'Monte Carlo'!$A$16:$A$136</c:f>
              <c:numCache>
                <c:formatCode>General</c:formatCode>
                <c:ptCount val="1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numCache>
            </c:numRef>
          </c:cat>
          <c:val>
            <c:numRef>
              <c:f>'Monte Carlo'!$C$16:$C$136</c:f>
              <c:numCache>
                <c:formatCode>#,##0\ "VND";[Red]\(#,##0\ "VND"\);\-</c:formatCode>
                <c:ptCount val="121"/>
                <c:pt idx="0">
                  <c:v>100000000</c:v>
                </c:pt>
                <c:pt idx="1">
                  <c:v>106328960.68299082</c:v>
                </c:pt>
                <c:pt idx="2">
                  <c:v>112631393.65665954</c:v>
                </c:pt>
                <c:pt idx="3">
                  <c:v>119198489.27287973</c:v>
                </c:pt>
                <c:pt idx="4">
                  <c:v>125988124.61446367</c:v>
                </c:pt>
                <c:pt idx="5">
                  <c:v>132805790.16649176</c:v>
                </c:pt>
                <c:pt idx="6">
                  <c:v>139695738.27087718</c:v>
                </c:pt>
                <c:pt idx="7">
                  <c:v>146490651.6520628</c:v>
                </c:pt>
                <c:pt idx="8">
                  <c:v>153429791.95984977</c:v>
                </c:pt>
                <c:pt idx="9">
                  <c:v>160697380.24087304</c:v>
                </c:pt>
                <c:pt idx="10">
                  <c:v>167829098.39569446</c:v>
                </c:pt>
                <c:pt idx="11">
                  <c:v>175346024.76709816</c:v>
                </c:pt>
                <c:pt idx="12">
                  <c:v>183008591.25000167</c:v>
                </c:pt>
                <c:pt idx="13">
                  <c:v>189758961.25640893</c:v>
                </c:pt>
                <c:pt idx="14">
                  <c:v>197810125.16476989</c:v>
                </c:pt>
                <c:pt idx="15">
                  <c:v>205303820.70825198</c:v>
                </c:pt>
                <c:pt idx="16">
                  <c:v>213149711.30167609</c:v>
                </c:pt>
                <c:pt idx="17">
                  <c:v>221250671.77408949</c:v>
                </c:pt>
                <c:pt idx="18">
                  <c:v>229580643.58031529</c:v>
                </c:pt>
                <c:pt idx="19">
                  <c:v>238093380.02595389</c:v>
                </c:pt>
                <c:pt idx="20">
                  <c:v>245819169.68745685</c:v>
                </c:pt>
                <c:pt idx="21">
                  <c:v>254619259.6393351</c:v>
                </c:pt>
                <c:pt idx="22">
                  <c:v>262991830.95131069</c:v>
                </c:pt>
                <c:pt idx="23">
                  <c:v>271605738.16393328</c:v>
                </c:pt>
                <c:pt idx="24">
                  <c:v>280206477.38753462</c:v>
                </c:pt>
                <c:pt idx="25">
                  <c:v>289335553.50167221</c:v>
                </c:pt>
                <c:pt idx="26">
                  <c:v>299476729.15419668</c:v>
                </c:pt>
                <c:pt idx="27">
                  <c:v>307447462.38380915</c:v>
                </c:pt>
                <c:pt idx="28">
                  <c:v>316039278.40215117</c:v>
                </c:pt>
                <c:pt idx="29">
                  <c:v>325320423.70782727</c:v>
                </c:pt>
                <c:pt idx="30">
                  <c:v>334998505.89392161</c:v>
                </c:pt>
                <c:pt idx="31">
                  <c:v>345098426.2118659</c:v>
                </c:pt>
                <c:pt idx="32">
                  <c:v>354271390.72028846</c:v>
                </c:pt>
                <c:pt idx="33">
                  <c:v>364517093.62422836</c:v>
                </c:pt>
                <c:pt idx="34">
                  <c:v>374576054.72600031</c:v>
                </c:pt>
                <c:pt idx="35">
                  <c:v>385081054.77040875</c:v>
                </c:pt>
                <c:pt idx="36">
                  <c:v>395323570.41311324</c:v>
                </c:pt>
                <c:pt idx="37">
                  <c:v>405943334.98072851</c:v>
                </c:pt>
                <c:pt idx="38">
                  <c:v>415350175.26708055</c:v>
                </c:pt>
                <c:pt idx="39">
                  <c:v>427423269.42449975</c:v>
                </c:pt>
                <c:pt idx="40">
                  <c:v>437268496.39297569</c:v>
                </c:pt>
                <c:pt idx="41">
                  <c:v>450349833.59948242</c:v>
                </c:pt>
                <c:pt idx="42">
                  <c:v>461549356.51066089</c:v>
                </c:pt>
                <c:pt idx="43">
                  <c:v>473400010.11417258</c:v>
                </c:pt>
                <c:pt idx="44">
                  <c:v>485134921.14309657</c:v>
                </c:pt>
                <c:pt idx="45">
                  <c:v>496323091.02702677</c:v>
                </c:pt>
                <c:pt idx="46">
                  <c:v>507424438.38910866</c:v>
                </c:pt>
                <c:pt idx="47">
                  <c:v>519564275.04465568</c:v>
                </c:pt>
                <c:pt idx="48">
                  <c:v>532673508.20122856</c:v>
                </c:pt>
                <c:pt idx="49">
                  <c:v>545701265.2264123</c:v>
                </c:pt>
                <c:pt idx="50">
                  <c:v>557517032.1569376</c:v>
                </c:pt>
                <c:pt idx="51">
                  <c:v>571102581.06580663</c:v>
                </c:pt>
                <c:pt idx="52">
                  <c:v>584712536.38193011</c:v>
                </c:pt>
                <c:pt idx="53">
                  <c:v>599970124.35794485</c:v>
                </c:pt>
                <c:pt idx="54">
                  <c:v>612993148.75157976</c:v>
                </c:pt>
                <c:pt idx="55">
                  <c:v>625598347.05747271</c:v>
                </c:pt>
                <c:pt idx="56">
                  <c:v>638661289.66705811</c:v>
                </c:pt>
                <c:pt idx="57">
                  <c:v>653198285.75163257</c:v>
                </c:pt>
                <c:pt idx="58">
                  <c:v>667650998.44544315</c:v>
                </c:pt>
                <c:pt idx="59">
                  <c:v>682465756.85246992</c:v>
                </c:pt>
                <c:pt idx="60">
                  <c:v>693108794.27886033</c:v>
                </c:pt>
                <c:pt idx="61">
                  <c:v>708839013.9299953</c:v>
                </c:pt>
                <c:pt idx="62">
                  <c:v>721070309.44753134</c:v>
                </c:pt>
                <c:pt idx="63">
                  <c:v>737797399.09971452</c:v>
                </c:pt>
                <c:pt idx="64">
                  <c:v>754934185.52070713</c:v>
                </c:pt>
                <c:pt idx="65">
                  <c:v>769887637.95813239</c:v>
                </c:pt>
                <c:pt idx="66">
                  <c:v>786382150.2574544</c:v>
                </c:pt>
                <c:pt idx="67">
                  <c:v>802714136.81748033</c:v>
                </c:pt>
                <c:pt idx="68">
                  <c:v>814584944.70312119</c:v>
                </c:pt>
                <c:pt idx="69">
                  <c:v>831899651.46432686</c:v>
                </c:pt>
                <c:pt idx="70">
                  <c:v>847624623.27331328</c:v>
                </c:pt>
                <c:pt idx="71">
                  <c:v>866820908.47032332</c:v>
                </c:pt>
                <c:pt idx="72">
                  <c:v>885030216.9551487</c:v>
                </c:pt>
                <c:pt idx="73">
                  <c:v>900769808.8208369</c:v>
                </c:pt>
                <c:pt idx="74">
                  <c:v>917910792.96237016</c:v>
                </c:pt>
                <c:pt idx="75">
                  <c:v>936003411.82782292</c:v>
                </c:pt>
                <c:pt idx="76">
                  <c:v>956677353.53777885</c:v>
                </c:pt>
                <c:pt idx="77">
                  <c:v>973881904.27301598</c:v>
                </c:pt>
                <c:pt idx="78">
                  <c:v>990923279.69873691</c:v>
                </c:pt>
                <c:pt idx="79">
                  <c:v>1013411023.4156642</c:v>
                </c:pt>
                <c:pt idx="80">
                  <c:v>1031089559.9542406</c:v>
                </c:pt>
                <c:pt idx="81">
                  <c:v>1050960925.2382231</c:v>
                </c:pt>
                <c:pt idx="82">
                  <c:v>1067456923.2224635</c:v>
                </c:pt>
                <c:pt idx="83">
                  <c:v>1088056098.3230968</c:v>
                </c:pt>
                <c:pt idx="84">
                  <c:v>1108210579.4078398</c:v>
                </c:pt>
                <c:pt idx="85">
                  <c:v>1129930289.8556418</c:v>
                </c:pt>
                <c:pt idx="86">
                  <c:v>1156174096.7455347</c:v>
                </c:pt>
                <c:pt idx="87">
                  <c:v>1177077277.1558306</c:v>
                </c:pt>
                <c:pt idx="88">
                  <c:v>1193291876.8367853</c:v>
                </c:pt>
                <c:pt idx="89">
                  <c:v>1216914007.5623889</c:v>
                </c:pt>
                <c:pt idx="90">
                  <c:v>1240296640.6980138</c:v>
                </c:pt>
                <c:pt idx="91">
                  <c:v>1263259721.2309861</c:v>
                </c:pt>
                <c:pt idx="92">
                  <c:v>1285831129.0156736</c:v>
                </c:pt>
                <c:pt idx="93">
                  <c:v>1303540987.5538826</c:v>
                </c:pt>
                <c:pt idx="94">
                  <c:v>1326589377.403748</c:v>
                </c:pt>
                <c:pt idx="95">
                  <c:v>1348726580.1239607</c:v>
                </c:pt>
                <c:pt idx="96">
                  <c:v>1374825117.8392758</c:v>
                </c:pt>
                <c:pt idx="97">
                  <c:v>1397963544.850925</c:v>
                </c:pt>
                <c:pt idx="98">
                  <c:v>1418853587.6512125</c:v>
                </c:pt>
                <c:pt idx="99">
                  <c:v>1445278901.8080716</c:v>
                </c:pt>
                <c:pt idx="100">
                  <c:v>1462811276.7137475</c:v>
                </c:pt>
                <c:pt idx="101">
                  <c:v>1488764830.9118946</c:v>
                </c:pt>
                <c:pt idx="102">
                  <c:v>1517673205.790473</c:v>
                </c:pt>
                <c:pt idx="103">
                  <c:v>1543568565.9811597</c:v>
                </c:pt>
                <c:pt idx="104">
                  <c:v>1570289156.8611512</c:v>
                </c:pt>
                <c:pt idx="105">
                  <c:v>1598699923.2368965</c:v>
                </c:pt>
                <c:pt idx="106">
                  <c:v>1619090051.5121555</c:v>
                </c:pt>
                <c:pt idx="107">
                  <c:v>1645790882.5010509</c:v>
                </c:pt>
                <c:pt idx="108">
                  <c:v>1673957627.4780991</c:v>
                </c:pt>
                <c:pt idx="109">
                  <c:v>1698763455.3517027</c:v>
                </c:pt>
                <c:pt idx="110">
                  <c:v>1722874580.9582586</c:v>
                </c:pt>
                <c:pt idx="111">
                  <c:v>1753769316.9872637</c:v>
                </c:pt>
                <c:pt idx="112">
                  <c:v>1788381193.554188</c:v>
                </c:pt>
                <c:pt idx="113">
                  <c:v>1825454241.739181</c:v>
                </c:pt>
                <c:pt idx="114">
                  <c:v>1856488056.5098372</c:v>
                </c:pt>
                <c:pt idx="115">
                  <c:v>1886271076.7853999</c:v>
                </c:pt>
                <c:pt idx="116">
                  <c:v>1917725175.4129815</c:v>
                </c:pt>
                <c:pt idx="117">
                  <c:v>1946266745.4909248</c:v>
                </c:pt>
                <c:pt idx="118">
                  <c:v>1984898699.9883626</c:v>
                </c:pt>
                <c:pt idx="119">
                  <c:v>2011865409.7448103</c:v>
                </c:pt>
                <c:pt idx="120">
                  <c:v>2048146359.4394596</c:v>
                </c:pt>
              </c:numCache>
            </c:numRef>
          </c:val>
          <c:smooth val="0"/>
          <c:extLst>
            <c:ext xmlns:c16="http://schemas.microsoft.com/office/drawing/2014/chart" uri="{C3380CC4-5D6E-409C-BE32-E72D297353CC}">
              <c16:uniqueId val="{00000001-B3D0-1844-811C-746179817974}"/>
            </c:ext>
          </c:extLst>
        </c:ser>
        <c:ser>
          <c:idx val="2"/>
          <c:order val="2"/>
          <c:tx>
            <c:v>P90</c:v>
          </c:tx>
          <c:cat>
            <c:numRef>
              <c:f>'Monte Carlo'!$A$16:$A$136</c:f>
              <c:numCache>
                <c:formatCode>General</c:formatCode>
                <c:ptCount val="1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numCache>
            </c:numRef>
          </c:cat>
          <c:val>
            <c:numRef>
              <c:f>'Monte Carlo'!$D$16:$D$136</c:f>
              <c:numCache>
                <c:formatCode>#,##0\ "VND";[Red]\(#,##0\ "VND"\);\-</c:formatCode>
                <c:ptCount val="121"/>
                <c:pt idx="0">
                  <c:v>100000000</c:v>
                </c:pt>
                <c:pt idx="1">
                  <c:v>112392497.86740495</c:v>
                </c:pt>
                <c:pt idx="2">
                  <c:v>121685661.67449577</c:v>
                </c:pt>
                <c:pt idx="3">
                  <c:v>130412253.54565573</c:v>
                </c:pt>
                <c:pt idx="4">
                  <c:v>139399908.70558184</c:v>
                </c:pt>
                <c:pt idx="5">
                  <c:v>148698053.58454567</c:v>
                </c:pt>
                <c:pt idx="6">
                  <c:v>157872645.7615473</c:v>
                </c:pt>
                <c:pt idx="7">
                  <c:v>167339795.60484719</c:v>
                </c:pt>
                <c:pt idx="8">
                  <c:v>176785860.97433087</c:v>
                </c:pt>
                <c:pt idx="9">
                  <c:v>185930592.0628477</c:v>
                </c:pt>
                <c:pt idx="10">
                  <c:v>195655260.11825404</c:v>
                </c:pt>
                <c:pt idx="11">
                  <c:v>205464140.98043132</c:v>
                </c:pt>
                <c:pt idx="12">
                  <c:v>215357375.90063763</c:v>
                </c:pt>
                <c:pt idx="13">
                  <c:v>225259533.82637918</c:v>
                </c:pt>
                <c:pt idx="14">
                  <c:v>235587140.71307951</c:v>
                </c:pt>
                <c:pt idx="15">
                  <c:v>245569840.18064994</c:v>
                </c:pt>
                <c:pt idx="16">
                  <c:v>257356798.74459139</c:v>
                </c:pt>
                <c:pt idx="17">
                  <c:v>268482189.31109154</c:v>
                </c:pt>
                <c:pt idx="18">
                  <c:v>278386163.19449264</c:v>
                </c:pt>
                <c:pt idx="19">
                  <c:v>289942670.76779169</c:v>
                </c:pt>
                <c:pt idx="20">
                  <c:v>301875824.64711761</c:v>
                </c:pt>
                <c:pt idx="21">
                  <c:v>312653122.65699893</c:v>
                </c:pt>
                <c:pt idx="22">
                  <c:v>323840263.42598331</c:v>
                </c:pt>
                <c:pt idx="23">
                  <c:v>335313931.81508332</c:v>
                </c:pt>
                <c:pt idx="24">
                  <c:v>349861587.1392647</c:v>
                </c:pt>
                <c:pt idx="25">
                  <c:v>362159768.35018003</c:v>
                </c:pt>
                <c:pt idx="26">
                  <c:v>373882744.54121548</c:v>
                </c:pt>
                <c:pt idx="27">
                  <c:v>387387342.33332539</c:v>
                </c:pt>
                <c:pt idx="28">
                  <c:v>400744085.40062261</c:v>
                </c:pt>
                <c:pt idx="29">
                  <c:v>415176827.88039273</c:v>
                </c:pt>
                <c:pt idx="30">
                  <c:v>430491686.2077747</c:v>
                </c:pt>
                <c:pt idx="31">
                  <c:v>442098772.82816964</c:v>
                </c:pt>
                <c:pt idx="32">
                  <c:v>458004583.08445376</c:v>
                </c:pt>
                <c:pt idx="33">
                  <c:v>470278179.80444539</c:v>
                </c:pt>
                <c:pt idx="34">
                  <c:v>486718293.92215961</c:v>
                </c:pt>
                <c:pt idx="35">
                  <c:v>497832726.32452899</c:v>
                </c:pt>
                <c:pt idx="36">
                  <c:v>514966632.05756021</c:v>
                </c:pt>
                <c:pt idx="37">
                  <c:v>530895314.87814462</c:v>
                </c:pt>
                <c:pt idx="38">
                  <c:v>547524558.91849041</c:v>
                </c:pt>
                <c:pt idx="39">
                  <c:v>563020459.43605793</c:v>
                </c:pt>
                <c:pt idx="40">
                  <c:v>578372370.14578342</c:v>
                </c:pt>
                <c:pt idx="41">
                  <c:v>595366229.11821532</c:v>
                </c:pt>
                <c:pt idx="42">
                  <c:v>609315087.02436316</c:v>
                </c:pt>
                <c:pt idx="43">
                  <c:v>626282612.63267303</c:v>
                </c:pt>
                <c:pt idx="44">
                  <c:v>643435727.96105492</c:v>
                </c:pt>
                <c:pt idx="45">
                  <c:v>660890058.91119015</c:v>
                </c:pt>
                <c:pt idx="46">
                  <c:v>680728023.22293246</c:v>
                </c:pt>
                <c:pt idx="47">
                  <c:v>699291911.33993876</c:v>
                </c:pt>
                <c:pt idx="48">
                  <c:v>716906256.82117963</c:v>
                </c:pt>
                <c:pt idx="49">
                  <c:v>733215297.17133856</c:v>
                </c:pt>
                <c:pt idx="50">
                  <c:v>753384518.23905349</c:v>
                </c:pt>
                <c:pt idx="51">
                  <c:v>772537250.43975818</c:v>
                </c:pt>
                <c:pt idx="52">
                  <c:v>793862559.06758618</c:v>
                </c:pt>
                <c:pt idx="53">
                  <c:v>814129918.16386104</c:v>
                </c:pt>
                <c:pt idx="54">
                  <c:v>837059575.02538228</c:v>
                </c:pt>
                <c:pt idx="55">
                  <c:v>856833552.25861251</c:v>
                </c:pt>
                <c:pt idx="56">
                  <c:v>879172105.36703694</c:v>
                </c:pt>
                <c:pt idx="57">
                  <c:v>899763051.41461301</c:v>
                </c:pt>
                <c:pt idx="58">
                  <c:v>923907165.73143554</c:v>
                </c:pt>
                <c:pt idx="59">
                  <c:v>945216633.16321886</c:v>
                </c:pt>
                <c:pt idx="60">
                  <c:v>973552048.01511574</c:v>
                </c:pt>
                <c:pt idx="61">
                  <c:v>992655770.06765997</c:v>
                </c:pt>
                <c:pt idx="62">
                  <c:v>1015219833.0342056</c:v>
                </c:pt>
                <c:pt idx="63">
                  <c:v>1034127991.8062325</c:v>
                </c:pt>
                <c:pt idx="64">
                  <c:v>1064777302.3183674</c:v>
                </c:pt>
                <c:pt idx="65">
                  <c:v>1088269353.3972888</c:v>
                </c:pt>
                <c:pt idx="66">
                  <c:v>1114286965.0141571</c:v>
                </c:pt>
                <c:pt idx="67">
                  <c:v>1137610987.7343125</c:v>
                </c:pt>
                <c:pt idx="68">
                  <c:v>1160404925.3690827</c:v>
                </c:pt>
                <c:pt idx="69">
                  <c:v>1188416965.9542551</c:v>
                </c:pt>
                <c:pt idx="70">
                  <c:v>1211103996.6789367</c:v>
                </c:pt>
                <c:pt idx="71">
                  <c:v>1247194970.1016569</c:v>
                </c:pt>
                <c:pt idx="72">
                  <c:v>1265827435.6529677</c:v>
                </c:pt>
                <c:pt idx="73">
                  <c:v>1298076901.2403581</c:v>
                </c:pt>
                <c:pt idx="74">
                  <c:v>1330192770.3472998</c:v>
                </c:pt>
                <c:pt idx="75">
                  <c:v>1352707330.4066513</c:v>
                </c:pt>
                <c:pt idx="76">
                  <c:v>1387956919.4099784</c:v>
                </c:pt>
                <c:pt idx="77">
                  <c:v>1416237586.1167994</c:v>
                </c:pt>
                <c:pt idx="78">
                  <c:v>1450136075.4040852</c:v>
                </c:pt>
                <c:pt idx="79">
                  <c:v>1488975751.521939</c:v>
                </c:pt>
                <c:pt idx="80">
                  <c:v>1514926462.2490952</c:v>
                </c:pt>
                <c:pt idx="81">
                  <c:v>1541778881.9941077</c:v>
                </c:pt>
                <c:pt idx="82">
                  <c:v>1580940441.075264</c:v>
                </c:pt>
                <c:pt idx="83">
                  <c:v>1610462082.7038772</c:v>
                </c:pt>
                <c:pt idx="84">
                  <c:v>1650937218.4928305</c:v>
                </c:pt>
                <c:pt idx="85">
                  <c:v>1682095480.4333894</c:v>
                </c:pt>
                <c:pt idx="86">
                  <c:v>1711006137.8989816</c:v>
                </c:pt>
                <c:pt idx="87">
                  <c:v>1751292357.2589021</c:v>
                </c:pt>
                <c:pt idx="88">
                  <c:v>1784639977.8780451</c:v>
                </c:pt>
                <c:pt idx="89">
                  <c:v>1824575519.1180801</c:v>
                </c:pt>
                <c:pt idx="90">
                  <c:v>1860915330.6579168</c:v>
                </c:pt>
                <c:pt idx="91">
                  <c:v>1898093469.2898588</c:v>
                </c:pt>
                <c:pt idx="92">
                  <c:v>1932774137.7951283</c:v>
                </c:pt>
                <c:pt idx="93">
                  <c:v>1961003657.5515606</c:v>
                </c:pt>
                <c:pt idx="94">
                  <c:v>2007744605.6033885</c:v>
                </c:pt>
                <c:pt idx="95">
                  <c:v>2050733427.210783</c:v>
                </c:pt>
                <c:pt idx="96">
                  <c:v>2101685274.2502553</c:v>
                </c:pt>
                <c:pt idx="97">
                  <c:v>2146349113.7304475</c:v>
                </c:pt>
                <c:pt idx="98">
                  <c:v>2180303839.5736842</c:v>
                </c:pt>
                <c:pt idx="99">
                  <c:v>2229058910.7499485</c:v>
                </c:pt>
                <c:pt idx="100">
                  <c:v>2277434291.841763</c:v>
                </c:pt>
                <c:pt idx="101">
                  <c:v>2321127681.0510769</c:v>
                </c:pt>
                <c:pt idx="102">
                  <c:v>2361176533.6014581</c:v>
                </c:pt>
                <c:pt idx="103">
                  <c:v>2407992903.5139866</c:v>
                </c:pt>
                <c:pt idx="104">
                  <c:v>2464538152.2105813</c:v>
                </c:pt>
                <c:pt idx="105">
                  <c:v>2502329052.4736371</c:v>
                </c:pt>
                <c:pt idx="106">
                  <c:v>2561369364.335691</c:v>
                </c:pt>
                <c:pt idx="107">
                  <c:v>2618083604.1317716</c:v>
                </c:pt>
                <c:pt idx="108">
                  <c:v>2657953966.2719002</c:v>
                </c:pt>
                <c:pt idx="109">
                  <c:v>2712481284.6385937</c:v>
                </c:pt>
                <c:pt idx="110">
                  <c:v>2745308828.3815742</c:v>
                </c:pt>
                <c:pt idx="111">
                  <c:v>2792963275.1471772</c:v>
                </c:pt>
                <c:pt idx="112">
                  <c:v>2856773664.3926406</c:v>
                </c:pt>
                <c:pt idx="113">
                  <c:v>2905599274.2682838</c:v>
                </c:pt>
                <c:pt idx="114">
                  <c:v>2957025701.2843928</c:v>
                </c:pt>
                <c:pt idx="115">
                  <c:v>3018790396.0448489</c:v>
                </c:pt>
                <c:pt idx="116">
                  <c:v>3083159314.3517461</c:v>
                </c:pt>
                <c:pt idx="117">
                  <c:v>3140742999.267766</c:v>
                </c:pt>
                <c:pt idx="118">
                  <c:v>3199184391.3432527</c:v>
                </c:pt>
                <c:pt idx="119">
                  <c:v>3281792074.3739314</c:v>
                </c:pt>
                <c:pt idx="120">
                  <c:v>3326357799.7498069</c:v>
                </c:pt>
              </c:numCache>
            </c:numRef>
          </c:val>
          <c:smooth val="0"/>
          <c:extLst>
            <c:ext xmlns:c16="http://schemas.microsoft.com/office/drawing/2014/chart" uri="{C3380CC4-5D6E-409C-BE32-E72D297353CC}">
              <c16:uniqueId val="{00000002-B3D0-1844-811C-746179817974}"/>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quot;VND&quot;"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Terminal Value Distribution</a:t>
            </a:r>
          </a:p>
        </c:rich>
      </c:tx>
      <c:overlay val="0"/>
    </c:title>
    <c:autoTitleDeleted val="0"/>
    <c:plotArea>
      <c:layout/>
      <c:barChart>
        <c:barDir val="col"/>
        <c:grouping val="clustered"/>
        <c:varyColors val="0"/>
        <c:ser>
          <c:idx val="0"/>
          <c:order val="0"/>
          <c:tx>
            <c:v>Frequency</c:v>
          </c:tx>
          <c:invertIfNegative val="1"/>
          <c:cat>
            <c:numRef>
              <c:f>'Monte Carlo'!$F$5:$F$34</c:f>
              <c:numCache>
                <c:formatCode>#,##0\ "VND";[Red]\(#,##0\ "VND"\);\-</c:formatCode>
                <c:ptCount val="30"/>
                <c:pt idx="0">
                  <c:v>734108033.88108301</c:v>
                </c:pt>
                <c:pt idx="1">
                  <c:v>996651836.70148802</c:v>
                </c:pt>
                <c:pt idx="2">
                  <c:v>1259195639.521893</c:v>
                </c:pt>
                <c:pt idx="3">
                  <c:v>1521739442.342298</c:v>
                </c:pt>
                <c:pt idx="4">
                  <c:v>1784283245.162703</c:v>
                </c:pt>
                <c:pt idx="5">
                  <c:v>2046827047.983108</c:v>
                </c:pt>
                <c:pt idx="6">
                  <c:v>2309370850.8035131</c:v>
                </c:pt>
                <c:pt idx="7">
                  <c:v>2571914653.6239181</c:v>
                </c:pt>
                <c:pt idx="8">
                  <c:v>2834458456.4443231</c:v>
                </c:pt>
                <c:pt idx="9">
                  <c:v>3097002259.2647281</c:v>
                </c:pt>
                <c:pt idx="10">
                  <c:v>3359546062.0851331</c:v>
                </c:pt>
                <c:pt idx="11">
                  <c:v>3622089864.9055381</c:v>
                </c:pt>
                <c:pt idx="12">
                  <c:v>3884633667.7259431</c:v>
                </c:pt>
                <c:pt idx="13">
                  <c:v>4147177470.5463481</c:v>
                </c:pt>
                <c:pt idx="14">
                  <c:v>4409721273.3667526</c:v>
                </c:pt>
                <c:pt idx="15">
                  <c:v>4672265076.1871586</c:v>
                </c:pt>
                <c:pt idx="16">
                  <c:v>4934808879.0075626</c:v>
                </c:pt>
                <c:pt idx="17">
                  <c:v>5197352681.8279686</c:v>
                </c:pt>
                <c:pt idx="18">
                  <c:v>5459896484.6483727</c:v>
                </c:pt>
                <c:pt idx="19">
                  <c:v>5722440287.4687786</c:v>
                </c:pt>
                <c:pt idx="20">
                  <c:v>5984984090.2891827</c:v>
                </c:pt>
                <c:pt idx="21">
                  <c:v>6247527893.1095886</c:v>
                </c:pt>
                <c:pt idx="22">
                  <c:v>6510071695.9299927</c:v>
                </c:pt>
                <c:pt idx="23">
                  <c:v>6772615498.7503986</c:v>
                </c:pt>
                <c:pt idx="24">
                  <c:v>7035159301.5708027</c:v>
                </c:pt>
                <c:pt idx="25">
                  <c:v>7297703104.3912086</c:v>
                </c:pt>
                <c:pt idx="26">
                  <c:v>7560246907.2116127</c:v>
                </c:pt>
                <c:pt idx="27">
                  <c:v>7822790710.0320187</c:v>
                </c:pt>
                <c:pt idx="28">
                  <c:v>8085334512.8524227</c:v>
                </c:pt>
                <c:pt idx="29">
                  <c:v>8347878315.6728287</c:v>
                </c:pt>
              </c:numCache>
            </c:numRef>
          </c:cat>
          <c:val>
            <c:numRef>
              <c:f>'Monte Carlo'!$G$5:$G$34</c:f>
              <c:numCache>
                <c:formatCode>General</c:formatCode>
                <c:ptCount val="30"/>
                <c:pt idx="0">
                  <c:v>38</c:v>
                </c:pt>
                <c:pt idx="1">
                  <c:v>200</c:v>
                </c:pt>
                <c:pt idx="2">
                  <c:v>430</c:v>
                </c:pt>
                <c:pt idx="3">
                  <c:v>717</c:v>
                </c:pt>
                <c:pt idx="4">
                  <c:v>775</c:v>
                </c:pt>
                <c:pt idx="5">
                  <c:v>683</c:v>
                </c:pt>
                <c:pt idx="6">
                  <c:v>577</c:v>
                </c:pt>
                <c:pt idx="7">
                  <c:v>481</c:v>
                </c:pt>
                <c:pt idx="8">
                  <c:v>319</c:v>
                </c:pt>
                <c:pt idx="9">
                  <c:v>212</c:v>
                </c:pt>
                <c:pt idx="10">
                  <c:v>163</c:v>
                </c:pt>
                <c:pt idx="11">
                  <c:v>138</c:v>
                </c:pt>
                <c:pt idx="12">
                  <c:v>88</c:v>
                </c:pt>
                <c:pt idx="13">
                  <c:v>49</c:v>
                </c:pt>
                <c:pt idx="14">
                  <c:v>42</c:v>
                </c:pt>
                <c:pt idx="15">
                  <c:v>30</c:v>
                </c:pt>
                <c:pt idx="16">
                  <c:v>19</c:v>
                </c:pt>
                <c:pt idx="17">
                  <c:v>12</c:v>
                </c:pt>
                <c:pt idx="18">
                  <c:v>7</c:v>
                </c:pt>
                <c:pt idx="19">
                  <c:v>6</c:v>
                </c:pt>
                <c:pt idx="20">
                  <c:v>7</c:v>
                </c:pt>
                <c:pt idx="21">
                  <c:v>1</c:v>
                </c:pt>
                <c:pt idx="22">
                  <c:v>2</c:v>
                </c:pt>
                <c:pt idx="23">
                  <c:v>0</c:v>
                </c:pt>
                <c:pt idx="24">
                  <c:v>2</c:v>
                </c:pt>
                <c:pt idx="25">
                  <c:v>0</c:v>
                </c:pt>
                <c:pt idx="26">
                  <c:v>0</c:v>
                </c:pt>
                <c:pt idx="27">
                  <c:v>0</c:v>
                </c:pt>
                <c:pt idx="28">
                  <c:v>0</c:v>
                </c:pt>
                <c:pt idx="29">
                  <c:v>2</c:v>
                </c:pt>
              </c:numCache>
            </c:numRef>
          </c:val>
          <c:extLst>
            <c:ext xmlns:c16="http://schemas.microsoft.com/office/drawing/2014/chart" uri="{C3380CC4-5D6E-409C-BE32-E72D297353CC}">
              <c16:uniqueId val="{00000000-40EB-3547-A277-66721268027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0\ &quot;VND&quot;"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DCA Value: Actual Through Jul-2026, Projected Thereafter</a:t>
            </a:r>
          </a:p>
        </c:rich>
      </c:tx>
      <c:overlay val="0"/>
    </c:title>
    <c:autoTitleDeleted val="0"/>
    <c:plotArea>
      <c:layout/>
      <c:lineChart>
        <c:grouping val="standard"/>
        <c:varyColors val="1"/>
        <c:ser>
          <c:idx val="0"/>
          <c:order val="0"/>
          <c:tx>
            <c:v>Series 1</c:v>
          </c:tx>
          <c:cat>
            <c:strLit>
              <c:ptCount val="1"/>
              <c:pt idx="0">
                <c:v>Item 1</c:v>
              </c:pt>
            </c:strLit>
          </c:cat>
          <c:val>
            <c:numLit>
              <c:formatCode>#,##0\ "VND"</c:formatCode>
              <c:ptCount val="1"/>
              <c:pt idx="0">
                <c:v>1767225600000</c:v>
              </c:pt>
            </c:numLit>
          </c:val>
          <c:smooth val="0"/>
          <c:extLst>
            <c:ext xmlns:c16="http://schemas.microsoft.com/office/drawing/2014/chart" uri="{C3380CC4-5D6E-409C-BE32-E72D297353CC}">
              <c16:uniqueId val="{00000000-471A-E54B-9A77-C0F3079EC169}"/>
            </c:ext>
          </c:extLst>
        </c:ser>
        <c:ser>
          <c:idx val="1"/>
          <c:order val="1"/>
          <c:tx>
            <c:v>Maximum-Sharpe Portfolio</c:v>
          </c:tx>
          <c:cat>
            <c:numRef>
              <c:f>'DCA Analysis'!$A$4:$A$123</c:f>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f>'DCA Analysis'!$G$4:$G$123</c:f>
              <c:numCache>
                <c:formatCode>#,##0\ "VND";[Red]\(#,##0\ "VND"\);\-</c:formatCode>
                <c:ptCount val="120"/>
                <c:pt idx="0">
                  <c:v>10000000</c:v>
                </c:pt>
                <c:pt idx="1">
                  <c:v>20514100.802238841</c:v>
                </c:pt>
                <c:pt idx="2">
                  <c:v>30676641.217528891</c:v>
                </c:pt>
                <c:pt idx="3">
                  <c:v>38501398.70330929</c:v>
                </c:pt>
                <c:pt idx="4">
                  <c:v>48887333.631039523</c:v>
                </c:pt>
                <c:pt idx="5">
                  <c:v>57921837.290337913</c:v>
                </c:pt>
                <c:pt idx="6">
                  <c:v>67802289.552339122</c:v>
                </c:pt>
                <c:pt idx="7">
                  <c:v>78445651.438391909</c:v>
                </c:pt>
                <c:pt idx="8">
                  <c:v>89190005.981509298</c:v>
                </c:pt>
                <c:pt idx="9">
                  <c:v>100036311.48010206</c:v>
                </c:pt>
                <c:pt idx="10">
                  <c:v>110985535.3256762</c:v>
                </c:pt>
                <c:pt idx="11">
                  <c:v>122038654.0891154</c:v>
                </c:pt>
                <c:pt idx="12">
                  <c:v>133196653.6077822</c:v>
                </c:pt>
                <c:pt idx="13">
                  <c:v>144460529.07344586</c:v>
                </c:pt>
                <c:pt idx="14">
                  <c:v>155831285.12104407</c:v>
                </c:pt>
                <c:pt idx="15">
                  <c:v>167309935.91828763</c:v>
                </c:pt>
                <c:pt idx="16">
                  <c:v>178897505.25611463</c:v>
                </c:pt>
                <c:pt idx="17">
                  <c:v>190595026.64000338</c:v>
                </c:pt>
                <c:pt idx="18">
                  <c:v>202403543.38215172</c:v>
                </c:pt>
                <c:pt idx="19">
                  <c:v>214324108.69453087</c:v>
                </c:pt>
                <c:pt idx="20">
                  <c:v>226357785.78282234</c:v>
                </c:pt>
                <c:pt idx="21">
                  <c:v>238505647.94124627</c:v>
                </c:pt>
                <c:pt idx="22">
                  <c:v>250768778.64828932</c:v>
                </c:pt>
                <c:pt idx="23">
                  <c:v>263148271.66334119</c:v>
                </c:pt>
                <c:pt idx="24">
                  <c:v>275645231.12424803</c:v>
                </c:pt>
                <c:pt idx="25">
                  <c:v>288260771.64579129</c:v>
                </c:pt>
                <c:pt idx="26">
                  <c:v>300996018.41910136</c:v>
                </c:pt>
                <c:pt idx="27">
                  <c:v>313852107.31201416</c:v>
                </c:pt>
                <c:pt idx="28">
                  <c:v>326830184.97038037</c:v>
                </c:pt>
                <c:pt idx="29">
                  <c:v>339931408.92033577</c:v>
                </c:pt>
                <c:pt idx="30">
                  <c:v>353156947.67154187</c:v>
                </c:pt>
                <c:pt idx="31">
                  <c:v>366507980.82140648</c:v>
                </c:pt>
                <c:pt idx="32">
                  <c:v>379985699.16029298</c:v>
                </c:pt>
                <c:pt idx="33">
                  <c:v>393591304.77772778</c:v>
                </c:pt>
                <c:pt idx="34">
                  <c:v>407326011.16961598</c:v>
                </c:pt>
                <c:pt idx="35">
                  <c:v>421191043.34647417</c:v>
                </c:pt>
                <c:pt idx="36">
                  <c:v>435187637.94268978</c:v>
                </c:pt>
                <c:pt idx="37">
                  <c:v>449317043.32681829</c:v>
                </c:pt>
                <c:pt idx="38">
                  <c:v>463580519.71292549</c:v>
                </c:pt>
                <c:pt idx="39">
                  <c:v>477979339.2729879</c:v>
                </c:pt>
                <c:pt idx="40">
                  <c:v>492514786.25035805</c:v>
                </c:pt>
                <c:pt idx="41">
                  <c:v>507188157.0743081</c:v>
                </c:pt>
                <c:pt idx="42">
                  <c:v>522000760.47565907</c:v>
                </c:pt>
                <c:pt idx="43">
                  <c:v>536953917.60350752</c:v>
                </c:pt>
                <c:pt idx="44">
                  <c:v>552048962.14306045</c:v>
                </c:pt>
                <c:pt idx="45">
                  <c:v>567287240.43458736</c:v>
                </c:pt>
                <c:pt idx="46">
                  <c:v>582670111.59350216</c:v>
                </c:pt>
                <c:pt idx="47">
                  <c:v>598198947.63158333</c:v>
                </c:pt>
                <c:pt idx="48">
                  <c:v>613875133.57934499</c:v>
                </c:pt>
                <c:pt idx="49">
                  <c:v>629700067.60956883</c:v>
                </c:pt>
                <c:pt idx="50">
                  <c:v>645675161.16200912</c:v>
                </c:pt>
                <c:pt idx="51">
                  <c:v>661801839.06927884</c:v>
                </c:pt>
                <c:pt idx="52">
                  <c:v>678081539.6839335</c:v>
                </c:pt>
                <c:pt idx="53">
                  <c:v>694515715.00675762</c:v>
                </c:pt>
                <c:pt idx="54">
                  <c:v>711105830.81627071</c:v>
                </c:pt>
                <c:pt idx="55">
                  <c:v>727853366.79946089</c:v>
                </c:pt>
                <c:pt idx="56">
                  <c:v>744759816.68376005</c:v>
                </c:pt>
                <c:pt idx="57">
                  <c:v>761826688.37027037</c:v>
                </c:pt>
                <c:pt idx="58">
                  <c:v>779055504.06825495</c:v>
                </c:pt>
                <c:pt idx="59">
                  <c:v>796447800.43090594</c:v>
                </c:pt>
                <c:pt idx="60">
                  <c:v>814005128.69239891</c:v>
                </c:pt>
                <c:pt idx="61">
                  <c:v>831729054.80624974</c:v>
                </c:pt>
                <c:pt idx="62">
                  <c:v>849621159.58498263</c:v>
                </c:pt>
                <c:pt idx="63">
                  <c:v>867683038.84112489</c:v>
                </c:pt>
                <c:pt idx="64">
                  <c:v>885916303.52953804</c:v>
                </c:pt>
                <c:pt idx="65">
                  <c:v>904322579.89110112</c:v>
                </c:pt>
                <c:pt idx="66">
                  <c:v>922903509.59775567</c:v>
                </c:pt>
                <c:pt idx="67">
                  <c:v>941660749.89892876</c:v>
                </c:pt>
                <c:pt idx="68">
                  <c:v>960595973.76934385</c:v>
                </c:pt>
                <c:pt idx="69">
                  <c:v>979710870.05823529</c:v>
                </c:pt>
                <c:pt idx="70">
                  <c:v>999007143.63997817</c:v>
                </c:pt>
                <c:pt idx="71">
                  <c:v>1018486515.5661471</c:v>
                </c:pt>
                <c:pt idx="72">
                  <c:v>1038150723.2190193</c:v>
                </c:pt>
                <c:pt idx="73">
                  <c:v>1058001520.4665321</c:v>
                </c:pt>
                <c:pt idx="74">
                  <c:v>1078040677.8187129</c:v>
                </c:pt>
                <c:pt idx="75">
                  <c:v>1098269982.5855923</c:v>
                </c:pt>
                <c:pt idx="76">
                  <c:v>1118691239.0366154</c:v>
                </c:pt>
                <c:pt idx="77">
                  <c:v>1139306268.5615659</c:v>
                </c:pt>
                <c:pt idx="78">
                  <c:v>1160116909.833019</c:v>
                </c:pt>
                <c:pt idx="79">
                  <c:v>1181125018.9703329</c:v>
                </c:pt>
                <c:pt idx="80">
                  <c:v>1202332469.7051978</c:v>
                </c:pt>
                <c:pt idx="81">
                  <c:v>1223741153.5487564</c:v>
                </c:pt>
                <c:pt idx="82">
                  <c:v>1245352979.9603083</c:v>
                </c:pt>
                <c:pt idx="83">
                  <c:v>1267169876.5176177</c:v>
                </c:pt>
                <c:pt idx="84">
                  <c:v>1289193789.0888345</c:v>
                </c:pt>
                <c:pt idx="85">
                  <c:v>1311426682.0060489</c:v>
                </c:pt>
                <c:pt idx="86">
                  <c:v>1333870538.2404916</c:v>
                </c:pt>
                <c:pt idx="87">
                  <c:v>1356527359.5793965</c:v>
                </c:pt>
                <c:pt idx="88">
                  <c:v>1379399166.8045421</c:v>
                </c:pt>
                <c:pt idx="89">
                  <c:v>1402487999.8724866</c:v>
                </c:pt>
                <c:pt idx="90">
                  <c:v>1425795918.0965142</c:v>
                </c:pt>
                <c:pt idx="91">
                  <c:v>1449325000.3303058</c:v>
                </c:pt>
                <c:pt idx="92">
                  <c:v>1473077345.1533544</c:v>
                </c:pt>
                <c:pt idx="93">
                  <c:v>1497055071.05814</c:v>
                </c:pt>
                <c:pt idx="94">
                  <c:v>1521260316.6390781</c:v>
                </c:pt>
                <c:pt idx="95">
                  <c:v>1545695240.7832646</c:v>
                </c:pt>
                <c:pt idx="96">
                  <c:v>1570362022.8630273</c:v>
                </c:pt>
                <c:pt idx="97">
                  <c:v>1595262862.9303076</c:v>
                </c:pt>
                <c:pt idx="98">
                  <c:v>1620399981.9128835</c:v>
                </c:pt>
                <c:pt idx="99">
                  <c:v>1645775621.8124568</c:v>
                </c:pt>
                <c:pt idx="100">
                  <c:v>1671392045.9046199</c:v>
                </c:pt>
                <c:pt idx="101">
                  <c:v>1697251538.9407179</c:v>
                </c:pt>
                <c:pt idx="102">
                  <c:v>1723356407.351629</c:v>
                </c:pt>
                <c:pt idx="103">
                  <c:v>1749708979.4534755</c:v>
                </c:pt>
                <c:pt idx="104">
                  <c:v>1776311605.6552901</c:v>
                </c:pt>
                <c:pt idx="105">
                  <c:v>1803166658.6686497</c:v>
                </c:pt>
                <c:pt idx="106">
                  <c:v>1830276533.7193007</c:v>
                </c:pt>
                <c:pt idx="107">
                  <c:v>1857643648.7607896</c:v>
                </c:pt>
                <c:pt idx="108">
                  <c:v>1885270444.690124</c:v>
                </c:pt>
                <c:pt idx="109">
                  <c:v>1913159385.5654778</c:v>
                </c:pt>
                <c:pt idx="110">
                  <c:v>1941312958.8259625</c:v>
                </c:pt>
                <c:pt idx="111">
                  <c:v>1969733675.513485</c:v>
                </c:pt>
                <c:pt idx="112">
                  <c:v>1998424070.4967072</c:v>
                </c:pt>
                <c:pt idx="113">
                  <c:v>2027386702.6971371</c:v>
                </c:pt>
                <c:pt idx="114">
                  <c:v>2056624155.3173573</c:v>
                </c:pt>
                <c:pt idx="115">
                  <c:v>2086139036.0714252</c:v>
                </c:pt>
                <c:pt idx="116">
                  <c:v>2115933977.4174573</c:v>
                </c:pt>
                <c:pt idx="117">
                  <c:v>2146011636.7924201</c:v>
                </c:pt>
                <c:pt idx="118">
                  <c:v>2176374696.8491488</c:v>
                </c:pt>
                <c:pt idx="119">
                  <c:v>2207025865.6956167</c:v>
                </c:pt>
              </c:numCache>
            </c:numRef>
          </c:val>
          <c:smooth val="0"/>
          <c:extLst>
            <c:ext xmlns:c16="http://schemas.microsoft.com/office/drawing/2014/chart" uri="{C3380CC4-5D6E-409C-BE32-E72D297353CC}">
              <c16:uniqueId val="{00000001-471A-E54B-9A77-C0F3079EC169}"/>
            </c:ext>
          </c:extLst>
        </c:ser>
        <c:ser>
          <c:idx val="2"/>
          <c:order val="2"/>
          <c:tx>
            <c:v>VN-Index</c:v>
          </c:tx>
          <c:cat>
            <c:numRef>
              <c:f>'DCA Analysis'!$A$4:$A$123</c:f>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f>'DCA Analysis'!$L$4:$L$123</c:f>
              <c:numCache>
                <c:formatCode>#,##0\ "VND";[Red]\(#,##0\ "VND"\);\-</c:formatCode>
                <c:ptCount val="120"/>
                <c:pt idx="0">
                  <c:v>10000000</c:v>
                </c:pt>
                <c:pt idx="1">
                  <c:v>20101207.783493627</c:v>
                </c:pt>
                <c:pt idx="2">
                  <c:v>30541843.171385318</c:v>
                </c:pt>
                <c:pt idx="3">
                  <c:v>38173241.423458755</c:v>
                </c:pt>
                <c:pt idx="4">
                  <c:v>51561003.678118266</c:v>
                </c:pt>
                <c:pt idx="5">
                  <c:v>61296254.557261504</c:v>
                </c:pt>
                <c:pt idx="6">
                  <c:v>72049605.577468768</c:v>
                </c:pt>
                <c:pt idx="7">
                  <c:v>82624139.250190631</c:v>
                </c:pt>
                <c:pt idx="8">
                  <c:v>93282995.739388943</c:v>
                </c:pt>
                <c:pt idx="9">
                  <c:v>104026847.44704366</c:v>
                </c:pt>
                <c:pt idx="10">
                  <c:v>114856372.13696253</c:v>
                </c:pt>
                <c:pt idx="11">
                  <c:v>125772252.97753711</c:v>
                </c:pt>
                <c:pt idx="12">
                  <c:v>136775178.58483958</c:v>
                </c:pt>
                <c:pt idx="13">
                  <c:v>147865843.06606349</c:v>
                </c:pt>
                <c:pt idx="14">
                  <c:v>159044946.0633105</c:v>
                </c:pt>
                <c:pt idx="15">
                  <c:v>170313192.79772681</c:v>
                </c:pt>
                <c:pt idx="16">
                  <c:v>181671294.11399084</c:v>
                </c:pt>
                <c:pt idx="17">
                  <c:v>193119966.5251565</c:v>
                </c:pt>
                <c:pt idx="18">
                  <c:v>204659932.25785327</c:v>
                </c:pt>
                <c:pt idx="19">
                  <c:v>216291919.29784733</c:v>
                </c:pt>
                <c:pt idx="20">
                  <c:v>228016661.43596548</c:v>
                </c:pt>
                <c:pt idx="21">
                  <c:v>239834898.31438568</c:v>
                </c:pt>
                <c:pt idx="22">
                  <c:v>251747375.47329643</c:v>
                </c:pt>
                <c:pt idx="23">
                  <c:v>263754844.39792848</c:v>
                </c:pt>
                <c:pt idx="24">
                  <c:v>275858062.56596118</c:v>
                </c:pt>
                <c:pt idx="25">
                  <c:v>288057793.49530751</c:v>
                </c:pt>
                <c:pt idx="26">
                  <c:v>300354806.79227924</c:v>
                </c:pt>
                <c:pt idx="27">
                  <c:v>312749878.20013714</c:v>
                </c:pt>
                <c:pt idx="28">
                  <c:v>325243789.6480276</c:v>
                </c:pt>
                <c:pt idx="29">
                  <c:v>337837329.30030984</c:v>
                </c:pt>
                <c:pt idx="30">
                  <c:v>350531291.60627627</c:v>
                </c:pt>
                <c:pt idx="31">
                  <c:v>363326477.35026973</c:v>
                </c:pt>
                <c:pt idx="32">
                  <c:v>376223693.7021997</c:v>
                </c:pt>
                <c:pt idx="33">
                  <c:v>389223754.26846194</c:v>
                </c:pt>
                <c:pt idx="34">
                  <c:v>402327479.14326382</c:v>
                </c:pt>
                <c:pt idx="35">
                  <c:v>415535694.96035904</c:v>
                </c:pt>
                <c:pt idx="36">
                  <c:v>428849234.94519508</c:v>
                </c:pt>
                <c:pt idx="37">
                  <c:v>442268938.96747601</c:v>
                </c:pt>
                <c:pt idx="38">
                  <c:v>455795653.59414494</c:v>
                </c:pt>
                <c:pt idx="39">
                  <c:v>469430232.14278865</c:v>
                </c:pt>
                <c:pt idx="40">
                  <c:v>483173534.73546815</c:v>
                </c:pt>
                <c:pt idx="41">
                  <c:v>497026428.35297859</c:v>
                </c:pt>
                <c:pt idx="42">
                  <c:v>510989786.88954175</c:v>
                </c:pt>
                <c:pt idx="43">
                  <c:v>525064491.20793456</c:v>
                </c:pt>
                <c:pt idx="44">
                  <c:v>539251429.19505763</c:v>
                </c:pt>
                <c:pt idx="45">
                  <c:v>553551495.81794596</c:v>
                </c:pt>
                <c:pt idx="46">
                  <c:v>567965593.18022799</c:v>
                </c:pt>
                <c:pt idx="47">
                  <c:v>582494630.57903278</c:v>
                </c:pt>
                <c:pt idx="48">
                  <c:v>597139524.56235242</c:v>
                </c:pt>
                <c:pt idx="49">
                  <c:v>611901198.98686159</c:v>
                </c:pt>
                <c:pt idx="50">
                  <c:v>626780585.07619727</c:v>
                </c:pt>
                <c:pt idx="51">
                  <c:v>641778621.47970545</c:v>
                </c:pt>
                <c:pt idx="52">
                  <c:v>656896254.33165288</c:v>
                </c:pt>
                <c:pt idx="53">
                  <c:v>672134437.3109144</c:v>
                </c:pt>
                <c:pt idx="54">
                  <c:v>687494131.70113373</c:v>
                </c:pt>
                <c:pt idx="55">
                  <c:v>702976306.45136583</c:v>
                </c:pt>
                <c:pt idx="56">
                  <c:v>718581938.23720109</c:v>
                </c:pt>
                <c:pt idx="57">
                  <c:v>734312011.52237833</c:v>
                </c:pt>
                <c:pt idx="58">
                  <c:v>750167518.62088859</c:v>
                </c:pt>
                <c:pt idx="59">
                  <c:v>766149459.75957382</c:v>
                </c:pt>
                <c:pt idx="60">
                  <c:v>782258843.14122546</c:v>
                </c:pt>
                <c:pt idx="61">
                  <c:v>798496685.00818527</c:v>
                </c:pt>
                <c:pt idx="62">
                  <c:v>814864009.70645475</c:v>
                </c:pt>
                <c:pt idx="63">
                  <c:v>831361849.75031352</c:v>
                </c:pt>
                <c:pt idx="64">
                  <c:v>847991245.8874557</c:v>
                </c:pt>
                <c:pt idx="65">
                  <c:v>864753247.16464329</c:v>
                </c:pt>
                <c:pt idx="66">
                  <c:v>881648910.99388468</c:v>
                </c:pt>
                <c:pt idx="67">
                  <c:v>898679303.21913981</c:v>
                </c:pt>
                <c:pt idx="68">
                  <c:v>915845498.18355882</c:v>
                </c:pt>
                <c:pt idx="69">
                  <c:v>933148578.79725385</c:v>
                </c:pt>
                <c:pt idx="70">
                  <c:v>950589636.60561502</c:v>
                </c:pt>
                <c:pt idx="71">
                  <c:v>968169771.85816896</c:v>
                </c:pt>
                <c:pt idx="72">
                  <c:v>985890093.57798576</c:v>
                </c:pt>
                <c:pt idx="73">
                  <c:v>1003751719.6316415</c:v>
                </c:pt>
                <c:pt idx="74">
                  <c:v>1021755776.799738</c:v>
                </c:pt>
                <c:pt idx="75">
                  <c:v>1039903400.8479826</c:v>
                </c:pt>
                <c:pt idx="76">
                  <c:v>1058195736.5988392</c:v>
                </c:pt>
                <c:pt idx="77">
                  <c:v>1076633938.0037456</c:v>
                </c:pt>
                <c:pt idx="78">
                  <c:v>1095219168.2159109</c:v>
                </c:pt>
                <c:pt idx="79">
                  <c:v>1113952599.663692</c:v>
                </c:pt>
                <c:pt idx="80">
                  <c:v>1132835414.1245527</c:v>
                </c:pt>
                <c:pt idx="81">
                  <c:v>1151868802.7996171</c:v>
                </c:pt>
                <c:pt idx="82">
                  <c:v>1171053966.3888142</c:v>
                </c:pt>
                <c:pt idx="83">
                  <c:v>1190392115.1666236</c:v>
                </c:pt>
                <c:pt idx="84">
                  <c:v>1209884469.0584219</c:v>
                </c:pt>
                <c:pt idx="85">
                  <c:v>1229532257.7174435</c:v>
                </c:pt>
                <c:pt idx="86">
                  <c:v>1249336720.6023495</c:v>
                </c:pt>
                <c:pt idx="87">
                  <c:v>1269299107.0554187</c:v>
                </c:pt>
                <c:pt idx="88">
                  <c:v>1289420676.3813608</c:v>
                </c:pt>
                <c:pt idx="89">
                  <c:v>1309702697.9267578</c:v>
                </c:pt>
                <c:pt idx="90">
                  <c:v>1330146451.16014</c:v>
                </c:pt>
                <c:pt idx="91">
                  <c:v>1350753225.7526989</c:v>
                </c:pt>
                <c:pt idx="92">
                  <c:v>1371524321.6596458</c:v>
                </c:pt>
                <c:pt idx="93">
                  <c:v>1392461049.2022166</c:v>
                </c:pt>
                <c:pt idx="94">
                  <c:v>1413564729.1503339</c:v>
                </c:pt>
                <c:pt idx="95">
                  <c:v>1434836692.8059239</c:v>
                </c:pt>
                <c:pt idx="96">
                  <c:v>1456278282.0869021</c:v>
                </c:pt>
                <c:pt idx="97">
                  <c:v>1477890849.6118257</c:v>
                </c:pt>
                <c:pt idx="98">
                  <c:v>1499675758.7852223</c:v>
                </c:pt>
                <c:pt idx="99">
                  <c:v>1521634383.8835986</c:v>
                </c:pt>
                <c:pt idx="100">
                  <c:v>1543768110.1421349</c:v>
                </c:pt>
                <c:pt idx="101">
                  <c:v>1566078333.8420715</c:v>
                </c:pt>
                <c:pt idx="102">
                  <c:v>1588566462.3987918</c:v>
                </c:pt>
                <c:pt idx="103">
                  <c:v>1611233914.4506066</c:v>
                </c:pt>
                <c:pt idx="104">
                  <c:v>1634082119.9482479</c:v>
                </c:pt>
                <c:pt idx="105">
                  <c:v>1657112520.2450762</c:v>
                </c:pt>
                <c:pt idx="106">
                  <c:v>1680326568.188005</c:v>
                </c:pt>
                <c:pt idx="107">
                  <c:v>1703725728.2091541</c:v>
                </c:pt>
                <c:pt idx="108">
                  <c:v>1727311476.4182305</c:v>
                </c:pt>
                <c:pt idx="109">
                  <c:v>1751085300.6956465</c:v>
                </c:pt>
                <c:pt idx="110">
                  <c:v>1775048700.7863829</c:v>
                </c:pt>
                <c:pt idx="111">
                  <c:v>1799203188.3945966</c:v>
                </c:pt>
                <c:pt idx="112">
                  <c:v>1823550287.2789865</c:v>
                </c:pt>
                <c:pt idx="113">
                  <c:v>1848091533.348917</c:v>
                </c:pt>
                <c:pt idx="114">
                  <c:v>1872828474.7613094</c:v>
                </c:pt>
                <c:pt idx="115">
                  <c:v>1897762672.0183058</c:v>
                </c:pt>
                <c:pt idx="116">
                  <c:v>1922895698.0657115</c:v>
                </c:pt>
                <c:pt idx="117">
                  <c:v>1948229138.3922224</c:v>
                </c:pt>
                <c:pt idx="118">
                  <c:v>1973764591.1294441</c:v>
                </c:pt>
                <c:pt idx="119">
                  <c:v>1999503667.1527081</c:v>
                </c:pt>
              </c:numCache>
            </c:numRef>
          </c:val>
          <c:smooth val="0"/>
          <c:extLst>
            <c:ext xmlns:c16="http://schemas.microsoft.com/office/drawing/2014/chart" uri="{C3380CC4-5D6E-409C-BE32-E72D297353CC}">
              <c16:uniqueId val="{00000002-471A-E54B-9A77-C0F3079EC169}"/>
            </c:ext>
          </c:extLst>
        </c:ser>
        <c:ser>
          <c:idx val="3"/>
          <c:order val="3"/>
          <c:tx>
            <c:v>Cumulative Contributions</c:v>
          </c:tx>
          <c:cat>
            <c:numRef>
              <c:f>'DCA Analysis'!$A$4:$A$123</c:f>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f>'DCA Analysis'!$M$4:$M$123</c:f>
              <c:numCache>
                <c:formatCode>#,##0\ "VND";[Red]\(#,##0\ "VND"\);\-</c:formatCode>
                <c:ptCount val="120"/>
                <c:pt idx="0">
                  <c:v>10000000</c:v>
                </c:pt>
                <c:pt idx="1">
                  <c:v>20000000</c:v>
                </c:pt>
                <c:pt idx="2">
                  <c:v>30000000</c:v>
                </c:pt>
                <c:pt idx="3">
                  <c:v>40000000</c:v>
                </c:pt>
                <c:pt idx="4">
                  <c:v>50000000</c:v>
                </c:pt>
                <c:pt idx="5">
                  <c:v>60000000</c:v>
                </c:pt>
                <c:pt idx="6">
                  <c:v>70000000</c:v>
                </c:pt>
                <c:pt idx="7">
                  <c:v>80000000</c:v>
                </c:pt>
                <c:pt idx="8">
                  <c:v>90000000</c:v>
                </c:pt>
                <c:pt idx="9">
                  <c:v>100000000</c:v>
                </c:pt>
                <c:pt idx="10">
                  <c:v>110000000</c:v>
                </c:pt>
                <c:pt idx="11">
                  <c:v>120000000</c:v>
                </c:pt>
                <c:pt idx="12">
                  <c:v>130000000</c:v>
                </c:pt>
                <c:pt idx="13">
                  <c:v>140000000</c:v>
                </c:pt>
                <c:pt idx="14">
                  <c:v>150000000</c:v>
                </c:pt>
                <c:pt idx="15">
                  <c:v>160000000</c:v>
                </c:pt>
                <c:pt idx="16">
                  <c:v>170000000</c:v>
                </c:pt>
                <c:pt idx="17">
                  <c:v>180000000</c:v>
                </c:pt>
                <c:pt idx="18">
                  <c:v>190000000</c:v>
                </c:pt>
                <c:pt idx="19">
                  <c:v>200000000</c:v>
                </c:pt>
                <c:pt idx="20">
                  <c:v>210000000</c:v>
                </c:pt>
                <c:pt idx="21">
                  <c:v>220000000</c:v>
                </c:pt>
                <c:pt idx="22">
                  <c:v>230000000</c:v>
                </c:pt>
                <c:pt idx="23">
                  <c:v>240000000</c:v>
                </c:pt>
                <c:pt idx="24">
                  <c:v>250000000</c:v>
                </c:pt>
                <c:pt idx="25">
                  <c:v>260000000</c:v>
                </c:pt>
                <c:pt idx="26">
                  <c:v>270000000</c:v>
                </c:pt>
                <c:pt idx="27">
                  <c:v>280000000</c:v>
                </c:pt>
                <c:pt idx="28">
                  <c:v>290000000</c:v>
                </c:pt>
                <c:pt idx="29">
                  <c:v>300000000</c:v>
                </c:pt>
                <c:pt idx="30">
                  <c:v>310000000</c:v>
                </c:pt>
                <c:pt idx="31">
                  <c:v>320000000</c:v>
                </c:pt>
                <c:pt idx="32">
                  <c:v>330000000</c:v>
                </c:pt>
                <c:pt idx="33">
                  <c:v>340000000</c:v>
                </c:pt>
                <c:pt idx="34">
                  <c:v>350000000</c:v>
                </c:pt>
                <c:pt idx="35">
                  <c:v>360000000</c:v>
                </c:pt>
                <c:pt idx="36">
                  <c:v>370000000</c:v>
                </c:pt>
                <c:pt idx="37">
                  <c:v>380000000</c:v>
                </c:pt>
                <c:pt idx="38">
                  <c:v>390000000</c:v>
                </c:pt>
                <c:pt idx="39">
                  <c:v>400000000</c:v>
                </c:pt>
                <c:pt idx="40">
                  <c:v>410000000</c:v>
                </c:pt>
                <c:pt idx="41">
                  <c:v>420000000</c:v>
                </c:pt>
                <c:pt idx="42">
                  <c:v>430000000</c:v>
                </c:pt>
                <c:pt idx="43">
                  <c:v>440000000</c:v>
                </c:pt>
                <c:pt idx="44">
                  <c:v>450000000</c:v>
                </c:pt>
                <c:pt idx="45">
                  <c:v>460000000</c:v>
                </c:pt>
                <c:pt idx="46">
                  <c:v>470000000</c:v>
                </c:pt>
                <c:pt idx="47">
                  <c:v>480000000</c:v>
                </c:pt>
                <c:pt idx="48">
                  <c:v>490000000</c:v>
                </c:pt>
                <c:pt idx="49">
                  <c:v>500000000</c:v>
                </c:pt>
                <c:pt idx="50">
                  <c:v>510000000</c:v>
                </c:pt>
                <c:pt idx="51">
                  <c:v>520000000</c:v>
                </c:pt>
                <c:pt idx="52">
                  <c:v>530000000</c:v>
                </c:pt>
                <c:pt idx="53">
                  <c:v>540000000</c:v>
                </c:pt>
                <c:pt idx="54">
                  <c:v>550000000</c:v>
                </c:pt>
                <c:pt idx="55">
                  <c:v>560000000</c:v>
                </c:pt>
                <c:pt idx="56">
                  <c:v>570000000</c:v>
                </c:pt>
                <c:pt idx="57">
                  <c:v>580000000</c:v>
                </c:pt>
                <c:pt idx="58">
                  <c:v>590000000</c:v>
                </c:pt>
                <c:pt idx="59">
                  <c:v>600000000</c:v>
                </c:pt>
                <c:pt idx="60">
                  <c:v>610000000</c:v>
                </c:pt>
                <c:pt idx="61">
                  <c:v>620000000</c:v>
                </c:pt>
                <c:pt idx="62">
                  <c:v>630000000</c:v>
                </c:pt>
                <c:pt idx="63">
                  <c:v>640000000</c:v>
                </c:pt>
                <c:pt idx="64">
                  <c:v>650000000</c:v>
                </c:pt>
                <c:pt idx="65">
                  <c:v>660000000</c:v>
                </c:pt>
                <c:pt idx="66">
                  <c:v>670000000</c:v>
                </c:pt>
                <c:pt idx="67">
                  <c:v>680000000</c:v>
                </c:pt>
                <c:pt idx="68">
                  <c:v>690000000</c:v>
                </c:pt>
                <c:pt idx="69">
                  <c:v>700000000</c:v>
                </c:pt>
                <c:pt idx="70">
                  <c:v>710000000</c:v>
                </c:pt>
                <c:pt idx="71">
                  <c:v>720000000</c:v>
                </c:pt>
                <c:pt idx="72">
                  <c:v>730000000</c:v>
                </c:pt>
                <c:pt idx="73">
                  <c:v>740000000</c:v>
                </c:pt>
                <c:pt idx="74">
                  <c:v>750000000</c:v>
                </c:pt>
                <c:pt idx="75">
                  <c:v>760000000</c:v>
                </c:pt>
                <c:pt idx="76">
                  <c:v>770000000</c:v>
                </c:pt>
                <c:pt idx="77">
                  <c:v>780000000</c:v>
                </c:pt>
                <c:pt idx="78">
                  <c:v>790000000</c:v>
                </c:pt>
                <c:pt idx="79">
                  <c:v>800000000</c:v>
                </c:pt>
                <c:pt idx="80">
                  <c:v>810000000</c:v>
                </c:pt>
                <c:pt idx="81">
                  <c:v>820000000</c:v>
                </c:pt>
                <c:pt idx="82">
                  <c:v>830000000</c:v>
                </c:pt>
                <c:pt idx="83">
                  <c:v>840000000</c:v>
                </c:pt>
                <c:pt idx="84">
                  <c:v>850000000</c:v>
                </c:pt>
                <c:pt idx="85">
                  <c:v>860000000</c:v>
                </c:pt>
                <c:pt idx="86">
                  <c:v>870000000</c:v>
                </c:pt>
                <c:pt idx="87">
                  <c:v>880000000</c:v>
                </c:pt>
                <c:pt idx="88">
                  <c:v>890000000</c:v>
                </c:pt>
                <c:pt idx="89">
                  <c:v>900000000</c:v>
                </c:pt>
                <c:pt idx="90">
                  <c:v>910000000</c:v>
                </c:pt>
                <c:pt idx="91">
                  <c:v>920000000</c:v>
                </c:pt>
                <c:pt idx="92">
                  <c:v>930000000</c:v>
                </c:pt>
                <c:pt idx="93">
                  <c:v>940000000</c:v>
                </c:pt>
                <c:pt idx="94">
                  <c:v>950000000</c:v>
                </c:pt>
                <c:pt idx="95">
                  <c:v>960000000</c:v>
                </c:pt>
                <c:pt idx="96">
                  <c:v>970000000</c:v>
                </c:pt>
                <c:pt idx="97">
                  <c:v>980000000</c:v>
                </c:pt>
                <c:pt idx="98">
                  <c:v>990000000</c:v>
                </c:pt>
                <c:pt idx="99">
                  <c:v>1000000000</c:v>
                </c:pt>
                <c:pt idx="100">
                  <c:v>1010000000</c:v>
                </c:pt>
                <c:pt idx="101">
                  <c:v>1020000000</c:v>
                </c:pt>
                <c:pt idx="102">
                  <c:v>1030000000</c:v>
                </c:pt>
                <c:pt idx="103">
                  <c:v>1040000000</c:v>
                </c:pt>
                <c:pt idx="104">
                  <c:v>1050000000</c:v>
                </c:pt>
                <c:pt idx="105">
                  <c:v>1060000000</c:v>
                </c:pt>
                <c:pt idx="106">
                  <c:v>1070000000</c:v>
                </c:pt>
                <c:pt idx="107">
                  <c:v>1080000000</c:v>
                </c:pt>
                <c:pt idx="108">
                  <c:v>1090000000</c:v>
                </c:pt>
                <c:pt idx="109">
                  <c:v>1100000000</c:v>
                </c:pt>
                <c:pt idx="110">
                  <c:v>1110000000</c:v>
                </c:pt>
                <c:pt idx="111">
                  <c:v>1120000000</c:v>
                </c:pt>
                <c:pt idx="112">
                  <c:v>1130000000</c:v>
                </c:pt>
                <c:pt idx="113">
                  <c:v>1140000000</c:v>
                </c:pt>
                <c:pt idx="114">
                  <c:v>1150000000</c:v>
                </c:pt>
                <c:pt idx="115">
                  <c:v>1160000000</c:v>
                </c:pt>
                <c:pt idx="116">
                  <c:v>1170000000</c:v>
                </c:pt>
                <c:pt idx="117">
                  <c:v>1180000000</c:v>
                </c:pt>
                <c:pt idx="118">
                  <c:v>1190000000</c:v>
                </c:pt>
                <c:pt idx="119">
                  <c:v>1200000000</c:v>
                </c:pt>
              </c:numCache>
            </c:numRef>
          </c:val>
          <c:smooth val="0"/>
          <c:extLst>
            <c:ext xmlns:c16="http://schemas.microsoft.com/office/drawing/2014/chart" uri="{C3380CC4-5D6E-409C-BE32-E72D297353CC}">
              <c16:uniqueId val="{00000003-471A-E54B-9A77-C0F3079EC169}"/>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mmm\-yy" sourceLinked="0"/>
        <c:majorTickMark val="none"/>
        <c:minorTickMark val="none"/>
        <c:tickLblPos val="nextTo"/>
        <c:txPr>
          <a:bodyPr rot="-2700000" anchorCtr="1"/>
          <a:lstStyle/>
          <a:p>
            <a:pPr>
              <a:defRPr sz="675"/>
            </a:pPr>
            <a:endParaRPr lang="en-U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quot;VND&quot;"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Rebased Portfolio and VN-Index Growth</a:t>
            </a:r>
          </a:p>
        </c:rich>
      </c:tx>
      <c:overlay val="0"/>
    </c:title>
    <c:autoTitleDeleted val="0"/>
    <c:plotArea>
      <c:layout/>
      <c:lineChart>
        <c:grouping val="standard"/>
        <c:varyColors val="1"/>
        <c:ser>
          <c:idx val="0"/>
          <c:order val="0"/>
          <c:tx>
            <c:v>Series 1</c:v>
          </c:tx>
          <c:cat>
            <c:strLit>
              <c:ptCount val="1"/>
              <c:pt idx="0">
                <c:v>Item 1</c:v>
              </c:pt>
            </c:strLit>
          </c:cat>
          <c:val>
            <c:numLit>
              <c:formatCode>0</c:formatCode>
              <c:ptCount val="1"/>
              <c:pt idx="0">
                <c:v>1767225600000</c:v>
              </c:pt>
            </c:numLit>
          </c:val>
          <c:smooth val="0"/>
          <c:extLst>
            <c:ext xmlns:c16="http://schemas.microsoft.com/office/drawing/2014/chart" uri="{C3380CC4-5D6E-409C-BE32-E72D297353CC}">
              <c16:uniqueId val="{00000000-56DB-324C-9E77-FED9187266F9}"/>
            </c:ext>
          </c:extLst>
        </c:ser>
        <c:ser>
          <c:idx val="1"/>
          <c:order val="1"/>
          <c:tx>
            <c:v>Maximum-Sharpe Portfolio Index</c:v>
          </c:tx>
          <c:cat>
            <c:numRef>
              <c:f>'DCA Analysis'!$A$4:$A$123</c:f>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f>'DCA Analysis'!$C$4:$C$123</c:f>
              <c:numCache>
                <c:formatCode>0.00</c:formatCode>
                <c:ptCount val="120"/>
                <c:pt idx="0">
                  <c:v>100</c:v>
                </c:pt>
                <c:pt idx="1">
                  <c:v>105.14100802238839</c:v>
                </c:pt>
                <c:pt idx="2">
                  <c:v>105.97407710363754</c:v>
                </c:pt>
                <c:pt idx="3">
                  <c:v>98.459586964824766</c:v>
                </c:pt>
                <c:pt idx="4">
                  <c:v>99.446537955162484</c:v>
                </c:pt>
                <c:pt idx="5">
                  <c:v>97.48252680217557</c:v>
                </c:pt>
                <c:pt idx="6">
                  <c:v>97.281327805065189</c:v>
                </c:pt>
                <c:pt idx="7">
                  <c:v>98.204410181008754</c:v>
                </c:pt>
                <c:pt idx="8">
                  <c:v>99.136251494479211</c:v>
                </c:pt>
                <c:pt idx="9">
                  <c:v>100.07693485722108</c:v>
                </c:pt>
                <c:pt idx="10">
                  <c:v>101.026544169609</c:v>
                </c:pt>
                <c:pt idx="11">
                  <c:v>101.98516412813092</c:v>
                </c:pt>
                <c:pt idx="12">
                  <c:v>102.95288023294222</c:v>
                </c:pt>
                <c:pt idx="13">
                  <c:v>103.92977879549154</c:v>
                </c:pt>
                <c:pt idx="14">
                  <c:v>104.91594694621898</c:v>
                </c:pt>
                <c:pt idx="15">
                  <c:v>105.91147264232735</c:v>
                </c:pt>
                <c:pt idx="16">
                  <c:v>106.91644467562716</c:v>
                </c:pt>
                <c:pt idx="17">
                  <c:v>107.93095268045599</c:v>
                </c:pt>
                <c:pt idx="18">
                  <c:v>108.95508714167312</c:v>
                </c:pt>
                <c:pt idx="19">
                  <c:v>109.98893940272991</c:v>
                </c:pt>
                <c:pt idx="20">
                  <c:v>111.03260167381681</c:v>
                </c:pt>
                <c:pt idx="21">
                  <c:v>112.0861670400877</c:v>
                </c:pt>
                <c:pt idx="22">
                  <c:v>113.14972946996218</c:v>
                </c:pt>
                <c:pt idx="23">
                  <c:v>114.22338382350674</c:v>
                </c:pt>
                <c:pt idx="24">
                  <c:v>115.3072258608954</c:v>
                </c:pt>
                <c:pt idx="25">
                  <c:v>116.40135225095064</c:v>
                </c:pt>
                <c:pt idx="26">
                  <c:v>117.50586057976537</c:v>
                </c:pt>
                <c:pt idx="27">
                  <c:v>118.62084935940675</c:v>
                </c:pt>
                <c:pt idx="28">
                  <c:v>119.74641803670252</c:v>
                </c:pt>
                <c:pt idx="29">
                  <c:v>120.88266700211081</c:v>
                </c:pt>
                <c:pt idx="30">
                  <c:v>122.02969759867399</c:v>
                </c:pt>
                <c:pt idx="31">
                  <c:v>123.18761213105759</c:v>
                </c:pt>
                <c:pt idx="32">
                  <c:v>124.35651387467493</c:v>
                </c:pt>
                <c:pt idx="33">
                  <c:v>125.53650708489833</c:v>
                </c:pt>
                <c:pt idx="34">
                  <c:v>126.72769700635774</c:v>
                </c:pt>
                <c:pt idx="35">
                  <c:v>127.93018988232765</c:v>
                </c:pt>
                <c:pt idx="36">
                  <c:v>129.14409296420294</c:v>
                </c:pt>
                <c:pt idx="37">
                  <c:v>130.36951452106481</c:v>
                </c:pt>
                <c:pt idx="38">
                  <c:v>131.60656384933731</c:v>
                </c:pt>
                <c:pt idx="39">
                  <c:v>132.85535128253565</c:v>
                </c:pt>
                <c:pt idx="40">
                  <c:v>134.11598820110692</c:v>
                </c:pt>
                <c:pt idx="41">
                  <c:v>135.38858704236421</c:v>
                </c:pt>
                <c:pt idx="42">
                  <c:v>136.67326131051499</c:v>
                </c:pt>
                <c:pt idx="43">
                  <c:v>137.97012558678463</c:v>
                </c:pt>
                <c:pt idx="44">
                  <c:v>139.27929553963605</c:v>
                </c:pt>
                <c:pt idx="45">
                  <c:v>140.60088793508626</c:v>
                </c:pt>
                <c:pt idx="46">
                  <c:v>141.93502064712081</c:v>
                </c:pt>
                <c:pt idx="47">
                  <c:v>143.2818126682071</c:v>
                </c:pt>
                <c:pt idx="48">
                  <c:v>144.64138411990743</c:v>
                </c:pt>
                <c:pt idx="49">
                  <c:v>146.01385626359271</c:v>
                </c:pt>
                <c:pt idx="50">
                  <c:v>147.39935151125792</c:v>
                </c:pt>
                <c:pt idx="51">
                  <c:v>148.79799343644007</c:v>
                </c:pt>
                <c:pt idx="52">
                  <c:v>150.20990678523989</c:v>
                </c:pt>
                <c:pt idx="53">
                  <c:v>151.63521748744805</c:v>
                </c:pt>
                <c:pt idx="54">
                  <c:v>153.0740526677769</c:v>
                </c:pt>
                <c:pt idx="55">
                  <c:v>154.52654065719889</c:v>
                </c:pt>
                <c:pt idx="56">
                  <c:v>155.99281100439248</c:v>
                </c:pt>
                <c:pt idx="57">
                  <c:v>157.47299448729672</c:v>
                </c:pt>
                <c:pt idx="58">
                  <c:v>158.96722312477542</c:v>
                </c:pt>
                <c:pt idx="59">
                  <c:v>160.47563018839207</c:v>
                </c:pt>
                <c:pt idx="60">
                  <c:v>161.99835021429644</c:v>
                </c:pt>
                <c:pt idx="61">
                  <c:v>163.53551901522397</c:v>
                </c:pt>
                <c:pt idx="62">
                  <c:v>165.08727369260899</c:v>
                </c:pt>
                <c:pt idx="63">
                  <c:v>166.653752648813</c:v>
                </c:pt>
                <c:pt idx="64">
                  <c:v>168.23509559946879</c:v>
                </c:pt>
                <c:pt idx="65">
                  <c:v>169.83144358594194</c:v>
                </c:pt>
                <c:pt idx="66">
                  <c:v>171.44293898791025</c:v>
                </c:pt>
                <c:pt idx="67">
                  <c:v>173.06972553606289</c:v>
                </c:pt>
                <c:pt idx="68">
                  <c:v>174.71194832491972</c:v>
                </c:pt>
                <c:pt idx="69">
                  <c:v>176.36975382577245</c:v>
                </c:pt>
                <c:pt idx="70">
                  <c:v>178.0432898997486</c:v>
                </c:pt>
                <c:pt idx="71">
                  <c:v>179.73270581099925</c:v>
                </c:pt>
                <c:pt idx="72">
                  <c:v>181.43815224001216</c:v>
                </c:pt>
                <c:pt idx="73">
                  <c:v>183.15978129705098</c:v>
                </c:pt>
                <c:pt idx="74">
                  <c:v>184.89774653572221</c:v>
                </c:pt>
                <c:pt idx="75">
                  <c:v>186.6522029666707</c:v>
                </c:pt>
                <c:pt idx="76">
                  <c:v>188.42330707140522</c:v>
                </c:pt>
                <c:pt idx="77">
                  <c:v>190.21121681625513</c:v>
                </c:pt>
                <c:pt idx="78">
                  <c:v>192.01609166645966</c:v>
                </c:pt>
                <c:pt idx="79">
                  <c:v>193.83809260039061</c:v>
                </c:pt>
                <c:pt idx="80">
                  <c:v>195.67738212391026</c:v>
                </c:pt>
                <c:pt idx="81">
                  <c:v>197.53412428486533</c:v>
                </c:pt>
                <c:pt idx="82">
                  <c:v>199.40848468771861</c:v>
                </c:pt>
                <c:pt idx="83">
                  <c:v>201.30063050831936</c:v>
                </c:pt>
                <c:pt idx="84">
                  <c:v>203.21073050881381</c:v>
                </c:pt>
                <c:pt idx="85">
                  <c:v>205.1389550526973</c:v>
                </c:pt>
                <c:pt idx="86">
                  <c:v>207.08547612000908</c:v>
                </c:pt>
                <c:pt idx="87">
                  <c:v>209.05046732267138</c:v>
                </c:pt>
                <c:pt idx="88">
                  <c:v>211.03410391997403</c:v>
                </c:pt>
                <c:pt idx="89">
                  <c:v>213.03656283420594</c:v>
                </c:pt>
                <c:pt idx="90">
                  <c:v>215.05802266643502</c:v>
                </c:pt>
                <c:pt idx="91">
                  <c:v>217.09866371243768</c:v>
                </c:pt>
                <c:pt idx="92">
                  <c:v>219.15866797877968</c:v>
                </c:pt>
                <c:pt idx="93">
                  <c:v>221.23821919904935</c:v>
                </c:pt>
                <c:pt idx="94">
                  <c:v>223.33750285024502</c:v>
                </c:pt>
                <c:pt idx="95">
                  <c:v>225.45670616931784</c:v>
                </c:pt>
                <c:pt idx="96">
                  <c:v>227.59601816987163</c:v>
                </c:pt>
                <c:pt idx="97">
                  <c:v>229.75562965902114</c:v>
                </c:pt>
                <c:pt idx="98">
                  <c:v>231.93573325441034</c:v>
                </c:pt>
                <c:pt idx="99">
                  <c:v>234.13652340139211</c:v>
                </c:pt>
                <c:pt idx="100">
                  <c:v>236.35819639037109</c:v>
                </c:pt>
                <c:pt idx="101">
                  <c:v>238.60095037431083</c:v>
                </c:pt>
                <c:pt idx="102">
                  <c:v>240.8649853864074</c:v>
                </c:pt>
                <c:pt idx="103">
                  <c:v>243.15050335793038</c:v>
                </c:pt>
                <c:pt idx="104">
                  <c:v>245.45770813623341</c:v>
                </c:pt>
                <c:pt idx="105">
                  <c:v>247.78680550293544</c:v>
                </c:pt>
                <c:pt idx="106">
                  <c:v>250.1380031922746</c:v>
                </c:pt>
                <c:pt idx="107">
                  <c:v>252.51151090963617</c:v>
                </c:pt>
                <c:pt idx="108">
                  <c:v>254.90754035025643</c:v>
                </c:pt>
                <c:pt idx="109">
                  <c:v>257.32630521810387</c:v>
                </c:pt>
                <c:pt idx="110">
                  <c:v>259.76802124493975</c:v>
                </c:pt>
                <c:pt idx="111">
                  <c:v>262.23290620955936</c:v>
                </c:pt>
                <c:pt idx="112">
                  <c:v>264.72117995721578</c:v>
                </c:pt>
                <c:pt idx="113">
                  <c:v>267.2330644192283</c:v>
                </c:pt>
                <c:pt idx="114">
                  <c:v>269.76878363277643</c:v>
                </c:pt>
                <c:pt idx="115">
                  <c:v>272.32856376088216</c:v>
                </c:pt>
                <c:pt idx="116">
                  <c:v>274.91263311258155</c:v>
                </c:pt>
                <c:pt idx="117">
                  <c:v>277.5212221632878</c:v>
                </c:pt>
                <c:pt idx="118">
                  <c:v>280.15456357534765</c:v>
                </c:pt>
                <c:pt idx="119">
                  <c:v>282.81289221879263</c:v>
                </c:pt>
              </c:numCache>
            </c:numRef>
          </c:val>
          <c:smooth val="0"/>
          <c:extLst>
            <c:ext xmlns:c16="http://schemas.microsoft.com/office/drawing/2014/chart" uri="{C3380CC4-5D6E-409C-BE32-E72D297353CC}">
              <c16:uniqueId val="{00000001-56DB-324C-9E77-FED9187266F9}"/>
            </c:ext>
          </c:extLst>
        </c:ser>
        <c:ser>
          <c:idx val="2"/>
          <c:order val="2"/>
          <c:tx>
            <c:v>VN-Index (Base=100)</c:v>
          </c:tx>
          <c:cat>
            <c:numRef>
              <c:f>'DCA Analysis'!$A$4:$A$123</c:f>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f>'DCA Analysis'!$H$4:$H$123</c:f>
              <c:numCache>
                <c:formatCode>0.00</c:formatCode>
                <c:ptCount val="120"/>
                <c:pt idx="0">
                  <c:v>100</c:v>
                </c:pt>
                <c:pt idx="1">
                  <c:v>101.01207783493624</c:v>
                </c:pt>
                <c:pt idx="2">
                  <c:v>103.2263475732498</c:v>
                </c:pt>
                <c:pt idx="3">
                  <c:v>95.22086781480651</c:v>
                </c:pt>
                <c:pt idx="4">
                  <c:v>103.67143815701183</c:v>
                </c:pt>
                <c:pt idx="5">
                  <c:v>103.13911876537685</c:v>
                </c:pt>
                <c:pt idx="6">
                  <c:v>104.40673227465888</c:v>
                </c:pt>
                <c:pt idx="7">
                  <c:v>105.23928621953996</c:v>
                </c:pt>
                <c:pt idx="8">
                  <c:v>106.07847906649216</c:v>
                </c:pt>
                <c:pt idx="9">
                  <c:v>106.92436375505289</c:v>
                </c:pt>
                <c:pt idx="10">
                  <c:v>107.77699364690687</c:v>
                </c:pt>
                <c:pt idx="11">
                  <c:v>108.63642252925237</c:v>
                </c:pt>
                <c:pt idx="12">
                  <c:v>109.50270461819436</c:v>
                </c:pt>
                <c:pt idx="13">
                  <c:v>110.3758945621646</c:v>
                </c:pt>
                <c:pt idx="14">
                  <c:v>111.25604744536918</c:v>
                </c:pt>
                <c:pt idx="15">
                  <c:v>112.14321879126334</c:v>
                </c:pt>
                <c:pt idx="16">
                  <c:v>113.03746456605415</c:v>
                </c:pt>
                <c:pt idx="17">
                  <c:v>113.9388411822311</c:v>
                </c:pt>
                <c:pt idx="18">
                  <c:v>114.84740550212477</c:v>
                </c:pt>
                <c:pt idx="19">
                  <c:v>115.76321484149398</c:v>
                </c:pt>
                <c:pt idx="20">
                  <c:v>116.68632697314141</c:v>
                </c:pt>
                <c:pt idx="21">
                  <c:v>117.61680013055822</c:v>
                </c:pt>
                <c:pt idx="22">
                  <c:v>118.55469301159759</c:v>
                </c:pt>
                <c:pt idx="23">
                  <c:v>119.50006478217765</c:v>
                </c:pt>
                <c:pt idx="24">
                  <c:v>120.45297508001383</c:v>
                </c:pt>
                <c:pt idx="25">
                  <c:v>121.4134840183811</c:v>
                </c:pt>
                <c:pt idx="26">
                  <c:v>122.38165218990613</c:v>
                </c:pt>
                <c:pt idx="27">
                  <c:v>123.35754067038971</c:v>
                </c:pt>
                <c:pt idx="28">
                  <c:v>124.34121102265961</c:v>
                </c:pt>
                <c:pt idx="29">
                  <c:v>125.33272530045426</c:v>
                </c:pt>
                <c:pt idx="30">
                  <c:v>126.33214605233729</c:v>
                </c:pt>
                <c:pt idx="31">
                  <c:v>127.33953632564341</c:v>
                </c:pt>
                <c:pt idx="32">
                  <c:v>128.35495967045557</c:v>
                </c:pt>
                <c:pt idx="33">
                  <c:v>129.37848014361407</c:v>
                </c:pt>
                <c:pt idx="34">
                  <c:v>130.41016231275739</c:v>
                </c:pt>
                <c:pt idx="35">
                  <c:v>131.45007126039545</c:v>
                </c:pt>
                <c:pt idx="36">
                  <c:v>132.49827258801525</c:v>
                </c:pt>
                <c:pt idx="37">
                  <c:v>133.55483242021927</c:v>
                </c:pt>
                <c:pt idx="38">
                  <c:v>134.61981740889681</c:v>
                </c:pt>
                <c:pt idx="39">
                  <c:v>135.69329473742874</c:v>
                </c:pt>
                <c:pt idx="40">
                  <c:v>136.77533212492563</c:v>
                </c:pt>
                <c:pt idx="41">
                  <c:v>137.86599783049974</c:v>
                </c:pt>
                <c:pt idx="42">
                  <c:v>138.9653606575711</c:v>
                </c:pt>
                <c:pt idx="43">
                  <c:v>140.07348995820783</c:v>
                </c:pt>
                <c:pt idx="44">
                  <c:v>141.19045563750123</c:v>
                </c:pt>
                <c:pt idx="45">
                  <c:v>142.31632815797556</c:v>
                </c:pt>
                <c:pt idx="46">
                  <c:v>143.45117854403321</c:v>
                </c:pt>
                <c:pt idx="47">
                  <c:v>144.59507838643509</c:v>
                </c:pt>
                <c:pt idx="48">
                  <c:v>145.74809984681687</c:v>
                </c:pt>
                <c:pt idx="49">
                  <c:v>146.91031566224129</c:v>
                </c:pt>
                <c:pt idx="50">
                  <c:v>148.08179914978658</c:v>
                </c:pt>
                <c:pt idx="51">
                  <c:v>149.2626242111717</c:v>
                </c:pt>
                <c:pt idx="52">
                  <c:v>150.45286533741827</c:v>
                </c:pt>
                <c:pt idx="53">
                  <c:v>151.6525976135498</c:v>
                </c:pt>
                <c:pt idx="54">
                  <c:v>152.86189672332827</c:v>
                </c:pt>
                <c:pt idx="55">
                  <c:v>154.08083895402868</c:v>
                </c:pt>
                <c:pt idx="56">
                  <c:v>155.30950120125141</c:v>
                </c:pt>
                <c:pt idx="57">
                  <c:v>156.54796097377317</c:v>
                </c:pt>
                <c:pt idx="58">
                  <c:v>157.7962963984366</c:v>
                </c:pt>
                <c:pt idx="59">
                  <c:v>159.05458622507865</c:v>
                </c:pt>
                <c:pt idx="60">
                  <c:v>160.32290983149861</c:v>
                </c:pt>
                <c:pt idx="61">
                  <c:v>161.60134722846544</c:v>
                </c:pt>
                <c:pt idx="62">
                  <c:v>162.88997906476527</c:v>
                </c:pt>
                <c:pt idx="63">
                  <c:v>164.1888866322889</c:v>
                </c:pt>
                <c:pt idx="64">
                  <c:v>165.49815187116013</c:v>
                </c:pt>
                <c:pt idx="65">
                  <c:v>166.8178573749048</c:v>
                </c:pt>
                <c:pt idx="66">
                  <c:v>168.14808639566112</c:v>
                </c:pt>
                <c:pt idx="67">
                  <c:v>169.48892284943156</c:v>
                </c:pt>
                <c:pt idx="68">
                  <c:v>170.84045132137658</c:v>
                </c:pt>
                <c:pt idx="69">
                  <c:v>172.20275707115053</c:v>
                </c:pt>
                <c:pt idx="70">
                  <c:v>173.57592603828027</c:v>
                </c:pt>
                <c:pt idx="71">
                  <c:v>174.96004484758654</c:v>
                </c:pt>
                <c:pt idx="72">
                  <c:v>176.3552008146485</c:v>
                </c:pt>
                <c:pt idx="73">
                  <c:v>177.76148195131202</c:v>
                </c:pt>
                <c:pt idx="74">
                  <c:v>179.17897697124184</c:v>
                </c:pt>
                <c:pt idx="75">
                  <c:v>180.60777529551783</c:v>
                </c:pt>
                <c:pt idx="76">
                  <c:v>182.04796705827619</c:v>
                </c:pt>
                <c:pt idx="77">
                  <c:v>183.49964311239532</c:v>
                </c:pt>
                <c:pt idx="78">
                  <c:v>184.96289503522729</c:v>
                </c:pt>
                <c:pt idx="79">
                  <c:v>186.43781513437477</c:v>
                </c:pt>
                <c:pt idx="80">
                  <c:v>187.92449645351428</c:v>
                </c:pt>
                <c:pt idx="81">
                  <c:v>189.42303277826562</c:v>
                </c:pt>
                <c:pt idx="82">
                  <c:v>190.93351864210834</c:v>
                </c:pt>
                <c:pt idx="83">
                  <c:v>192.45604933234523</c:v>
                </c:pt>
                <c:pt idx="84">
                  <c:v>193.99072089611337</c:v>
                </c:pt>
                <c:pt idx="85">
                  <c:v>195.53763014644326</c:v>
                </c:pt>
                <c:pt idx="86">
                  <c:v>197.09687466836604</c:v>
                </c:pt>
                <c:pt idx="87">
                  <c:v>198.66855282506964</c:v>
                </c:pt>
                <c:pt idx="88">
                  <c:v>200.25276376410383</c:v>
                </c:pt>
                <c:pt idx="89">
                  <c:v>201.84960742363489</c:v>
                </c:pt>
                <c:pt idx="90">
                  <c:v>203.45918453875007</c:v>
                </c:pt>
                <c:pt idx="91">
                  <c:v>205.08159664781229</c:v>
                </c:pt>
                <c:pt idx="92">
                  <c:v>206.71694609886575</c:v>
                </c:pt>
                <c:pt idx="93">
                  <c:v>208.36533605609225</c:v>
                </c:pt>
                <c:pt idx="94">
                  <c:v>210.02687050631926</c:v>
                </c:pt>
                <c:pt idx="95">
                  <c:v>211.70165426557983</c:v>
                </c:pt>
                <c:pt idx="96">
                  <c:v>213.3897929857248</c:v>
                </c:pt>
                <c:pt idx="97">
                  <c:v>215.09139316108767</c:v>
                </c:pt>
                <c:pt idx="98">
                  <c:v>216.80656213520274</c:v>
                </c:pt>
                <c:pt idx="99">
                  <c:v>218.5354081075767</c:v>
                </c:pt>
                <c:pt idx="100">
                  <c:v>220.27804014051432</c:v>
                </c:pt>
                <c:pt idx="101">
                  <c:v>222.03456816599848</c:v>
                </c:pt>
                <c:pt idx="102">
                  <c:v>223.80510299262517</c:v>
                </c:pt>
                <c:pt idx="103">
                  <c:v>225.58975631259364</c:v>
                </c:pt>
                <c:pt idx="104">
                  <c:v>227.38864070875243</c:v>
                </c:pt>
                <c:pt idx="105">
                  <c:v>229.20186966170158</c:v>
                </c:pt>
                <c:pt idx="106">
                  <c:v>231.02955755695129</c:v>
                </c:pt>
                <c:pt idx="107">
                  <c:v>232.87181969213793</c:v>
                </c:pt>
                <c:pt idx="108">
                  <c:v>234.72877228429741</c:v>
                </c:pt>
                <c:pt idx="109">
                  <c:v>236.60053247719657</c:v>
                </c:pt>
                <c:pt idx="110">
                  <c:v>238.48721834872313</c:v>
                </c:pt>
                <c:pt idx="111">
                  <c:v>240.38894891833448</c:v>
                </c:pt>
                <c:pt idx="112">
                  <c:v>242.30584415456585</c:v>
                </c:pt>
                <c:pt idx="113">
                  <c:v>244.23802498259843</c:v>
                </c:pt>
                <c:pt idx="114">
                  <c:v>246.18561329188779</c:v>
                </c:pt>
                <c:pt idx="115">
                  <c:v>248.14873194385311</c:v>
                </c:pt>
                <c:pt idx="116">
                  <c:v>250.1275047796278</c:v>
                </c:pt>
                <c:pt idx="117">
                  <c:v>252.12205662787184</c:v>
                </c:pt>
                <c:pt idx="118">
                  <c:v>254.13251331264652</c:v>
                </c:pt>
                <c:pt idx="119">
                  <c:v>256.15900166135179</c:v>
                </c:pt>
              </c:numCache>
            </c:numRef>
          </c:val>
          <c:smooth val="0"/>
          <c:extLst>
            <c:ext xmlns:c16="http://schemas.microsoft.com/office/drawing/2014/chart" uri="{C3380CC4-5D6E-409C-BE32-E72D297353CC}">
              <c16:uniqueId val="{00000002-56DB-324C-9E77-FED9187266F9}"/>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mmm\-yy" sourceLinked="0"/>
        <c:majorTickMark val="none"/>
        <c:minorTickMark val="none"/>
        <c:tickLblPos val="nextTo"/>
        <c:txPr>
          <a:bodyPr rot="-2700000" anchorCtr="1"/>
          <a:lstStyle/>
          <a:p>
            <a:pPr>
              <a:defRPr sz="675"/>
            </a:pPr>
            <a:endParaRPr lang="en-U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Normalized Growth of 100</a:t>
            </a:r>
          </a:p>
        </c:rich>
      </c:tx>
      <c:overlay val="0"/>
    </c:title>
    <c:autoTitleDeleted val="0"/>
    <c:plotArea>
      <c:layout/>
      <c:lineChart>
        <c:grouping val="standard"/>
        <c:varyColors val="0"/>
        <c:ser>
          <c:idx val="0"/>
          <c:order val="0"/>
          <c:tx>
            <c:v>VESAF</c:v>
          </c:tx>
          <c:cat>
            <c:numRef>
              <c:f>Dashboard!$A$23:$A$53</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Dashboard!$B$23:$B$53</c:f>
              <c:numCache>
                <c:formatCode>0.00</c:formatCode>
                <c:ptCount val="31"/>
                <c:pt idx="0">
                  <c:v>100</c:v>
                </c:pt>
                <c:pt idx="1">
                  <c:v>104.28862647818931</c:v>
                </c:pt>
                <c:pt idx="2">
                  <c:v>108.36871542117072</c:v>
                </c:pt>
                <c:pt idx="3">
                  <c:v>114.05450854512262</c:v>
                </c:pt>
                <c:pt idx="4">
                  <c:v>109.17983236477772</c:v>
                </c:pt>
                <c:pt idx="5">
                  <c:v>116.7061908588789</c:v>
                </c:pt>
                <c:pt idx="6">
                  <c:v>117.90120732664712</c:v>
                </c:pt>
                <c:pt idx="7">
                  <c:v>118.12697137070364</c:v>
                </c:pt>
                <c:pt idx="8">
                  <c:v>120.19926231830873</c:v>
                </c:pt>
                <c:pt idx="9">
                  <c:v>120.49683574194768</c:v>
                </c:pt>
                <c:pt idx="10">
                  <c:v>119.18038206461064</c:v>
                </c:pt>
                <c:pt idx="11">
                  <c:v>118.96522490465418</c:v>
                </c:pt>
                <c:pt idx="12">
                  <c:v>122.23489370663373</c:v>
                </c:pt>
                <c:pt idx="13">
                  <c:v>121.41007297845951</c:v>
                </c:pt>
                <c:pt idx="14">
                  <c:v>122.2275385680242</c:v>
                </c:pt>
                <c:pt idx="15">
                  <c:v>117.46469920579987</c:v>
                </c:pt>
                <c:pt idx="16">
                  <c:v>107.78870467492611</c:v>
                </c:pt>
                <c:pt idx="17">
                  <c:v>114.2226702404898</c:v>
                </c:pt>
                <c:pt idx="18">
                  <c:v>120.58169081474807</c:v>
                </c:pt>
                <c:pt idx="19">
                  <c:v>126.26082560269555</c:v>
                </c:pt>
                <c:pt idx="20">
                  <c:v>143.09658303486955</c:v>
                </c:pt>
                <c:pt idx="21">
                  <c:v>136.32904257773609</c:v>
                </c:pt>
                <c:pt idx="22">
                  <c:v>133.31103564996974</c:v>
                </c:pt>
                <c:pt idx="23">
                  <c:v>130.58963436444634</c:v>
                </c:pt>
                <c:pt idx="24">
                  <c:v>129.79570521843215</c:v>
                </c:pt>
                <c:pt idx="25">
                  <c:v>142.34992033223551</c:v>
                </c:pt>
                <c:pt idx="26">
                  <c:v>146.50658013926761</c:v>
                </c:pt>
                <c:pt idx="27">
                  <c:v>138.15396860052616</c:v>
                </c:pt>
                <c:pt idx="28">
                  <c:v>133.50145631744468</c:v>
                </c:pt>
                <c:pt idx="29">
                  <c:v>131.2814432175557</c:v>
                </c:pt>
                <c:pt idx="30">
                  <c:v>128.99709201046133</c:v>
                </c:pt>
              </c:numCache>
            </c:numRef>
          </c:val>
          <c:smooth val="0"/>
          <c:extLst>
            <c:ext xmlns:c16="http://schemas.microsoft.com/office/drawing/2014/chart" uri="{C3380CC4-5D6E-409C-BE32-E72D297353CC}">
              <c16:uniqueId val="{00000000-77EC-834A-83BA-99C818690CAE}"/>
            </c:ext>
          </c:extLst>
        </c:ser>
        <c:ser>
          <c:idx val="1"/>
          <c:order val="1"/>
          <c:tx>
            <c:v>DCDS</c:v>
          </c:tx>
          <c:cat>
            <c:numRef>
              <c:f>Dashboard!$A$23:$A$53</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Dashboard!$C$23:$C$53</c:f>
              <c:numCache>
                <c:formatCode>0.00</c:formatCode>
                <c:ptCount val="31"/>
                <c:pt idx="0">
                  <c:v>100</c:v>
                </c:pt>
                <c:pt idx="1">
                  <c:v>102.71557642637835</c:v>
                </c:pt>
                <c:pt idx="2">
                  <c:v>109.49488628271558</c:v>
                </c:pt>
                <c:pt idx="3">
                  <c:v>115.36476727584953</c:v>
                </c:pt>
                <c:pt idx="4">
                  <c:v>110.63896781340752</c:v>
                </c:pt>
                <c:pt idx="5">
                  <c:v>120.25626904533782</c:v>
                </c:pt>
                <c:pt idx="6">
                  <c:v>120.603068427545</c:v>
                </c:pt>
                <c:pt idx="7">
                  <c:v>115.98412230635162</c:v>
                </c:pt>
                <c:pt idx="8">
                  <c:v>122.24653196825979</c:v>
                </c:pt>
                <c:pt idx="9">
                  <c:v>122.62102676581402</c:v>
                </c:pt>
                <c:pt idx="10">
                  <c:v>120.42257804275314</c:v>
                </c:pt>
                <c:pt idx="11">
                  <c:v>120.29374734288578</c:v>
                </c:pt>
                <c:pt idx="12">
                  <c:v>123.5145906758667</c:v>
                </c:pt>
                <c:pt idx="13">
                  <c:v>122.33820288302294</c:v>
                </c:pt>
                <c:pt idx="14">
                  <c:v>123.60057386842007</c:v>
                </c:pt>
                <c:pt idx="15">
                  <c:v>121.09545833106453</c:v>
                </c:pt>
                <c:pt idx="16">
                  <c:v>116.19147390723309</c:v>
                </c:pt>
                <c:pt idx="17">
                  <c:v>129.47321530273317</c:v>
                </c:pt>
                <c:pt idx="18">
                  <c:v>134.22322171090019</c:v>
                </c:pt>
                <c:pt idx="19">
                  <c:v>148.04497820389011</c:v>
                </c:pt>
                <c:pt idx="20">
                  <c:v>166.89624335806758</c:v>
                </c:pt>
                <c:pt idx="21">
                  <c:v>162.4990273995021</c:v>
                </c:pt>
                <c:pt idx="22">
                  <c:v>156.95771474298547</c:v>
                </c:pt>
                <c:pt idx="23">
                  <c:v>157.52513707789706</c:v>
                </c:pt>
                <c:pt idx="24">
                  <c:v>163.9802771027926</c:v>
                </c:pt>
                <c:pt idx="25">
                  <c:v>166.63820277685215</c:v>
                </c:pt>
                <c:pt idx="26">
                  <c:v>170.32891263340173</c:v>
                </c:pt>
                <c:pt idx="27">
                  <c:v>154.56080243294971</c:v>
                </c:pt>
                <c:pt idx="28">
                  <c:v>157.21469361605509</c:v>
                </c:pt>
                <c:pt idx="29">
                  <c:v>153.36008635630711</c:v>
                </c:pt>
                <c:pt idx="30">
                  <c:v>152.68553766948085</c:v>
                </c:pt>
              </c:numCache>
            </c:numRef>
          </c:val>
          <c:smooth val="0"/>
          <c:extLst>
            <c:ext xmlns:c16="http://schemas.microsoft.com/office/drawing/2014/chart" uri="{C3380CC4-5D6E-409C-BE32-E72D297353CC}">
              <c16:uniqueId val="{00000001-77EC-834A-83BA-99C818690CAE}"/>
            </c:ext>
          </c:extLst>
        </c:ser>
        <c:ser>
          <c:idx val="2"/>
          <c:order val="2"/>
          <c:tx>
            <c:v>SSISCA</c:v>
          </c:tx>
          <c:cat>
            <c:numRef>
              <c:f>Dashboard!$A$23:$A$53</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Dashboard!$D$23:$D$53</c:f>
              <c:numCache>
                <c:formatCode>0.00</c:formatCode>
                <c:ptCount val="31"/>
                <c:pt idx="0">
                  <c:v>100</c:v>
                </c:pt>
                <c:pt idx="1">
                  <c:v>106.35700147955893</c:v>
                </c:pt>
                <c:pt idx="2">
                  <c:v>112.86915387805347</c:v>
                </c:pt>
                <c:pt idx="3">
                  <c:v>119.06214147513727</c:v>
                </c:pt>
                <c:pt idx="4">
                  <c:v>115.56042055579611</c:v>
                </c:pt>
                <c:pt idx="5">
                  <c:v>124.95682984549009</c:v>
                </c:pt>
                <c:pt idx="6">
                  <c:v>127.02543245375234</c:v>
                </c:pt>
                <c:pt idx="7">
                  <c:v>127.26607336048257</c:v>
                </c:pt>
                <c:pt idx="8">
                  <c:v>130.13312759920305</c:v>
                </c:pt>
                <c:pt idx="9">
                  <c:v>131.19661781462213</c:v>
                </c:pt>
                <c:pt idx="10">
                  <c:v>129.38811538728206</c:v>
                </c:pt>
                <c:pt idx="11">
                  <c:v>129.89274832977287</c:v>
                </c:pt>
                <c:pt idx="12">
                  <c:v>133.48803728854801</c:v>
                </c:pt>
                <c:pt idx="13">
                  <c:v>133.11844189755067</c:v>
                </c:pt>
                <c:pt idx="14">
                  <c:v>135.7267695511743</c:v>
                </c:pt>
                <c:pt idx="15">
                  <c:v>131.99340150729248</c:v>
                </c:pt>
                <c:pt idx="16">
                  <c:v>120.30311989398454</c:v>
                </c:pt>
                <c:pt idx="17">
                  <c:v>128.08741825469605</c:v>
                </c:pt>
                <c:pt idx="18">
                  <c:v>133.93367101987528</c:v>
                </c:pt>
                <c:pt idx="19">
                  <c:v>138.88469905823655</c:v>
                </c:pt>
                <c:pt idx="20">
                  <c:v>154.4893690224053</c:v>
                </c:pt>
                <c:pt idx="21">
                  <c:v>151.41898989687564</c:v>
                </c:pt>
                <c:pt idx="22">
                  <c:v>149.79225998375233</c:v>
                </c:pt>
                <c:pt idx="23">
                  <c:v>149.47469771080443</c:v>
                </c:pt>
                <c:pt idx="24">
                  <c:v>146.32209906373092</c:v>
                </c:pt>
                <c:pt idx="25">
                  <c:v>159.42224597307489</c:v>
                </c:pt>
                <c:pt idx="26">
                  <c:v>160.57416959591427</c:v>
                </c:pt>
                <c:pt idx="27">
                  <c:v>149.86734988886957</c:v>
                </c:pt>
                <c:pt idx="28">
                  <c:v>148.31086959081233</c:v>
                </c:pt>
                <c:pt idx="29">
                  <c:v>144.64840525524681</c:v>
                </c:pt>
                <c:pt idx="30">
                  <c:v>143.29116176118532</c:v>
                </c:pt>
              </c:numCache>
            </c:numRef>
          </c:val>
          <c:smooth val="0"/>
          <c:extLst>
            <c:ext xmlns:c16="http://schemas.microsoft.com/office/drawing/2014/chart" uri="{C3380CC4-5D6E-409C-BE32-E72D297353CC}">
              <c16:uniqueId val="{00000002-77EC-834A-83BA-99C818690CAE}"/>
            </c:ext>
          </c:extLst>
        </c:ser>
        <c:ser>
          <c:idx val="3"/>
          <c:order val="3"/>
          <c:tx>
            <c:v>VCBF-BCF</c:v>
          </c:tx>
          <c:cat>
            <c:numRef>
              <c:f>Dashboard!$A$23:$A$53</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Dashboard!$E$23:$E$53</c:f>
              <c:numCache>
                <c:formatCode>0.00</c:formatCode>
                <c:ptCount val="31"/>
                <c:pt idx="0">
                  <c:v>100</c:v>
                </c:pt>
                <c:pt idx="1">
                  <c:v>104.96611645877562</c:v>
                </c:pt>
                <c:pt idx="2">
                  <c:v>114.33112511261358</c:v>
                </c:pt>
                <c:pt idx="3">
                  <c:v>117.18753108418805</c:v>
                </c:pt>
                <c:pt idx="4">
                  <c:v>111.2677162109547</c:v>
                </c:pt>
                <c:pt idx="5">
                  <c:v>119.13141186868904</c:v>
                </c:pt>
                <c:pt idx="6">
                  <c:v>118.91488829586179</c:v>
                </c:pt>
                <c:pt idx="7">
                  <c:v>118.54127411777745</c:v>
                </c:pt>
                <c:pt idx="8">
                  <c:v>121.65040341947383</c:v>
                </c:pt>
                <c:pt idx="9">
                  <c:v>124.51878124404959</c:v>
                </c:pt>
                <c:pt idx="10">
                  <c:v>122.35290606962289</c:v>
                </c:pt>
                <c:pt idx="11">
                  <c:v>123.68235014934621</c:v>
                </c:pt>
                <c:pt idx="12">
                  <c:v>127.03624522902119</c:v>
                </c:pt>
                <c:pt idx="13">
                  <c:v>125.14941725140464</c:v>
                </c:pt>
                <c:pt idx="14">
                  <c:v>128.68498608849367</c:v>
                </c:pt>
                <c:pt idx="15">
                  <c:v>124.75857355193865</c:v>
                </c:pt>
                <c:pt idx="16">
                  <c:v>119.50840090147697</c:v>
                </c:pt>
                <c:pt idx="17">
                  <c:v>126.83716432629375</c:v>
                </c:pt>
                <c:pt idx="18">
                  <c:v>132.67328280287722</c:v>
                </c:pt>
                <c:pt idx="19">
                  <c:v>141.13908806452437</c:v>
                </c:pt>
                <c:pt idx="20">
                  <c:v>155.84720220992591</c:v>
                </c:pt>
                <c:pt idx="21">
                  <c:v>152.85981635106447</c:v>
                </c:pt>
                <c:pt idx="22">
                  <c:v>150.74715730659597</c:v>
                </c:pt>
                <c:pt idx="23">
                  <c:v>151.2901181412295</c:v>
                </c:pt>
                <c:pt idx="24">
                  <c:v>156.02681552973141</c:v>
                </c:pt>
                <c:pt idx="25">
                  <c:v>167.38185166554408</c:v>
                </c:pt>
                <c:pt idx="26">
                  <c:v>165.83936544205622</c:v>
                </c:pt>
                <c:pt idx="27">
                  <c:v>157.88621837228271</c:v>
                </c:pt>
                <c:pt idx="28">
                  <c:v>157.99112306638588</c:v>
                </c:pt>
                <c:pt idx="29">
                  <c:v>155.19212514955936</c:v>
                </c:pt>
                <c:pt idx="30">
                  <c:v>154.53747438662904</c:v>
                </c:pt>
              </c:numCache>
            </c:numRef>
          </c:val>
          <c:smooth val="0"/>
          <c:extLst>
            <c:ext xmlns:c16="http://schemas.microsoft.com/office/drawing/2014/chart" uri="{C3380CC4-5D6E-409C-BE32-E72D297353CC}">
              <c16:uniqueId val="{00000003-77EC-834A-83BA-99C818690CAE}"/>
            </c:ext>
          </c:extLst>
        </c:ser>
        <c:ser>
          <c:idx val="4"/>
          <c:order val="4"/>
          <c:tx>
            <c:v>MAGEF</c:v>
          </c:tx>
          <c:cat>
            <c:numRef>
              <c:f>Dashboard!$A$23:$A$53</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Dashboard!$F$23:$F$53</c:f>
              <c:numCache>
                <c:formatCode>0.00</c:formatCode>
                <c:ptCount val="31"/>
                <c:pt idx="0">
                  <c:v>100</c:v>
                </c:pt>
                <c:pt idx="1">
                  <c:v>104.53898339503458</c:v>
                </c:pt>
                <c:pt idx="2">
                  <c:v>112.44202232190115</c:v>
                </c:pt>
                <c:pt idx="3">
                  <c:v>117.93860505040395</c:v>
                </c:pt>
                <c:pt idx="4">
                  <c:v>112.26458776349645</c:v>
                </c:pt>
                <c:pt idx="5">
                  <c:v>120.30408711575951</c:v>
                </c:pt>
                <c:pt idx="6">
                  <c:v>120.12794875136909</c:v>
                </c:pt>
                <c:pt idx="7">
                  <c:v>117.50077951667807</c:v>
                </c:pt>
                <c:pt idx="8">
                  <c:v>123.06692465728271</c:v>
                </c:pt>
                <c:pt idx="9">
                  <c:v>123.6298329133905</c:v>
                </c:pt>
                <c:pt idx="10">
                  <c:v>121.61151481153699</c:v>
                </c:pt>
                <c:pt idx="11">
                  <c:v>120.14739166158391</c:v>
                </c:pt>
                <c:pt idx="12">
                  <c:v>123.09457679625487</c:v>
                </c:pt>
                <c:pt idx="13">
                  <c:v>122.69837349254436</c:v>
                </c:pt>
                <c:pt idx="14">
                  <c:v>123.1960399832647</c:v>
                </c:pt>
                <c:pt idx="15">
                  <c:v>119.49144547955939</c:v>
                </c:pt>
                <c:pt idx="16">
                  <c:v>111.77678674944066</c:v>
                </c:pt>
                <c:pt idx="17">
                  <c:v>118.84493270952797</c:v>
                </c:pt>
                <c:pt idx="18">
                  <c:v>124.88951746297384</c:v>
                </c:pt>
                <c:pt idx="19">
                  <c:v>136.59033284101966</c:v>
                </c:pt>
                <c:pt idx="20">
                  <c:v>156.90601369212945</c:v>
                </c:pt>
                <c:pt idx="21">
                  <c:v>155.29830104970114</c:v>
                </c:pt>
                <c:pt idx="22">
                  <c:v>150.61968875501285</c:v>
                </c:pt>
                <c:pt idx="23">
                  <c:v>153.8075339116759</c:v>
                </c:pt>
                <c:pt idx="24">
                  <c:v>160.70270998163005</c:v>
                </c:pt>
                <c:pt idx="25">
                  <c:v>168.35932802421868</c:v>
                </c:pt>
                <c:pt idx="26">
                  <c:v>171.38133235782732</c:v>
                </c:pt>
                <c:pt idx="27">
                  <c:v>157.15193050095738</c:v>
                </c:pt>
                <c:pt idx="28">
                  <c:v>159.63651839407322</c:v>
                </c:pt>
                <c:pt idx="29">
                  <c:v>156.53983888308403</c:v>
                </c:pt>
                <c:pt idx="30">
                  <c:v>156.73671635170354</c:v>
                </c:pt>
              </c:numCache>
            </c:numRef>
          </c:val>
          <c:smooth val="0"/>
          <c:extLst>
            <c:ext xmlns:c16="http://schemas.microsoft.com/office/drawing/2014/chart" uri="{C3380CC4-5D6E-409C-BE32-E72D297353CC}">
              <c16:uniqueId val="{00000004-77EC-834A-83BA-99C818690CAE}"/>
            </c:ext>
          </c:extLst>
        </c:ser>
        <c:ser>
          <c:idx val="5"/>
          <c:order val="5"/>
          <c:tx>
            <c:v>VN-Index</c:v>
          </c:tx>
          <c:cat>
            <c:numRef>
              <c:f>Dashboard!$A$23:$A$53</c:f>
              <c:numCache>
                <c:formatCode>mmm\-yy</c:formatCode>
                <c:ptCount val="31"/>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numCache>
            </c:numRef>
          </c:cat>
          <c:val>
            <c:numRef>
              <c:f>Dashboard!$G$23:$G$53</c:f>
              <c:numCache>
                <c:formatCode>0.00</c:formatCode>
                <c:ptCount val="31"/>
                <c:pt idx="0">
                  <c:v>100</c:v>
                </c:pt>
                <c:pt idx="1">
                  <c:v>103.64931255080762</c:v>
                </c:pt>
                <c:pt idx="2">
                  <c:v>111.18297812179691</c:v>
                </c:pt>
                <c:pt idx="3">
                  <c:v>113.23648959106492</c:v>
                </c:pt>
                <c:pt idx="4">
                  <c:v>107.47888170218781</c:v>
                </c:pt>
                <c:pt idx="5">
                  <c:v>113.10218075142261</c:v>
                </c:pt>
                <c:pt idx="6">
                  <c:v>110.85427490898809</c:v>
                </c:pt>
                <c:pt idx="7">
                  <c:v>108.41550913653553</c:v>
                </c:pt>
                <c:pt idx="8">
                  <c:v>112.73106422083201</c:v>
                </c:pt>
                <c:pt idx="9">
                  <c:v>114.18018591170961</c:v>
                </c:pt>
                <c:pt idx="10">
                  <c:v>110.88343406496307</c:v>
                </c:pt>
                <c:pt idx="11">
                  <c:v>110.55826529530272</c:v>
                </c:pt>
                <c:pt idx="12">
                  <c:v>112.19294525147562</c:v>
                </c:pt>
                <c:pt idx="13">
                  <c:v>110.71908245855865</c:v>
                </c:pt>
                <c:pt idx="14">
                  <c:v>115.69734563319547</c:v>
                </c:pt>
                <c:pt idx="15">
                  <c:v>116.40069981974339</c:v>
                </c:pt>
                <c:pt idx="16">
                  <c:v>109.57215565687626</c:v>
                </c:pt>
                <c:pt idx="17">
                  <c:v>118.07690948291096</c:v>
                </c:pt>
                <c:pt idx="18">
                  <c:v>121.74742869260947</c:v>
                </c:pt>
                <c:pt idx="19">
                  <c:v>132.11836850104265</c:v>
                </c:pt>
                <c:pt idx="20">
                  <c:v>148.56148163856784</c:v>
                </c:pt>
                <c:pt idx="21">
                  <c:v>147.12561410949704</c:v>
                </c:pt>
                <c:pt idx="22">
                  <c:v>142.87986427738309</c:v>
                </c:pt>
                <c:pt idx="23">
                  <c:v>150.36139681193228</c:v>
                </c:pt>
                <c:pt idx="24">
                  <c:v>158.02495316862829</c:v>
                </c:pt>
                <c:pt idx="25">
                  <c:v>159.62428869331637</c:v>
                </c:pt>
                <c:pt idx="26">
                  <c:v>163.12338741031351</c:v>
                </c:pt>
                <c:pt idx="27">
                  <c:v>150.47273177110947</c:v>
                </c:pt>
                <c:pt idx="28">
                  <c:v>163.82674159686141</c:v>
                </c:pt>
                <c:pt idx="29">
                  <c:v>162.9855441275227</c:v>
                </c:pt>
                <c:pt idx="30">
                  <c:v>164.98868978192485</c:v>
                </c:pt>
              </c:numCache>
            </c:numRef>
          </c:val>
          <c:smooth val="0"/>
          <c:extLst>
            <c:ext xmlns:c16="http://schemas.microsoft.com/office/drawing/2014/chart" uri="{C3380CC4-5D6E-409C-BE32-E72D297353CC}">
              <c16:uniqueId val="{00000005-77EC-834A-83BA-99C818690CAE}"/>
            </c:ext>
          </c:extLst>
        </c:ser>
        <c:dLbls>
          <c:showLegendKey val="0"/>
          <c:showVal val="0"/>
          <c:showCatName val="0"/>
          <c:showSerName val="0"/>
          <c:showPercent val="0"/>
          <c:showBubbleSize val="0"/>
        </c:dLbls>
        <c:marker val="1"/>
        <c:smooth val="0"/>
        <c:axId val="48650112"/>
        <c:axId val="48672768"/>
      </c:lineChart>
      <c:dateAx>
        <c:axId val="48650112"/>
        <c:scaling>
          <c:orientation val="minMax"/>
        </c:scaling>
        <c:delete val="0"/>
        <c:axPos val="b"/>
        <c:majorGridlines>
          <c:spPr>
            <a:ln w="9525">
              <a:solidFill>
                <a:srgbClr val="CCCCCC"/>
              </a:solidFill>
              <a:prstDash val="dash"/>
            </a:ln>
          </c:spPr>
        </c:majorGridlines>
        <c:numFmt formatCode="mmm\-yy" sourceLinked="0"/>
        <c:majorTickMark val="none"/>
        <c:minorTickMark val="none"/>
        <c:tickLblPos val="nextTo"/>
        <c:txPr>
          <a:bodyPr rot="-2700000" anchorCtr="1"/>
          <a:lstStyle/>
          <a:p>
            <a:pPr>
              <a:defRPr sz="675"/>
            </a:pPr>
            <a:endParaRPr lang="en-US"/>
          </a:p>
        </c:txPr>
        <c:crossAx val="48672768"/>
        <c:crosses val="autoZero"/>
        <c:auto val="1"/>
        <c:lblOffset val="100"/>
        <c:baseTimeUnit val="months"/>
      </c:date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Maximum Sharpe Allocation</a:t>
            </a:r>
          </a:p>
        </c:rich>
      </c:tx>
      <c:layout>
        <c:manualLayout>
          <c:xMode val="edge"/>
          <c:yMode val="edge"/>
          <c:x val="0.23832166812481773"/>
          <c:y val="3.3472803347280332E-2"/>
        </c:manualLayout>
      </c:layout>
      <c:overlay val="0"/>
    </c:title>
    <c:autoTitleDeleted val="0"/>
    <c:plotArea>
      <c:layout/>
      <c:barChart>
        <c:barDir val="col"/>
        <c:grouping val="clustered"/>
        <c:varyColors val="0"/>
        <c:ser>
          <c:idx val="0"/>
          <c:order val="0"/>
          <c:tx>
            <c:v>Maximum Sharpe Weight</c:v>
          </c:tx>
          <c:invertIfNegative val="1"/>
          <c:cat>
            <c:strRef>
              <c:f>Dashboard!$J$32:$J$36</c:f>
              <c:strCache>
                <c:ptCount val="5"/>
                <c:pt idx="0">
                  <c:v>VESAF</c:v>
                </c:pt>
                <c:pt idx="1">
                  <c:v>DCDS</c:v>
                </c:pt>
                <c:pt idx="2">
                  <c:v>SSISCA</c:v>
                </c:pt>
                <c:pt idx="3">
                  <c:v>VCBF-BCF</c:v>
                </c:pt>
                <c:pt idx="4">
                  <c:v>MAGEF</c:v>
                </c:pt>
              </c:strCache>
            </c:strRef>
          </c:cat>
          <c:val>
            <c:numRef>
              <c:f>Dashboard!$K$32:$K$36</c:f>
              <c:numCache>
                <c:formatCode>0.0%;[Red]\(0.0%\);\-</c:formatCode>
                <c:ptCount val="5"/>
                <c:pt idx="0">
                  <c:v>0</c:v>
                </c:pt>
                <c:pt idx="1">
                  <c:v>0.20000000000000009</c:v>
                </c:pt>
                <c:pt idx="2">
                  <c:v>9.0205620750793969E-17</c:v>
                </c:pt>
                <c:pt idx="3">
                  <c:v>0.39999999999999997</c:v>
                </c:pt>
                <c:pt idx="4">
                  <c:v>0.4</c:v>
                </c:pt>
              </c:numCache>
            </c:numRef>
          </c:val>
          <c:extLst>
            <c:ext xmlns:c16="http://schemas.microsoft.com/office/drawing/2014/chart" uri="{C3380CC4-5D6E-409C-BE32-E72D297353CC}">
              <c16:uniqueId val="{00000000-E118-0A4E-8E18-78B2A138FC5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Annualized Return and Volatility</a:t>
            </a:r>
          </a:p>
        </c:rich>
      </c:tx>
      <c:overlay val="0"/>
    </c:title>
    <c:autoTitleDeleted val="0"/>
    <c:plotArea>
      <c:layout/>
      <c:barChart>
        <c:barDir val="col"/>
        <c:grouping val="clustered"/>
        <c:varyColors val="0"/>
        <c:ser>
          <c:idx val="0"/>
          <c:order val="0"/>
          <c:tx>
            <c:v>CAGR</c:v>
          </c:tx>
          <c:invertIfNegative val="1"/>
          <c:cat>
            <c:strRef>
              <c:f>Dashboard!$A$11:$A$18</c:f>
              <c:strCache>
                <c:ptCount val="8"/>
                <c:pt idx="0">
                  <c:v>VESAF</c:v>
                </c:pt>
                <c:pt idx="1">
                  <c:v>DCDS</c:v>
                </c:pt>
                <c:pt idx="2">
                  <c:v>SSISCA</c:v>
                </c:pt>
                <c:pt idx="3">
                  <c:v>VCBF-BCF</c:v>
                </c:pt>
                <c:pt idx="4">
                  <c:v>MAGEF</c:v>
                </c:pt>
                <c:pt idx="5">
                  <c:v>VN-Index</c:v>
                </c:pt>
                <c:pt idx="6">
                  <c:v>Minimum Variance Portfolio</c:v>
                </c:pt>
                <c:pt idx="7">
                  <c:v>Maximum Sharpe Portfolio</c:v>
                </c:pt>
              </c:strCache>
            </c:strRef>
          </c:cat>
          <c:val>
            <c:numRef>
              <c:f>Dashboard!$B$11:$B$18</c:f>
              <c:numCache>
                <c:formatCode>0.0%;[Red]\(0.0%\);\-</c:formatCode>
                <c:ptCount val="8"/>
                <c:pt idx="0">
                  <c:v>0.10721501854431437</c:v>
                </c:pt>
                <c:pt idx="1">
                  <c:v>0.18445662415120223</c:v>
                </c:pt>
                <c:pt idx="2">
                  <c:v>0.15474944324799322</c:v>
                </c:pt>
                <c:pt idx="3">
                  <c:v>0.19018240089565697</c:v>
                </c:pt>
                <c:pt idx="4">
                  <c:v>0.19692874678238659</c:v>
                </c:pt>
                <c:pt idx="5">
                  <c:v>0.22174809205145851</c:v>
                </c:pt>
                <c:pt idx="6">
                  <c:v>0.16979195762745389</c:v>
                </c:pt>
                <c:pt idx="7">
                  <c:v>0.1917357839014579</c:v>
                </c:pt>
              </c:numCache>
            </c:numRef>
          </c:val>
          <c:extLst>
            <c:ext xmlns:c16="http://schemas.microsoft.com/office/drawing/2014/chart" uri="{C3380CC4-5D6E-409C-BE32-E72D297353CC}">
              <c16:uniqueId val="{00000000-1DA0-5A4C-B207-3A2E3805E4D0}"/>
            </c:ext>
          </c:extLst>
        </c:ser>
        <c:ser>
          <c:idx val="1"/>
          <c:order val="1"/>
          <c:tx>
            <c:v>Volatility</c:v>
          </c:tx>
          <c:invertIfNegative val="1"/>
          <c:cat>
            <c:strRef>
              <c:f>Dashboard!$A$11:$A$18</c:f>
              <c:strCache>
                <c:ptCount val="8"/>
                <c:pt idx="0">
                  <c:v>VESAF</c:v>
                </c:pt>
                <c:pt idx="1">
                  <c:v>DCDS</c:v>
                </c:pt>
                <c:pt idx="2">
                  <c:v>SSISCA</c:v>
                </c:pt>
                <c:pt idx="3">
                  <c:v>VCBF-BCF</c:v>
                </c:pt>
                <c:pt idx="4">
                  <c:v>MAGEF</c:v>
                </c:pt>
                <c:pt idx="5">
                  <c:v>VN-Index</c:v>
                </c:pt>
                <c:pt idx="6">
                  <c:v>Minimum Variance Portfolio</c:v>
                </c:pt>
                <c:pt idx="7">
                  <c:v>Maximum Sharpe Portfolio</c:v>
                </c:pt>
              </c:strCache>
            </c:strRef>
          </c:cat>
          <c:val>
            <c:numRef>
              <c:f>Dashboard!$C$11:$C$18</c:f>
              <c:numCache>
                <c:formatCode>0.0%;[Red]\(0.0%\);\-</c:formatCode>
                <c:ptCount val="8"/>
                <c:pt idx="0">
                  <c:v>0.16356869807236191</c:v>
                </c:pt>
                <c:pt idx="1">
                  <c:v>0.17356648770823721</c:v>
                </c:pt>
                <c:pt idx="2">
                  <c:v>0.15564429417714104</c:v>
                </c:pt>
                <c:pt idx="3">
                  <c:v>0.14092401775090785</c:v>
                </c:pt>
                <c:pt idx="4">
                  <c:v>0.16975178281525288</c:v>
                </c:pt>
                <c:pt idx="5">
                  <c:v>0.16111178311759972</c:v>
                </c:pt>
                <c:pt idx="6">
                  <c:v>0.14675964173142048</c:v>
                </c:pt>
                <c:pt idx="7">
                  <c:v>0.15494997261898499</c:v>
                </c:pt>
              </c:numCache>
            </c:numRef>
          </c:val>
          <c:extLst>
            <c:ext xmlns:c16="http://schemas.microsoft.com/office/drawing/2014/chart" uri="{C3380CC4-5D6E-409C-BE32-E72D297353CC}">
              <c16:uniqueId val="{00000001-1DA0-5A4C-B207-3A2E3805E4D0}"/>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9</xdr:col>
      <xdr:colOff>0</xdr:colOff>
      <xdr:row>7</xdr:row>
      <xdr:rowOff>0</xdr:rowOff>
    </xdr:from>
    <xdr:to>
      <xdr:col>17</xdr:col>
      <xdr:colOff>0</xdr:colOff>
      <xdr:row>26</xdr:row>
      <xdr:rowOff>0</xdr:rowOff>
    </xdr:to>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14</xdr:row>
      <xdr:rowOff>0</xdr:rowOff>
    </xdr:from>
    <xdr:to>
      <xdr:col>13</xdr:col>
      <xdr:colOff>0</xdr:colOff>
      <xdr:row>34</xdr:row>
      <xdr:rowOff>0</xdr:rowOff>
    </xdr:to>
    <xdr:graphicFrame macro="">
      <xdr:nvGraphicFramePr>
        <xdr:cNvPr id="2" name="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35</xdr:row>
      <xdr:rowOff>0</xdr:rowOff>
    </xdr:from>
    <xdr:to>
      <xdr:col>13</xdr:col>
      <xdr:colOff>0</xdr:colOff>
      <xdr:row>55</xdr:row>
      <xdr:rowOff>0</xdr:rowOff>
    </xdr:to>
    <xdr:graphicFrame macro="">
      <xdr:nvGraphicFramePr>
        <xdr:cNvPr id="3" name="Chart">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0</xdr:colOff>
      <xdr:row>2</xdr:row>
      <xdr:rowOff>0</xdr:rowOff>
    </xdr:from>
    <xdr:to>
      <xdr:col>23</xdr:col>
      <xdr:colOff>0</xdr:colOff>
      <xdr:row>22</xdr:row>
      <xdr:rowOff>0</xdr:rowOff>
    </xdr:to>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23</xdr:row>
      <xdr:rowOff>0</xdr:rowOff>
    </xdr:from>
    <xdr:to>
      <xdr:col>23</xdr:col>
      <xdr:colOff>0</xdr:colOff>
      <xdr:row>42</xdr:row>
      <xdr:rowOff>0</xdr:rowOff>
    </xdr:to>
    <xdr:graphicFrame macro="">
      <xdr:nvGraphicFramePr>
        <xdr:cNvPr id="3" name="Chart">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228600</xdr:colOff>
      <xdr:row>9</xdr:row>
      <xdr:rowOff>63500</xdr:rowOff>
    </xdr:from>
    <xdr:to>
      <xdr:col>17</xdr:col>
      <xdr:colOff>228600</xdr:colOff>
      <xdr:row>28</xdr:row>
      <xdr:rowOff>63500</xdr:rowOff>
    </xdr:to>
    <xdr:graphicFrame macro="">
      <xdr:nvGraphicFramePr>
        <xdr:cNvPr id="2" name="Chart">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254000</xdr:colOff>
      <xdr:row>28</xdr:row>
      <xdr:rowOff>50800</xdr:rowOff>
    </xdr:from>
    <xdr:to>
      <xdr:col>22</xdr:col>
      <xdr:colOff>304800</xdr:colOff>
      <xdr:row>44</xdr:row>
      <xdr:rowOff>50800</xdr:rowOff>
    </xdr:to>
    <xdr:graphicFrame macro="">
      <xdr:nvGraphicFramePr>
        <xdr:cNvPr id="3" name="Chart">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228600</xdr:colOff>
      <xdr:row>28</xdr:row>
      <xdr:rowOff>50800</xdr:rowOff>
    </xdr:from>
    <xdr:to>
      <xdr:col>15</xdr:col>
      <xdr:colOff>228600</xdr:colOff>
      <xdr:row>44</xdr:row>
      <xdr:rowOff>50800</xdr:rowOff>
    </xdr:to>
    <xdr:graphicFrame macro="">
      <xdr:nvGraphicFramePr>
        <xdr:cNvPr id="4" name="Chart">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AVDataTable" displayName="NAVDataTable" ref="A3:G34">
  <tableColumns count="7">
    <tableColumn id="1" xr3:uid="{00000000-0010-0000-0000-000001000000}" name="Date"/>
    <tableColumn id="2" xr3:uid="{00000000-0010-0000-0000-000002000000}" name="VESAF" dataDxfId="5"/>
    <tableColumn id="3" xr3:uid="{00000000-0010-0000-0000-000003000000}" name="DCDS" dataDxfId="4"/>
    <tableColumn id="4" xr3:uid="{00000000-0010-0000-0000-000004000000}" name="SSISCA" dataDxfId="3"/>
    <tableColumn id="5" xr3:uid="{00000000-0010-0000-0000-000005000000}" name="VCBF-BCF" dataDxfId="2"/>
    <tableColumn id="6" xr3:uid="{00000000-0010-0000-0000-000006000000}" name="MAGEF" dataDxfId="1"/>
    <tableColumn id="7" xr3:uid="{00000000-0010-0000-0000-000007000000}" name="VN-Index"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200"/>
  <sheetViews>
    <sheetView tabSelected="1" workbookViewId="0">
      <selection activeCell="F21" sqref="F21"/>
    </sheetView>
  </sheetViews>
  <sheetFormatPr baseColWidth="10" defaultColWidth="8.83203125" defaultRowHeight="14"/>
  <cols>
    <col min="1" max="1" width="28" customWidth="1"/>
    <col min="2" max="2" width="58" customWidth="1"/>
    <col min="4" max="4" width="22" customWidth="1"/>
    <col min="5" max="5" width="15" customWidth="1"/>
    <col min="7" max="7" width="30" customWidth="1"/>
    <col min="8" max="8" width="18" customWidth="1"/>
    <col min="9" max="9" width="48" customWidth="1"/>
  </cols>
  <sheetData>
    <row r="1" spans="1:52" ht="40" customHeight="1">
      <c r="A1" s="34" t="s">
        <v>0</v>
      </c>
      <c r="B1" s="34"/>
      <c r="C1" s="34"/>
      <c r="D1" s="34"/>
      <c r="E1" s="34"/>
      <c r="F1" s="34"/>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row>
    <row r="2" spans="1:52" ht="32" customHeight="1">
      <c r="A2" s="35" t="s">
        <v>1</v>
      </c>
      <c r="B2" s="35"/>
      <c r="C2" s="35"/>
      <c r="D2" s="35"/>
      <c r="E2" s="35"/>
      <c r="F2" s="3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row>
    <row r="3" spans="1:52">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row>
    <row r="4" spans="1:52" ht="29.25" customHeight="1">
      <c r="A4" s="1" t="s">
        <v>2</v>
      </c>
      <c r="B4" s="1" t="s">
        <v>3</v>
      </c>
      <c r="C4" s="5"/>
      <c r="D4" s="1" t="s">
        <v>4</v>
      </c>
      <c r="E4" s="1" t="s">
        <v>5</v>
      </c>
      <c r="F4" s="5"/>
      <c r="G4" s="38" t="s">
        <v>6</v>
      </c>
      <c r="H4" s="38"/>
      <c r="I4" s="38"/>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row>
    <row r="5" spans="1:52">
      <c r="A5" s="5" t="s">
        <v>7</v>
      </c>
      <c r="B5" s="6">
        <v>4.4999999999999998E-2</v>
      </c>
      <c r="C5" s="5"/>
      <c r="D5" s="5" t="s">
        <v>8</v>
      </c>
      <c r="E5" s="6">
        <v>0.2</v>
      </c>
      <c r="F5" s="5"/>
      <c r="G5" s="29" t="s">
        <v>2</v>
      </c>
      <c r="H5" s="29" t="s">
        <v>3</v>
      </c>
      <c r="I5" s="29" t="s">
        <v>9</v>
      </c>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row>
    <row r="6" spans="1:52" ht="15">
      <c r="A6" s="5" t="s">
        <v>10</v>
      </c>
      <c r="B6" s="7">
        <v>10000000</v>
      </c>
      <c r="C6" s="5"/>
      <c r="D6" s="5" t="s">
        <v>11</v>
      </c>
      <c r="E6" s="6">
        <v>0.25</v>
      </c>
      <c r="F6" s="5"/>
      <c r="G6" s="11" t="s">
        <v>12</v>
      </c>
      <c r="H6" s="30">
        <v>46023</v>
      </c>
      <c r="I6" s="12" t="s">
        <v>13</v>
      </c>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row>
    <row r="7" spans="1:52" ht="15">
      <c r="A7" s="5" t="s">
        <v>14</v>
      </c>
      <c r="B7" s="7">
        <v>10000000</v>
      </c>
      <c r="C7" s="5"/>
      <c r="D7" s="5" t="s">
        <v>15</v>
      </c>
      <c r="E7" s="6">
        <v>0.1</v>
      </c>
      <c r="F7" s="5"/>
      <c r="G7" s="11" t="s">
        <v>16</v>
      </c>
      <c r="H7" s="31">
        <v>120</v>
      </c>
      <c r="I7" s="12" t="s">
        <v>17</v>
      </c>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row>
    <row r="8" spans="1:52" ht="15">
      <c r="A8" s="5" t="s">
        <v>18</v>
      </c>
      <c r="B8" s="8">
        <v>120</v>
      </c>
      <c r="C8" s="5"/>
      <c r="D8" s="5" t="s">
        <v>19</v>
      </c>
      <c r="E8" s="6">
        <v>0.3</v>
      </c>
      <c r="F8" s="5"/>
      <c r="G8" s="11" t="s">
        <v>20</v>
      </c>
      <c r="H8" s="32">
        <v>0.12</v>
      </c>
      <c r="I8" s="12" t="s">
        <v>21</v>
      </c>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row>
    <row r="9" spans="1:52" ht="15">
      <c r="A9" s="5" t="s">
        <v>22</v>
      </c>
      <c r="B9" s="8">
        <v>5000</v>
      </c>
      <c r="C9" s="5"/>
      <c r="D9" s="5" t="s">
        <v>23</v>
      </c>
      <c r="E9" s="6">
        <v>0.15</v>
      </c>
      <c r="F9" s="5"/>
      <c r="G9" s="11" t="s">
        <v>24</v>
      </c>
      <c r="H9" s="32">
        <v>0.1</v>
      </c>
      <c r="I9" s="12" t="s">
        <v>21</v>
      </c>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row>
    <row r="10" spans="1:52" ht="15">
      <c r="A10" s="5" t="s">
        <v>25</v>
      </c>
      <c r="B10" s="6">
        <v>0</v>
      </c>
      <c r="C10" s="5"/>
      <c r="D10" s="9" t="s">
        <v>26</v>
      </c>
      <c r="E10" s="10">
        <f>SUM(E5:E9)</f>
        <v>1</v>
      </c>
      <c r="F10" s="5"/>
      <c r="G10" s="11" t="s">
        <v>27</v>
      </c>
      <c r="H10" s="33">
        <f>'NAV Data'!A34</f>
        <v>46204</v>
      </c>
      <c r="I10" s="12" t="s">
        <v>28</v>
      </c>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row>
    <row r="11" spans="1:52" ht="30">
      <c r="A11" s="5" t="s">
        <v>29</v>
      </c>
      <c r="B11" s="6">
        <v>0.4</v>
      </c>
      <c r="C11" s="5"/>
      <c r="D11" s="5"/>
      <c r="E11" s="5"/>
      <c r="F11" s="5"/>
      <c r="G11" s="11" t="s">
        <v>30</v>
      </c>
      <c r="H11" s="5" t="s">
        <v>31</v>
      </c>
      <c r="I11" s="12" t="s">
        <v>32</v>
      </c>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row>
    <row r="12" spans="1:52">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row>
    <row r="13" spans="1:52">
      <c r="A13" s="5"/>
      <c r="B13" s="5"/>
      <c r="C13" s="5"/>
      <c r="D13" s="37" t="s">
        <v>33</v>
      </c>
      <c r="E13" s="37"/>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row>
    <row r="14" spans="1:52">
      <c r="A14" s="36" t="s">
        <v>34</v>
      </c>
      <c r="B14" s="36"/>
      <c r="C14" s="36"/>
      <c r="D14" s="36"/>
      <c r="E14" s="36"/>
      <c r="F14" s="36"/>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row>
    <row r="15" spans="1:52" ht="15">
      <c r="A15" s="11" t="s">
        <v>35</v>
      </c>
      <c r="B15" s="12" t="s">
        <v>36</v>
      </c>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row>
    <row r="16" spans="1:52" ht="15">
      <c r="A16" s="11" t="s">
        <v>37</v>
      </c>
      <c r="B16" s="12" t="s">
        <v>38</v>
      </c>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row>
    <row r="17" spans="1:52" ht="15">
      <c r="A17" s="11" t="s">
        <v>39</v>
      </c>
      <c r="B17" s="12" t="s">
        <v>40</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row>
    <row r="18" spans="1:52" ht="15">
      <c r="A18" s="11" t="s">
        <v>41</v>
      </c>
      <c r="B18" s="12" t="s">
        <v>42</v>
      </c>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row>
    <row r="19" spans="1:52" ht="30">
      <c r="A19" s="11" t="s">
        <v>43</v>
      </c>
      <c r="B19" s="12" t="s">
        <v>44</v>
      </c>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row>
    <row r="20" spans="1:52" ht="30">
      <c r="A20" s="11" t="s">
        <v>45</v>
      </c>
      <c r="B20" s="12" t="s">
        <v>46</v>
      </c>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row>
    <row r="21" spans="1:52">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row>
    <row r="22" spans="1:5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row>
    <row r="23" spans="1:52">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row>
    <row r="24" spans="1:52">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row>
    <row r="25" spans="1:52">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row>
    <row r="26" spans="1:52">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row>
    <row r="27" spans="1:52">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row>
    <row r="28" spans="1:52">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row>
    <row r="29" spans="1:52">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row>
    <row r="30" spans="1:52">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row>
    <row r="31" spans="1:52">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row>
    <row r="32" spans="1:5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row>
    <row r="33" spans="1:52">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row>
    <row r="34" spans="1:52">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row>
    <row r="35" spans="1:52">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row>
    <row r="36" spans="1:52">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row>
    <row r="37" spans="1:52">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row>
    <row r="38" spans="1:52">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row>
    <row r="39" spans="1:52">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row>
    <row r="40" spans="1:52">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row>
    <row r="41" spans="1:52">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row>
    <row r="42" spans="1:5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row>
    <row r="43" spans="1:5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row>
    <row r="44" spans="1:52">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row>
    <row r="45" spans="1:52">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spans="1:52">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row>
    <row r="47" spans="1:52">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row>
    <row r="48" spans="1:52">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row>
    <row r="49" spans="1:5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row>
    <row r="50" spans="1:52">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row>
    <row r="51" spans="1:52">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row>
    <row r="52" spans="1: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row>
    <row r="53" spans="1:52">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row>
    <row r="54" spans="1:52">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row>
    <row r="55" spans="1:52">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row>
    <row r="56" spans="1:52">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row>
    <row r="57" spans="1:52">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row>
    <row r="58" spans="1:52">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row>
    <row r="59" spans="1:52">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row>
    <row r="60" spans="1:52">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row>
    <row r="61" spans="1:52">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row>
    <row r="62" spans="1:5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row>
    <row r="63" spans="1:5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row>
    <row r="64" spans="1:5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row>
    <row r="65" spans="1:5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row>
    <row r="66" spans="1:5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row>
    <row r="67" spans="1:5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row>
    <row r="68" spans="1:5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row>
    <row r="69" spans="1:5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row>
    <row r="70" spans="1:5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row>
    <row r="71" spans="1:5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row>
    <row r="72" spans="1:5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row>
    <row r="73" spans="1:5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row>
    <row r="74" spans="1:5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row>
    <row r="75" spans="1:5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row>
    <row r="76" spans="1:5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row>
    <row r="77" spans="1:5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row>
    <row r="78" spans="1:5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row>
    <row r="79" spans="1:5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row>
    <row r="80" spans="1:5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row>
    <row r="81" spans="1:5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row>
    <row r="82" spans="1:5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row>
    <row r="83" spans="1:5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row>
    <row r="84" spans="1:5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row>
    <row r="85" spans="1:5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row>
    <row r="86" spans="1:5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row>
    <row r="87" spans="1:5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row>
    <row r="88" spans="1:5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row>
    <row r="89" spans="1:5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row>
    <row r="90" spans="1:5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row>
    <row r="91" spans="1:5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row>
    <row r="92" spans="1:5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row>
    <row r="93" spans="1:5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row>
    <row r="94" spans="1:5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row>
    <row r="95" spans="1:5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row>
    <row r="96" spans="1:5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row>
    <row r="97" spans="1:5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row>
    <row r="98" spans="1:5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row>
    <row r="99" spans="1:5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row>
    <row r="100" spans="1:5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row>
    <row r="101" spans="1:5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row>
    <row r="102" spans="1:5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row>
    <row r="103" spans="1:5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row>
    <row r="104" spans="1:5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row>
    <row r="105" spans="1:5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row>
    <row r="106" spans="1:5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row>
    <row r="107" spans="1:5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row>
    <row r="108" spans="1:5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row>
    <row r="109" spans="1:5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row>
    <row r="110" spans="1:5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row>
    <row r="111" spans="1:5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row>
    <row r="112" spans="1:5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row>
    <row r="113" spans="1:5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row>
    <row r="114" spans="1:5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row>
    <row r="115" spans="1:5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row>
    <row r="116" spans="1:5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row>
    <row r="117" spans="1:5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row>
    <row r="118" spans="1:5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row>
    <row r="119" spans="1:5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row>
    <row r="120" spans="1:5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row>
    <row r="121" spans="1:5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row>
    <row r="122" spans="1:5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row>
    <row r="123" spans="1:5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row>
    <row r="124" spans="1:5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row>
    <row r="125" spans="1:5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row>
    <row r="126" spans="1:5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row>
    <row r="127" spans="1:5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row>
    <row r="128" spans="1:5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row>
    <row r="129" spans="1:5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row>
    <row r="130" spans="1:5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row>
    <row r="131" spans="1:5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row>
    <row r="132" spans="1:5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row>
    <row r="133" spans="1:5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row>
    <row r="134" spans="1:5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row>
    <row r="135" spans="1:5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row>
    <row r="136" spans="1:5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row>
    <row r="137" spans="1:5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row>
    <row r="138" spans="1:5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row>
    <row r="139" spans="1:5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row>
    <row r="140" spans="1:5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row>
    <row r="141" spans="1:5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row>
    <row r="142" spans="1:5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row>
    <row r="143" spans="1:5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row>
    <row r="144" spans="1:5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row>
    <row r="145" spans="1:5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row>
    <row r="146" spans="1:5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row>
    <row r="147" spans="1:5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row>
    <row r="148" spans="1:5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row>
    <row r="149" spans="1:5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row>
    <row r="150" spans="1:5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row>
    <row r="151" spans="1:5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row>
    <row r="152" spans="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row>
    <row r="153" spans="1:5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row>
    <row r="154" spans="1:5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row>
    <row r="155" spans="1:5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row>
    <row r="156" spans="1:5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row>
    <row r="157" spans="1:5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row>
    <row r="158" spans="1:5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row>
    <row r="159" spans="1:5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row>
    <row r="160" spans="1:5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row>
    <row r="161" spans="1:5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row>
    <row r="162" spans="1:5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row>
    <row r="163" spans="1:5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row>
    <row r="164" spans="1:5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row>
    <row r="165" spans="1:5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row>
    <row r="166" spans="1:5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row>
    <row r="167" spans="1:5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row>
    <row r="168" spans="1:5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row>
    <row r="169" spans="1:5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row>
    <row r="170" spans="1:5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row>
    <row r="171" spans="1:5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row>
    <row r="172" spans="1:5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row>
    <row r="173" spans="1:5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row>
    <row r="174" spans="1:5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row>
    <row r="175" spans="1:5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row>
    <row r="176" spans="1:5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row>
    <row r="177" spans="1:5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row>
    <row r="178" spans="1:5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row>
    <row r="179" spans="1:5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row>
    <row r="180" spans="1:5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row>
    <row r="181" spans="1:5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row>
    <row r="182" spans="1:5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row>
    <row r="183" spans="1:5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row>
    <row r="184" spans="1:5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row>
    <row r="185" spans="1:5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row>
    <row r="186" spans="1:5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row>
    <row r="187" spans="1:5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row>
    <row r="188" spans="1:5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row>
    <row r="189" spans="1:5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row>
    <row r="190" spans="1:5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row>
    <row r="191" spans="1:5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row>
    <row r="192" spans="1:5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row>
    <row r="193" spans="1:5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row>
    <row r="194" spans="1:5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row>
    <row r="195" spans="1:5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row>
    <row r="196" spans="1:5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row>
    <row r="197" spans="1:5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row>
    <row r="198" spans="1:5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row>
    <row r="199" spans="1:5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row>
    <row r="200" spans="1:5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row>
  </sheetData>
  <mergeCells count="5">
    <mergeCell ref="A1:F1"/>
    <mergeCell ref="A2:F2"/>
    <mergeCell ref="A14:F14"/>
    <mergeCell ref="D13:E13"/>
    <mergeCell ref="G4:I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199"/>
  <sheetViews>
    <sheetView workbookViewId="0">
      <selection activeCell="O36" sqref="O36"/>
    </sheetView>
  </sheetViews>
  <sheetFormatPr baseColWidth="10" defaultColWidth="8.83203125" defaultRowHeight="14"/>
  <cols>
    <col min="1" max="1" width="13" customWidth="1"/>
    <col min="2" max="7" width="15" customWidth="1"/>
  </cols>
  <sheetData>
    <row r="1" spans="1:52" ht="40" customHeight="1">
      <c r="A1" s="34" t="s">
        <v>47</v>
      </c>
      <c r="B1" s="34"/>
      <c r="C1" s="34"/>
      <c r="D1" s="34"/>
      <c r="E1" s="34"/>
      <c r="F1" s="34"/>
      <c r="G1" s="34"/>
      <c r="H1" s="34"/>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row>
    <row r="2" spans="1:52">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row>
    <row r="3" spans="1:52" ht="29.25" customHeight="1">
      <c r="A3" s="1" t="s">
        <v>48</v>
      </c>
      <c r="B3" s="1" t="s">
        <v>8</v>
      </c>
      <c r="C3" s="1" t="s">
        <v>11</v>
      </c>
      <c r="D3" s="1" t="s">
        <v>15</v>
      </c>
      <c r="E3" s="1" t="s">
        <v>19</v>
      </c>
      <c r="F3" s="1" t="s">
        <v>23</v>
      </c>
      <c r="G3" s="1" t="s">
        <v>49</v>
      </c>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row>
    <row r="4" spans="1:52">
      <c r="A4" s="13">
        <v>45292</v>
      </c>
      <c r="B4" s="51">
        <v>25832.28</v>
      </c>
      <c r="C4" s="51">
        <v>65931.490000000005</v>
      </c>
      <c r="D4" s="51">
        <v>30576.68</v>
      </c>
      <c r="E4" s="51">
        <v>28149.360000000001</v>
      </c>
      <c r="F4" s="51">
        <v>13886.81</v>
      </c>
      <c r="G4" s="51">
        <v>1131.72</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row>
    <row r="5" spans="1:52">
      <c r="A5" s="13">
        <v>45323</v>
      </c>
      <c r="B5" s="51">
        <v>26940.13</v>
      </c>
      <c r="C5" s="51">
        <v>67721.91</v>
      </c>
      <c r="D5" s="51">
        <v>32520.44</v>
      </c>
      <c r="E5" s="51">
        <v>29547.29</v>
      </c>
      <c r="F5" s="51">
        <v>14517.13</v>
      </c>
      <c r="G5" s="51">
        <v>1173.02</v>
      </c>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row>
    <row r="6" spans="1:52">
      <c r="A6" s="13">
        <v>45352</v>
      </c>
      <c r="B6" s="51">
        <v>27994.11</v>
      </c>
      <c r="C6" s="51">
        <v>72191.61</v>
      </c>
      <c r="D6" s="51">
        <v>34511.64</v>
      </c>
      <c r="E6" s="51">
        <v>32183.48</v>
      </c>
      <c r="F6" s="51">
        <v>15614.61</v>
      </c>
      <c r="G6" s="51">
        <v>1258.28</v>
      </c>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row>
    <row r="7" spans="1:52">
      <c r="A7" s="13">
        <v>45383</v>
      </c>
      <c r="B7" s="51">
        <v>29462.880000000001</v>
      </c>
      <c r="C7" s="51">
        <v>76061.710000000006</v>
      </c>
      <c r="D7" s="51">
        <v>36405.25</v>
      </c>
      <c r="E7" s="51">
        <v>32987.54</v>
      </c>
      <c r="F7" s="51">
        <v>16377.91</v>
      </c>
      <c r="G7" s="51">
        <v>1281.52</v>
      </c>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row>
    <row r="8" spans="1:52">
      <c r="A8" s="13">
        <v>45413</v>
      </c>
      <c r="B8" s="51">
        <v>28203.64</v>
      </c>
      <c r="C8" s="51">
        <v>72945.919999999998</v>
      </c>
      <c r="D8" s="51">
        <v>35334.54</v>
      </c>
      <c r="E8" s="51">
        <v>31321.15</v>
      </c>
      <c r="F8" s="51">
        <v>15589.97</v>
      </c>
      <c r="G8" s="51">
        <v>1216.3599999999999</v>
      </c>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row>
    <row r="9" spans="1:52">
      <c r="A9" s="13">
        <v>45444</v>
      </c>
      <c r="B9" s="51">
        <v>30147.87</v>
      </c>
      <c r="C9" s="51">
        <v>79286.75</v>
      </c>
      <c r="D9" s="51">
        <v>38207.65</v>
      </c>
      <c r="E9" s="51">
        <v>33534.730000000003</v>
      </c>
      <c r="F9" s="51">
        <v>16706.400000000001</v>
      </c>
      <c r="G9" s="51">
        <v>1280</v>
      </c>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row>
    <row r="10" spans="1:52">
      <c r="A10" s="13">
        <v>45474</v>
      </c>
      <c r="B10" s="51">
        <v>30456.57</v>
      </c>
      <c r="C10" s="51">
        <v>79515.399999999994</v>
      </c>
      <c r="D10" s="51">
        <v>38840.160000000003</v>
      </c>
      <c r="E10" s="51">
        <v>33473.78</v>
      </c>
      <c r="F10" s="51">
        <v>16681.939999999999</v>
      </c>
      <c r="G10" s="51">
        <v>1254.56</v>
      </c>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row>
    <row r="11" spans="1:52">
      <c r="A11" s="13">
        <v>45505</v>
      </c>
      <c r="B11" s="51">
        <v>30514.89</v>
      </c>
      <c r="C11" s="51">
        <v>76470.06</v>
      </c>
      <c r="D11" s="51">
        <v>38913.74</v>
      </c>
      <c r="E11" s="51">
        <v>33368.61</v>
      </c>
      <c r="F11" s="51">
        <v>16317.11</v>
      </c>
      <c r="G11" s="51">
        <v>1226.96</v>
      </c>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row>
    <row r="12" spans="1:52">
      <c r="A12" s="13">
        <v>45536</v>
      </c>
      <c r="B12" s="51">
        <v>31050.21</v>
      </c>
      <c r="C12" s="51">
        <v>80598.960000000006</v>
      </c>
      <c r="D12" s="51">
        <v>39790.39</v>
      </c>
      <c r="E12" s="51">
        <v>34243.81</v>
      </c>
      <c r="F12" s="51">
        <v>17090.07</v>
      </c>
      <c r="G12" s="51">
        <v>1275.8</v>
      </c>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row>
    <row r="13" spans="1:52">
      <c r="A13" s="13">
        <v>45566</v>
      </c>
      <c r="B13" s="51">
        <v>31127.08</v>
      </c>
      <c r="C13" s="51">
        <v>80845.87</v>
      </c>
      <c r="D13" s="51">
        <v>40115.57</v>
      </c>
      <c r="E13" s="51">
        <v>35051.24</v>
      </c>
      <c r="F13" s="51">
        <v>17168.240000000002</v>
      </c>
      <c r="G13" s="51">
        <v>1292.2</v>
      </c>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row>
    <row r="14" spans="1:52">
      <c r="A14" s="13">
        <v>45597</v>
      </c>
      <c r="B14" s="51">
        <v>30787.01</v>
      </c>
      <c r="C14" s="51">
        <v>79396.399999999994</v>
      </c>
      <c r="D14" s="51">
        <v>39562.589999999997</v>
      </c>
      <c r="E14" s="51">
        <v>34441.56</v>
      </c>
      <c r="F14" s="51">
        <v>16887.96</v>
      </c>
      <c r="G14" s="51">
        <v>1254.8900000000001</v>
      </c>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row>
    <row r="15" spans="1:52">
      <c r="A15" s="13">
        <v>45627</v>
      </c>
      <c r="B15" s="51">
        <v>30731.43</v>
      </c>
      <c r="C15" s="51">
        <v>79311.460000000006</v>
      </c>
      <c r="D15" s="51">
        <v>39716.89</v>
      </c>
      <c r="E15" s="51">
        <v>34815.79</v>
      </c>
      <c r="F15" s="51">
        <v>16684.64</v>
      </c>
      <c r="G15" s="51">
        <v>1251.21</v>
      </c>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row>
    <row r="16" spans="1:52">
      <c r="A16" s="13">
        <v>45658</v>
      </c>
      <c r="B16" s="51">
        <v>31576.06</v>
      </c>
      <c r="C16" s="51">
        <v>81435.009999999995</v>
      </c>
      <c r="D16" s="51">
        <v>40816.21</v>
      </c>
      <c r="E16" s="51">
        <v>35759.89</v>
      </c>
      <c r="F16" s="51">
        <v>17093.91</v>
      </c>
      <c r="G16" s="51">
        <v>1269.71</v>
      </c>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row>
    <row r="17" spans="1:52">
      <c r="A17" s="13">
        <v>45689</v>
      </c>
      <c r="B17" s="51">
        <v>31362.99</v>
      </c>
      <c r="C17" s="51">
        <v>80659.399999999994</v>
      </c>
      <c r="D17" s="51">
        <v>40703.199999999997</v>
      </c>
      <c r="E17" s="51">
        <v>35228.76</v>
      </c>
      <c r="F17" s="51">
        <v>17038.89</v>
      </c>
      <c r="G17" s="51">
        <v>1253.03</v>
      </c>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row>
    <row r="18" spans="1:52">
      <c r="A18" s="13">
        <v>45717</v>
      </c>
      <c r="B18" s="51">
        <v>31574.16</v>
      </c>
      <c r="C18" s="51">
        <v>81491.7</v>
      </c>
      <c r="D18" s="51">
        <v>41500.74</v>
      </c>
      <c r="E18" s="51">
        <v>36224</v>
      </c>
      <c r="F18" s="51">
        <v>17108</v>
      </c>
      <c r="G18" s="51">
        <v>1309.3699999999999</v>
      </c>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row>
    <row r="19" spans="1:52">
      <c r="A19" s="13">
        <v>45748</v>
      </c>
      <c r="B19" s="51">
        <v>30343.81</v>
      </c>
      <c r="C19" s="51">
        <v>79840.039999999994</v>
      </c>
      <c r="D19" s="51">
        <v>40359.199999999997</v>
      </c>
      <c r="E19" s="51">
        <v>35118.74</v>
      </c>
      <c r="F19" s="51">
        <v>16593.55</v>
      </c>
      <c r="G19" s="51">
        <v>1317.33</v>
      </c>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row>
    <row r="20" spans="1:52">
      <c r="A20" s="13">
        <v>45778</v>
      </c>
      <c r="B20" s="51">
        <v>27844.28</v>
      </c>
      <c r="C20" s="51">
        <v>76606.77</v>
      </c>
      <c r="D20" s="51">
        <v>36784.699999999997</v>
      </c>
      <c r="E20" s="51">
        <v>33640.85</v>
      </c>
      <c r="F20" s="51">
        <v>15522.23</v>
      </c>
      <c r="G20" s="51">
        <v>1240.05</v>
      </c>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row>
    <row r="21" spans="1:52">
      <c r="A21" s="13">
        <v>45809</v>
      </c>
      <c r="B21" s="51">
        <v>29506.32</v>
      </c>
      <c r="C21" s="51">
        <v>85363.62</v>
      </c>
      <c r="D21" s="51">
        <v>39164.879999999997</v>
      </c>
      <c r="E21" s="51">
        <v>35703.85</v>
      </c>
      <c r="F21" s="51">
        <v>16503.77</v>
      </c>
      <c r="G21" s="51">
        <v>1336.3</v>
      </c>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row>
    <row r="22" spans="1:52">
      <c r="A22" s="13">
        <v>45839</v>
      </c>
      <c r="B22" s="51">
        <v>31149</v>
      </c>
      <c r="C22" s="51">
        <v>88495.37</v>
      </c>
      <c r="D22" s="51">
        <v>40952.47</v>
      </c>
      <c r="E22" s="51">
        <v>37346.68</v>
      </c>
      <c r="F22" s="51">
        <v>17343.169999999998</v>
      </c>
      <c r="G22" s="51">
        <v>1377.84</v>
      </c>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row>
    <row r="23" spans="1:52">
      <c r="A23" s="13">
        <v>45870</v>
      </c>
      <c r="B23" s="51">
        <v>32616.05</v>
      </c>
      <c r="C23" s="51">
        <v>97608.26</v>
      </c>
      <c r="D23" s="51">
        <v>42466.33</v>
      </c>
      <c r="E23" s="51">
        <v>39729.75</v>
      </c>
      <c r="F23" s="51">
        <v>18968.04</v>
      </c>
      <c r="G23" s="51">
        <v>1495.21</v>
      </c>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row>
    <row r="24" spans="1:52">
      <c r="A24" s="13">
        <v>45901</v>
      </c>
      <c r="B24" s="51">
        <v>36965.11</v>
      </c>
      <c r="C24" s="51">
        <v>110037.18</v>
      </c>
      <c r="D24" s="51">
        <v>47237.72</v>
      </c>
      <c r="E24" s="51">
        <v>43869.99</v>
      </c>
      <c r="F24" s="51">
        <v>21789.24</v>
      </c>
      <c r="G24" s="51">
        <v>1681.3</v>
      </c>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row>
    <row r="25" spans="1:52">
      <c r="A25" s="13">
        <v>45931</v>
      </c>
      <c r="B25" s="51">
        <v>35216.9</v>
      </c>
      <c r="C25" s="51">
        <v>107138.03</v>
      </c>
      <c r="D25" s="51">
        <v>46298.9</v>
      </c>
      <c r="E25" s="51">
        <v>43029.06</v>
      </c>
      <c r="F25" s="51">
        <v>21565.98</v>
      </c>
      <c r="G25" s="51">
        <v>1665.05</v>
      </c>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row>
    <row r="26" spans="1:52">
      <c r="A26" s="13">
        <v>45962</v>
      </c>
      <c r="B26" s="51">
        <v>34437.279999999999</v>
      </c>
      <c r="C26" s="51">
        <v>103484.56</v>
      </c>
      <c r="D26" s="51">
        <v>45801.5</v>
      </c>
      <c r="E26" s="51">
        <v>42434.36</v>
      </c>
      <c r="F26" s="51">
        <v>20916.27</v>
      </c>
      <c r="G26" s="51">
        <v>1617</v>
      </c>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row>
    <row r="27" spans="1:52">
      <c r="A27" s="13">
        <v>45992</v>
      </c>
      <c r="B27" s="51">
        <v>33734.28</v>
      </c>
      <c r="C27" s="51">
        <v>103858.67</v>
      </c>
      <c r="D27" s="51">
        <v>45704.4</v>
      </c>
      <c r="E27" s="51">
        <v>42587.199999999997</v>
      </c>
      <c r="F27" s="51">
        <v>21358.959999999999</v>
      </c>
      <c r="G27" s="51">
        <v>1701.67</v>
      </c>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row>
    <row r="28" spans="1:52">
      <c r="A28" s="13">
        <v>46023</v>
      </c>
      <c r="B28" s="51">
        <v>33529.19</v>
      </c>
      <c r="C28" s="51">
        <v>108114.64</v>
      </c>
      <c r="D28" s="51">
        <v>44740.44</v>
      </c>
      <c r="E28" s="51">
        <v>43920.55</v>
      </c>
      <c r="F28" s="51">
        <v>22316.48</v>
      </c>
      <c r="G28" s="51">
        <v>1788.4</v>
      </c>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row>
    <row r="29" spans="1:52">
      <c r="A29" s="13">
        <v>46054</v>
      </c>
      <c r="B29" s="51">
        <v>36772.230000000003</v>
      </c>
      <c r="C29" s="51">
        <v>109867.05</v>
      </c>
      <c r="D29" s="51">
        <v>48746.03</v>
      </c>
      <c r="E29" s="51">
        <v>47116.92</v>
      </c>
      <c r="F29" s="51">
        <v>23379.74</v>
      </c>
      <c r="G29" s="51">
        <v>1806.5</v>
      </c>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row>
    <row r="30" spans="1:52">
      <c r="A30" s="13">
        <v>46082</v>
      </c>
      <c r="B30" s="51">
        <v>37845.99</v>
      </c>
      <c r="C30" s="51">
        <v>112300.39</v>
      </c>
      <c r="D30" s="51">
        <v>49098.25</v>
      </c>
      <c r="E30" s="51">
        <v>46682.720000000001</v>
      </c>
      <c r="F30" s="51">
        <v>23799.4</v>
      </c>
      <c r="G30" s="51">
        <v>1846.1</v>
      </c>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row>
    <row r="31" spans="1:52">
      <c r="A31" s="13">
        <v>46113</v>
      </c>
      <c r="B31" s="51">
        <v>35688.32</v>
      </c>
      <c r="C31" s="51">
        <v>101904.24</v>
      </c>
      <c r="D31" s="51">
        <v>45824.46</v>
      </c>
      <c r="E31" s="51">
        <v>44443.96</v>
      </c>
      <c r="F31" s="51">
        <v>21823.39</v>
      </c>
      <c r="G31" s="51">
        <v>1702.93</v>
      </c>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row>
    <row r="32" spans="1:52">
      <c r="A32" s="13">
        <v>46143</v>
      </c>
      <c r="B32" s="51">
        <v>34486.47</v>
      </c>
      <c r="C32" s="51">
        <v>103653.99</v>
      </c>
      <c r="D32" s="51">
        <v>45348.54</v>
      </c>
      <c r="E32" s="51">
        <v>44473.49</v>
      </c>
      <c r="F32" s="51">
        <v>22168.42</v>
      </c>
      <c r="G32" s="51">
        <v>1854.06</v>
      </c>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row>
    <row r="33" spans="1:52">
      <c r="A33" s="13">
        <v>46174</v>
      </c>
      <c r="B33" s="51">
        <v>33912.99</v>
      </c>
      <c r="C33" s="51">
        <v>101112.59</v>
      </c>
      <c r="D33" s="51">
        <v>44228.68</v>
      </c>
      <c r="E33" s="51">
        <v>43685.59</v>
      </c>
      <c r="F33" s="51">
        <v>21738.39</v>
      </c>
      <c r="G33" s="51">
        <v>1844.54</v>
      </c>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row>
    <row r="34" spans="1:52">
      <c r="A34" s="13">
        <v>46204</v>
      </c>
      <c r="B34" s="51">
        <v>33322.89</v>
      </c>
      <c r="C34" s="51">
        <v>100667.85</v>
      </c>
      <c r="D34" s="51">
        <v>43813.68</v>
      </c>
      <c r="E34" s="51">
        <v>43501.31</v>
      </c>
      <c r="F34" s="51">
        <v>21765.73</v>
      </c>
      <c r="G34" s="51">
        <v>1867.21</v>
      </c>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row>
    <row r="35" spans="1:52">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row>
    <row r="36" spans="1:52">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row>
    <row r="37" spans="1:52">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row>
    <row r="38" spans="1:52">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row>
    <row r="39" spans="1:52">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row>
    <row r="40" spans="1:52">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row>
    <row r="41" spans="1:52">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row>
    <row r="42" spans="1:5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row>
    <row r="43" spans="1:5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row>
    <row r="44" spans="1:52">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row>
    <row r="45" spans="1:52">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spans="1:52">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row>
    <row r="47" spans="1:52">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row>
    <row r="48" spans="1:52">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row>
    <row r="49" spans="1:5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row>
    <row r="50" spans="1:52">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row>
    <row r="51" spans="1:52">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row>
    <row r="52" spans="1: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row>
    <row r="53" spans="1:52">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row>
    <row r="54" spans="1:52">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row>
    <row r="55" spans="1:52">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row>
    <row r="56" spans="1:52">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row>
    <row r="57" spans="1:52">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row>
    <row r="58" spans="1:52">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row>
    <row r="59" spans="1:52">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row>
    <row r="60" spans="1:52">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row>
    <row r="61" spans="1:52">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row>
    <row r="62" spans="1:5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row>
    <row r="63" spans="1:5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row>
    <row r="64" spans="1:5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row>
    <row r="65" spans="1:5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row>
    <row r="66" spans="1:5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row>
    <row r="67" spans="1:5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row>
    <row r="68" spans="1:5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row>
    <row r="69" spans="1:5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row>
    <row r="70" spans="1:5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row>
    <row r="71" spans="1:5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row>
    <row r="72" spans="1:5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row>
    <row r="73" spans="1:5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row>
    <row r="74" spans="1:5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row>
    <row r="75" spans="1:5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row>
    <row r="76" spans="1:5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row>
    <row r="77" spans="1:5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row>
    <row r="78" spans="1:5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row>
    <row r="79" spans="1:5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row>
    <row r="80" spans="1:5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row>
    <row r="81" spans="1:5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row>
    <row r="82" spans="1:5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row>
    <row r="83" spans="1:5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row>
    <row r="84" spans="1:5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row>
    <row r="85" spans="1:5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row>
    <row r="86" spans="1:5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row>
    <row r="87" spans="1:5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row>
    <row r="88" spans="1:5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row>
    <row r="89" spans="1:5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row>
    <row r="90" spans="1:5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row>
    <row r="91" spans="1:5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row>
    <row r="92" spans="1:5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row>
    <row r="93" spans="1:5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row>
    <row r="94" spans="1:5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row>
    <row r="95" spans="1:5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row>
    <row r="96" spans="1:5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row>
    <row r="97" spans="1:5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row>
    <row r="98" spans="1:5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row>
    <row r="99" spans="1:5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row>
    <row r="100" spans="1:5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row>
    <row r="101" spans="1:5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row>
    <row r="102" spans="1:5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row>
    <row r="103" spans="1:5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row>
    <row r="104" spans="1:5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row>
    <row r="105" spans="1:5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row>
    <row r="106" spans="1:5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row>
    <row r="107" spans="1:5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row>
    <row r="108" spans="1:5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row>
    <row r="109" spans="1:5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row>
    <row r="110" spans="1:5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row>
    <row r="111" spans="1:5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row>
    <row r="112" spans="1:5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row>
    <row r="113" spans="1:5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row>
    <row r="114" spans="1:5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row>
    <row r="115" spans="1:5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row>
    <row r="116" spans="1:5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row>
    <row r="117" spans="1:5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row>
    <row r="118" spans="1:5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row>
    <row r="119" spans="1:5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row>
    <row r="120" spans="1:5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row>
    <row r="121" spans="1:5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row>
    <row r="122" spans="1:5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row>
    <row r="123" spans="1:5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row>
    <row r="124" spans="1:5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row>
    <row r="125" spans="1:5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row>
    <row r="126" spans="1:5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row>
    <row r="127" spans="1:5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row>
    <row r="128" spans="1:5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row>
    <row r="129" spans="1:5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row>
    <row r="130" spans="1:5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row>
    <row r="131" spans="1:5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row>
    <row r="132" spans="1:5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row>
    <row r="133" spans="1:5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row>
    <row r="134" spans="1:5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row>
    <row r="135" spans="1:5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row>
    <row r="136" spans="1:5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row>
    <row r="137" spans="1:5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row>
    <row r="138" spans="1:5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row>
    <row r="139" spans="1:5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row>
    <row r="140" spans="1:5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row>
    <row r="141" spans="1:5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row>
    <row r="142" spans="1:5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row>
    <row r="143" spans="1:5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row>
    <row r="144" spans="1:5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row>
    <row r="145" spans="1:5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row>
    <row r="146" spans="1:5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row>
    <row r="147" spans="1:5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row>
    <row r="148" spans="1:5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row>
    <row r="149" spans="1:5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row>
    <row r="150" spans="1:5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row>
    <row r="151" spans="1:5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row>
    <row r="152" spans="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row>
    <row r="153" spans="1:5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row>
    <row r="154" spans="1:5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row>
    <row r="155" spans="1:5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row>
    <row r="156" spans="1:5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row>
    <row r="157" spans="1:5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row>
    <row r="158" spans="1:5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row>
    <row r="159" spans="1:5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row>
    <row r="160" spans="1:5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row>
    <row r="161" spans="1:5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row>
    <row r="162" spans="1:5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row>
    <row r="163" spans="1:5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row>
    <row r="164" spans="1:5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row>
    <row r="165" spans="1:5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row>
    <row r="166" spans="1:5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row>
    <row r="167" spans="1:5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row>
    <row r="168" spans="1:5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row>
    <row r="169" spans="1:5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row>
    <row r="170" spans="1:5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row>
    <row r="171" spans="1:5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row>
    <row r="172" spans="1:5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row>
    <row r="173" spans="1:5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row>
    <row r="174" spans="1:5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row>
    <row r="175" spans="1:5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row>
    <row r="176" spans="1:5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row>
    <row r="177" spans="1:5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row>
    <row r="178" spans="1:5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row>
    <row r="179" spans="1:5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row>
    <row r="180" spans="1:5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row>
    <row r="181" spans="1:5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row>
    <row r="182" spans="1:5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row>
    <row r="183" spans="1:5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row>
    <row r="184" spans="1:5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row>
    <row r="185" spans="1:5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row>
    <row r="186" spans="1:5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row>
    <row r="187" spans="1:5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row>
    <row r="188" spans="1:5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row>
    <row r="189" spans="1:5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row>
    <row r="190" spans="1:5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row>
    <row r="191" spans="1:5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row>
    <row r="192" spans="1:5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row>
    <row r="193" spans="1:5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row>
    <row r="194" spans="1:5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row>
    <row r="195" spans="1:5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row>
    <row r="196" spans="1:5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row>
    <row r="197" spans="1:5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row>
    <row r="198" spans="1:5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row>
    <row r="199" spans="1:5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row>
  </sheetData>
  <mergeCells count="1">
    <mergeCell ref="A1:H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200"/>
  <sheetViews>
    <sheetView workbookViewId="0">
      <selection sqref="A1:AL1"/>
    </sheetView>
  </sheetViews>
  <sheetFormatPr baseColWidth="10" defaultColWidth="8.83203125" defaultRowHeight="14"/>
  <cols>
    <col min="1" max="7" width="12" customWidth="1"/>
    <col min="9" max="15" width="12" customWidth="1"/>
    <col min="17" max="23" width="12" customWidth="1"/>
    <col min="25" max="31" width="12" customWidth="1"/>
    <col min="33" max="38" width="12" customWidth="1"/>
  </cols>
  <sheetData>
    <row r="1" spans="1:52" ht="40" customHeight="1">
      <c r="A1" s="34" t="s">
        <v>50</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5"/>
      <c r="AN1" s="5"/>
      <c r="AO1" s="5"/>
      <c r="AP1" s="5"/>
      <c r="AQ1" s="5"/>
      <c r="AR1" s="5"/>
      <c r="AS1" s="5"/>
      <c r="AT1" s="5"/>
      <c r="AU1" s="5"/>
      <c r="AV1" s="5"/>
      <c r="AW1" s="5"/>
      <c r="AX1" s="5"/>
      <c r="AY1" s="5"/>
      <c r="AZ1" s="5"/>
    </row>
    <row r="2" spans="1:52" ht="32" customHeight="1">
      <c r="A2" s="35" t="s">
        <v>51</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5"/>
      <c r="AN2" s="5"/>
      <c r="AO2" s="5"/>
      <c r="AP2" s="5"/>
      <c r="AQ2" s="5"/>
      <c r="AR2" s="5"/>
      <c r="AS2" s="5"/>
      <c r="AT2" s="5"/>
      <c r="AU2" s="5"/>
      <c r="AV2" s="5"/>
      <c r="AW2" s="5"/>
      <c r="AX2" s="5"/>
      <c r="AY2" s="5"/>
      <c r="AZ2" s="5"/>
    </row>
    <row r="3" spans="1:52">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row>
    <row r="4" spans="1:52" ht="29.25" customHeight="1">
      <c r="A4" s="1" t="s">
        <v>48</v>
      </c>
      <c r="B4" s="1" t="s">
        <v>8</v>
      </c>
      <c r="C4" s="1" t="s">
        <v>11</v>
      </c>
      <c r="D4" s="1" t="s">
        <v>15</v>
      </c>
      <c r="E4" s="1" t="s">
        <v>19</v>
      </c>
      <c r="F4" s="1" t="s">
        <v>23</v>
      </c>
      <c r="G4" s="1" t="s">
        <v>49</v>
      </c>
      <c r="H4" s="5"/>
      <c r="I4" s="1" t="s">
        <v>52</v>
      </c>
      <c r="J4" s="1" t="s">
        <v>8</v>
      </c>
      <c r="K4" s="1" t="s">
        <v>11</v>
      </c>
      <c r="L4" s="1" t="s">
        <v>15</v>
      </c>
      <c r="M4" s="1" t="s">
        <v>19</v>
      </c>
      <c r="N4" s="1" t="s">
        <v>23</v>
      </c>
      <c r="O4" s="1" t="s">
        <v>49</v>
      </c>
      <c r="P4" s="5"/>
      <c r="Q4" s="1" t="s">
        <v>53</v>
      </c>
      <c r="R4" s="1" t="s">
        <v>8</v>
      </c>
      <c r="S4" s="1" t="s">
        <v>11</v>
      </c>
      <c r="T4" s="1" t="s">
        <v>15</v>
      </c>
      <c r="U4" s="1" t="s">
        <v>19</v>
      </c>
      <c r="V4" s="1" t="s">
        <v>23</v>
      </c>
      <c r="W4" s="1" t="s">
        <v>49</v>
      </c>
      <c r="X4" s="5"/>
      <c r="Y4" s="1" t="s">
        <v>54</v>
      </c>
      <c r="Z4" s="1" t="s">
        <v>8</v>
      </c>
      <c r="AA4" s="1" t="s">
        <v>11</v>
      </c>
      <c r="AB4" s="1" t="s">
        <v>15</v>
      </c>
      <c r="AC4" s="1" t="s">
        <v>19</v>
      </c>
      <c r="AD4" s="1" t="s">
        <v>23</v>
      </c>
      <c r="AE4" s="1" t="s">
        <v>49</v>
      </c>
      <c r="AF4" s="5"/>
      <c r="AG4" s="1" t="s">
        <v>48</v>
      </c>
      <c r="AH4" s="1" t="s">
        <v>8</v>
      </c>
      <c r="AI4" s="1" t="s">
        <v>11</v>
      </c>
      <c r="AJ4" s="1" t="s">
        <v>15</v>
      </c>
      <c r="AK4" s="1" t="s">
        <v>19</v>
      </c>
      <c r="AL4" s="1" t="s">
        <v>23</v>
      </c>
      <c r="AM4" s="5"/>
      <c r="AN4" s="5"/>
      <c r="AO4" s="5"/>
      <c r="AP4" s="5"/>
      <c r="AQ4" s="5"/>
      <c r="AR4" s="5"/>
      <c r="AS4" s="5"/>
      <c r="AT4" s="5"/>
      <c r="AU4" s="5"/>
      <c r="AV4" s="5"/>
      <c r="AW4" s="5"/>
      <c r="AX4" s="5"/>
      <c r="AY4" s="5"/>
      <c r="AZ4" s="5"/>
    </row>
    <row r="5" spans="1:52">
      <c r="A5" s="14">
        <v>45292</v>
      </c>
      <c r="B5" s="5"/>
      <c r="C5" s="5"/>
      <c r="D5" s="5"/>
      <c r="E5" s="5"/>
      <c r="F5" s="5"/>
      <c r="G5" s="5"/>
      <c r="H5" s="5"/>
      <c r="I5" s="14">
        <v>45292</v>
      </c>
      <c r="J5" s="15">
        <v>100</v>
      </c>
      <c r="K5" s="15">
        <v>100</v>
      </c>
      <c r="L5" s="15">
        <v>100</v>
      </c>
      <c r="M5" s="15">
        <v>100</v>
      </c>
      <c r="N5" s="15">
        <v>100</v>
      </c>
      <c r="O5" s="15">
        <v>100</v>
      </c>
      <c r="P5" s="5"/>
      <c r="Q5" s="14">
        <v>45292</v>
      </c>
      <c r="R5" s="15">
        <f t="shared" ref="R5:W5" si="0">J5</f>
        <v>100</v>
      </c>
      <c r="S5" s="15">
        <f t="shared" si="0"/>
        <v>100</v>
      </c>
      <c r="T5" s="15">
        <f t="shared" si="0"/>
        <v>100</v>
      </c>
      <c r="U5" s="15">
        <f t="shared" si="0"/>
        <v>100</v>
      </c>
      <c r="V5" s="15">
        <f t="shared" si="0"/>
        <v>100</v>
      </c>
      <c r="W5" s="15">
        <f t="shared" si="0"/>
        <v>100</v>
      </c>
      <c r="X5" s="5"/>
      <c r="Y5" s="14">
        <v>45292</v>
      </c>
      <c r="Z5" s="16">
        <f t="shared" ref="Z5:Z35" si="1">J5/R5-1</f>
        <v>0</v>
      </c>
      <c r="AA5" s="16">
        <f t="shared" ref="AA5:AA35" si="2">K5/S5-1</f>
        <v>0</v>
      </c>
      <c r="AB5" s="16">
        <f t="shared" ref="AB5:AB35" si="3">L5/T5-1</f>
        <v>0</v>
      </c>
      <c r="AC5" s="16">
        <f t="shared" ref="AC5:AC35" si="4">M5/U5-1</f>
        <v>0</v>
      </c>
      <c r="AD5" s="16">
        <f t="shared" ref="AD5:AD35" si="5">N5/V5-1</f>
        <v>0</v>
      </c>
      <c r="AE5" s="16">
        <f t="shared" ref="AE5:AE35" si="6">O5/W5-1</f>
        <v>0</v>
      </c>
      <c r="AF5" s="5"/>
      <c r="AG5" s="14">
        <v>45292</v>
      </c>
      <c r="AH5" s="5"/>
      <c r="AI5" s="5"/>
      <c r="AJ5" s="5"/>
      <c r="AK5" s="5"/>
      <c r="AL5" s="5"/>
      <c r="AM5" s="5"/>
      <c r="AN5" s="5"/>
      <c r="AO5" s="5"/>
      <c r="AP5" s="5"/>
      <c r="AQ5" s="5"/>
      <c r="AR5" s="5"/>
      <c r="AS5" s="5"/>
      <c r="AT5" s="5"/>
      <c r="AU5" s="5"/>
      <c r="AV5" s="5"/>
      <c r="AW5" s="5"/>
      <c r="AX5" s="5"/>
      <c r="AY5" s="5"/>
      <c r="AZ5" s="5"/>
    </row>
    <row r="6" spans="1:52">
      <c r="A6" s="14">
        <v>45323</v>
      </c>
      <c r="B6" s="17">
        <f>'NAV Data'!B5/'NAV Data'!B4-1</f>
        <v>4.2886264781893058E-2</v>
      </c>
      <c r="C6" s="17">
        <f>'NAV Data'!C5/'NAV Data'!C4-1</f>
        <v>2.7155764263783411E-2</v>
      </c>
      <c r="D6" s="17">
        <f>'NAV Data'!D5/'NAV Data'!D4-1</f>
        <v>6.3570014795589325E-2</v>
      </c>
      <c r="E6" s="17">
        <f>'NAV Data'!E5/'NAV Data'!E4-1</f>
        <v>4.9661164587756268E-2</v>
      </c>
      <c r="F6" s="17">
        <f>'NAV Data'!F5/'NAV Data'!F4-1</f>
        <v>4.5389833950345571E-2</v>
      </c>
      <c r="G6" s="17">
        <f>'NAV Data'!G5/'NAV Data'!G4-1</f>
        <v>3.6493125508076263E-2</v>
      </c>
      <c r="H6" s="5"/>
      <c r="I6" s="14">
        <v>45323</v>
      </c>
      <c r="J6" s="18">
        <f t="shared" ref="J6:J35" si="7">J5*(1+B6)</f>
        <v>104.2886264781893</v>
      </c>
      <c r="K6" s="18">
        <f t="shared" ref="K6:K35" si="8">K5*(1+C6)</f>
        <v>102.71557642637833</v>
      </c>
      <c r="L6" s="18">
        <f t="shared" ref="L6:L35" si="9">L5*(1+D6)</f>
        <v>106.35700147955893</v>
      </c>
      <c r="M6" s="18">
        <f t="shared" ref="M6:M35" si="10">M5*(1+E6)</f>
        <v>104.96611645877563</v>
      </c>
      <c r="N6" s="18">
        <f t="shared" ref="N6:N35" si="11">N5*(1+F6)</f>
        <v>104.53898339503456</v>
      </c>
      <c r="O6" s="18">
        <f t="shared" ref="O6:O35" si="12">O5*(1+G6)</f>
        <v>103.64931255080762</v>
      </c>
      <c r="P6" s="5"/>
      <c r="Q6" s="14">
        <v>45323</v>
      </c>
      <c r="R6" s="15">
        <f t="shared" ref="R6:R35" si="13">MAX(R5,J6)</f>
        <v>104.2886264781893</v>
      </c>
      <c r="S6" s="15">
        <f t="shared" ref="S6:S35" si="14">MAX(S5,K6)</f>
        <v>102.71557642637833</v>
      </c>
      <c r="T6" s="15">
        <f t="shared" ref="T6:T35" si="15">MAX(T5,L6)</f>
        <v>106.35700147955893</v>
      </c>
      <c r="U6" s="15">
        <f t="shared" ref="U6:U35" si="16">MAX(U5,M6)</f>
        <v>104.96611645877563</v>
      </c>
      <c r="V6" s="15">
        <f t="shared" ref="V6:V35" si="17">MAX(V5,N6)</f>
        <v>104.53898339503456</v>
      </c>
      <c r="W6" s="15">
        <f t="shared" ref="W6:W35" si="18">MAX(W5,O6)</f>
        <v>103.64931255080762</v>
      </c>
      <c r="X6" s="5"/>
      <c r="Y6" s="14">
        <v>45323</v>
      </c>
      <c r="Z6" s="16">
        <f t="shared" si="1"/>
        <v>0</v>
      </c>
      <c r="AA6" s="16">
        <f t="shared" si="2"/>
        <v>0</v>
      </c>
      <c r="AB6" s="16">
        <f t="shared" si="3"/>
        <v>0</v>
      </c>
      <c r="AC6" s="16">
        <f t="shared" si="4"/>
        <v>0</v>
      </c>
      <c r="AD6" s="16">
        <f t="shared" si="5"/>
        <v>0</v>
      </c>
      <c r="AE6" s="16">
        <f t="shared" si="6"/>
        <v>0</v>
      </c>
      <c r="AF6" s="5"/>
      <c r="AG6" s="14">
        <v>45323</v>
      </c>
      <c r="AH6" s="16">
        <f t="shared" ref="AH6:AH35" si="19">B6-$G6</f>
        <v>6.3931392738167947E-3</v>
      </c>
      <c r="AI6" s="16">
        <f t="shared" ref="AI6:AI35" si="20">C6-$G6</f>
        <v>-9.3373612442928522E-3</v>
      </c>
      <c r="AJ6" s="16">
        <f t="shared" ref="AJ6:AJ35" si="21">D6-$G6</f>
        <v>2.7076889287513062E-2</v>
      </c>
      <c r="AK6" s="16">
        <f t="shared" ref="AK6:AK35" si="22">E6-$G6</f>
        <v>1.3168039079680005E-2</v>
      </c>
      <c r="AL6" s="16">
        <f t="shared" ref="AL6:AL35" si="23">F6-$G6</f>
        <v>8.8967084422693077E-3</v>
      </c>
      <c r="AM6" s="5"/>
      <c r="AN6" s="5"/>
      <c r="AO6" s="5"/>
      <c r="AP6" s="5"/>
      <c r="AQ6" s="5"/>
      <c r="AR6" s="5"/>
      <c r="AS6" s="5"/>
      <c r="AT6" s="5"/>
      <c r="AU6" s="5"/>
      <c r="AV6" s="5"/>
      <c r="AW6" s="5"/>
      <c r="AX6" s="5"/>
      <c r="AY6" s="5"/>
      <c r="AZ6" s="5"/>
    </row>
    <row r="7" spans="1:52">
      <c r="A7" s="14">
        <v>45352</v>
      </c>
      <c r="B7" s="17">
        <f>'NAV Data'!B6/'NAV Data'!B5-1</f>
        <v>3.9123048032804641E-2</v>
      </c>
      <c r="C7" s="17">
        <f>'NAV Data'!C6/'NAV Data'!C5-1</f>
        <v>6.6000796492597491E-2</v>
      </c>
      <c r="D7" s="17">
        <f>'NAV Data'!D6/'NAV Data'!D5-1</f>
        <v>6.1229183860981085E-2</v>
      </c>
      <c r="E7" s="17">
        <f>'NAV Data'!E6/'NAV Data'!E5-1</f>
        <v>8.9219349727166053E-2</v>
      </c>
      <c r="F7" s="17">
        <f>'NAV Data'!F6/'NAV Data'!F5-1</f>
        <v>7.5598964809159952E-2</v>
      </c>
      <c r="G7" s="17">
        <f>'NAV Data'!G6/'NAV Data'!G5-1</f>
        <v>7.2684182707882128E-2</v>
      </c>
      <c r="H7" s="5"/>
      <c r="I7" s="14">
        <v>45352</v>
      </c>
      <c r="J7" s="18">
        <f t="shared" si="7"/>
        <v>108.36871542117072</v>
      </c>
      <c r="K7" s="18">
        <f t="shared" si="8"/>
        <v>109.49488628271557</v>
      </c>
      <c r="L7" s="18">
        <f t="shared" si="9"/>
        <v>112.86915387805348</v>
      </c>
      <c r="M7" s="18">
        <f t="shared" si="10"/>
        <v>114.33112511261358</v>
      </c>
      <c r="N7" s="18">
        <f t="shared" si="11"/>
        <v>112.44202232190113</v>
      </c>
      <c r="O7" s="18">
        <f t="shared" si="12"/>
        <v>111.18297812179691</v>
      </c>
      <c r="P7" s="5"/>
      <c r="Q7" s="14">
        <v>45352</v>
      </c>
      <c r="R7" s="15">
        <f t="shared" si="13"/>
        <v>108.36871542117072</v>
      </c>
      <c r="S7" s="15">
        <f t="shared" si="14"/>
        <v>109.49488628271557</v>
      </c>
      <c r="T7" s="15">
        <f t="shared" si="15"/>
        <v>112.86915387805348</v>
      </c>
      <c r="U7" s="15">
        <f t="shared" si="16"/>
        <v>114.33112511261358</v>
      </c>
      <c r="V7" s="15">
        <f t="shared" si="17"/>
        <v>112.44202232190113</v>
      </c>
      <c r="W7" s="15">
        <f t="shared" si="18"/>
        <v>111.18297812179691</v>
      </c>
      <c r="X7" s="5"/>
      <c r="Y7" s="14">
        <v>45352</v>
      </c>
      <c r="Z7" s="16">
        <f t="shared" si="1"/>
        <v>0</v>
      </c>
      <c r="AA7" s="16">
        <f t="shared" si="2"/>
        <v>0</v>
      </c>
      <c r="AB7" s="16">
        <f t="shared" si="3"/>
        <v>0</v>
      </c>
      <c r="AC7" s="16">
        <f t="shared" si="4"/>
        <v>0</v>
      </c>
      <c r="AD7" s="16">
        <f t="shared" si="5"/>
        <v>0</v>
      </c>
      <c r="AE7" s="16">
        <f t="shared" si="6"/>
        <v>0</v>
      </c>
      <c r="AF7" s="5"/>
      <c r="AG7" s="14">
        <v>45352</v>
      </c>
      <c r="AH7" s="16">
        <f t="shared" si="19"/>
        <v>-3.3561134675077486E-2</v>
      </c>
      <c r="AI7" s="16">
        <f t="shared" si="20"/>
        <v>-6.6833862152846368E-3</v>
      </c>
      <c r="AJ7" s="16">
        <f t="shared" si="21"/>
        <v>-1.1454998846901043E-2</v>
      </c>
      <c r="AK7" s="16">
        <f t="shared" si="22"/>
        <v>1.6535167019283925E-2</v>
      </c>
      <c r="AL7" s="16">
        <f t="shared" si="23"/>
        <v>2.9147821012778241E-3</v>
      </c>
      <c r="AM7" s="5"/>
      <c r="AN7" s="5"/>
      <c r="AO7" s="5"/>
      <c r="AP7" s="5"/>
      <c r="AQ7" s="5"/>
      <c r="AR7" s="5"/>
      <c r="AS7" s="5"/>
      <c r="AT7" s="5"/>
      <c r="AU7" s="5"/>
      <c r="AV7" s="5"/>
      <c r="AW7" s="5"/>
      <c r="AX7" s="5"/>
      <c r="AY7" s="5"/>
      <c r="AZ7" s="5"/>
    </row>
    <row r="8" spans="1:52">
      <c r="A8" s="14">
        <v>45383</v>
      </c>
      <c r="B8" s="17">
        <f>'NAV Data'!B7/'NAV Data'!B6-1</f>
        <v>5.2467108259558914E-2</v>
      </c>
      <c r="C8" s="17">
        <f>'NAV Data'!C7/'NAV Data'!C6-1</f>
        <v>5.3608722675668297E-2</v>
      </c>
      <c r="D8" s="17">
        <f>'NAV Data'!D7/'NAV Data'!D6-1</f>
        <v>5.4868734143031173E-2</v>
      </c>
      <c r="E8" s="17">
        <f>'NAV Data'!E7/'NAV Data'!E6-1</f>
        <v>2.4983625139357146E-2</v>
      </c>
      <c r="F8" s="17">
        <f>'NAV Data'!F7/'NAV Data'!F6-1</f>
        <v>4.8883705708948177E-2</v>
      </c>
      <c r="G8" s="17">
        <f>'NAV Data'!G7/'NAV Data'!G6-1</f>
        <v>1.846965699208436E-2</v>
      </c>
      <c r="H8" s="5"/>
      <c r="I8" s="14">
        <v>45383</v>
      </c>
      <c r="J8" s="18">
        <f t="shared" si="7"/>
        <v>114.05450854512262</v>
      </c>
      <c r="K8" s="18">
        <f t="shared" si="8"/>
        <v>115.3647672758495</v>
      </c>
      <c r="L8" s="18">
        <f t="shared" si="9"/>
        <v>119.06214147513727</v>
      </c>
      <c r="M8" s="18">
        <f t="shared" si="10"/>
        <v>117.18753108418805</v>
      </c>
      <c r="N8" s="18">
        <f t="shared" si="11"/>
        <v>117.93860505040394</v>
      </c>
      <c r="O8" s="18">
        <f t="shared" si="12"/>
        <v>113.23648959106491</v>
      </c>
      <c r="P8" s="5"/>
      <c r="Q8" s="14">
        <v>45383</v>
      </c>
      <c r="R8" s="15">
        <f t="shared" si="13"/>
        <v>114.05450854512262</v>
      </c>
      <c r="S8" s="15">
        <f t="shared" si="14"/>
        <v>115.3647672758495</v>
      </c>
      <c r="T8" s="15">
        <f t="shared" si="15"/>
        <v>119.06214147513727</v>
      </c>
      <c r="U8" s="15">
        <f t="shared" si="16"/>
        <v>117.18753108418805</v>
      </c>
      <c r="V8" s="15">
        <f t="shared" si="17"/>
        <v>117.93860505040394</v>
      </c>
      <c r="W8" s="15">
        <f t="shared" si="18"/>
        <v>113.23648959106491</v>
      </c>
      <c r="X8" s="5"/>
      <c r="Y8" s="14">
        <v>45383</v>
      </c>
      <c r="Z8" s="16">
        <f t="shared" si="1"/>
        <v>0</v>
      </c>
      <c r="AA8" s="16">
        <f t="shared" si="2"/>
        <v>0</v>
      </c>
      <c r="AB8" s="16">
        <f t="shared" si="3"/>
        <v>0</v>
      </c>
      <c r="AC8" s="16">
        <f t="shared" si="4"/>
        <v>0</v>
      </c>
      <c r="AD8" s="16">
        <f t="shared" si="5"/>
        <v>0</v>
      </c>
      <c r="AE8" s="16">
        <f t="shared" si="6"/>
        <v>0</v>
      </c>
      <c r="AF8" s="5"/>
      <c r="AG8" s="14">
        <v>45383</v>
      </c>
      <c r="AH8" s="16">
        <f t="shared" si="19"/>
        <v>3.3997451267474554E-2</v>
      </c>
      <c r="AI8" s="16">
        <f t="shared" si="20"/>
        <v>3.5139065683583937E-2</v>
      </c>
      <c r="AJ8" s="16">
        <f t="shared" si="21"/>
        <v>3.6399077150946813E-2</v>
      </c>
      <c r="AK8" s="16">
        <f t="shared" si="22"/>
        <v>6.5139681472727862E-3</v>
      </c>
      <c r="AL8" s="16">
        <f t="shared" si="23"/>
        <v>3.0414048716863817E-2</v>
      </c>
      <c r="AM8" s="5"/>
      <c r="AN8" s="5"/>
      <c r="AO8" s="5"/>
      <c r="AP8" s="5"/>
      <c r="AQ8" s="5"/>
      <c r="AR8" s="5"/>
      <c r="AS8" s="5"/>
      <c r="AT8" s="5"/>
      <c r="AU8" s="5"/>
      <c r="AV8" s="5"/>
      <c r="AW8" s="5"/>
      <c r="AX8" s="5"/>
      <c r="AY8" s="5"/>
      <c r="AZ8" s="5"/>
    </row>
    <row r="9" spans="1:52">
      <c r="A9" s="14">
        <v>45413</v>
      </c>
      <c r="B9" s="17">
        <f>'NAV Data'!B8/'NAV Data'!B7-1</f>
        <v>-4.2739881505134636E-2</v>
      </c>
      <c r="C9" s="17">
        <f>'NAV Data'!C8/'NAV Data'!C7-1</f>
        <v>-4.0963975172264799E-2</v>
      </c>
      <c r="D9" s="17">
        <f>'NAV Data'!D8/'NAV Data'!D7-1</f>
        <v>-2.9410867938003404E-2</v>
      </c>
      <c r="E9" s="17">
        <f>'NAV Data'!E8/'NAV Data'!E7-1</f>
        <v>-5.0515740185536728E-2</v>
      </c>
      <c r="F9" s="17">
        <f>'NAV Data'!F8/'NAV Data'!F7-1</f>
        <v>-4.8109923671579624E-2</v>
      </c>
      <c r="G9" s="17">
        <f>'NAV Data'!G8/'NAV Data'!G7-1</f>
        <v>-5.0845870528747228E-2</v>
      </c>
      <c r="H9" s="5"/>
      <c r="I9" s="14">
        <v>45413</v>
      </c>
      <c r="J9" s="18">
        <f t="shared" si="7"/>
        <v>109.17983236477771</v>
      </c>
      <c r="K9" s="18">
        <f t="shared" si="8"/>
        <v>110.63896781340749</v>
      </c>
      <c r="L9" s="18">
        <f t="shared" si="9"/>
        <v>115.56042055579613</v>
      </c>
      <c r="M9" s="18">
        <f t="shared" si="10"/>
        <v>111.2677162109547</v>
      </c>
      <c r="N9" s="18">
        <f t="shared" si="11"/>
        <v>112.26458776349642</v>
      </c>
      <c r="O9" s="18">
        <f t="shared" si="12"/>
        <v>107.47888170218779</v>
      </c>
      <c r="P9" s="5"/>
      <c r="Q9" s="14">
        <v>45413</v>
      </c>
      <c r="R9" s="15">
        <f t="shared" si="13"/>
        <v>114.05450854512262</v>
      </c>
      <c r="S9" s="15">
        <f t="shared" si="14"/>
        <v>115.3647672758495</v>
      </c>
      <c r="T9" s="15">
        <f t="shared" si="15"/>
        <v>119.06214147513727</v>
      </c>
      <c r="U9" s="15">
        <f t="shared" si="16"/>
        <v>117.18753108418805</v>
      </c>
      <c r="V9" s="15">
        <f t="shared" si="17"/>
        <v>117.93860505040394</v>
      </c>
      <c r="W9" s="15">
        <f t="shared" si="18"/>
        <v>113.23648959106491</v>
      </c>
      <c r="X9" s="5"/>
      <c r="Y9" s="14">
        <v>45413</v>
      </c>
      <c r="Z9" s="16">
        <f t="shared" si="1"/>
        <v>-4.2739881505134636E-2</v>
      </c>
      <c r="AA9" s="16">
        <f t="shared" si="2"/>
        <v>-4.096397517226491E-2</v>
      </c>
      <c r="AB9" s="16">
        <f t="shared" si="3"/>
        <v>-2.9410867938003404E-2</v>
      </c>
      <c r="AC9" s="16">
        <f t="shared" si="4"/>
        <v>-5.0515740185536728E-2</v>
      </c>
      <c r="AD9" s="16">
        <f t="shared" si="5"/>
        <v>-4.8109923671579624E-2</v>
      </c>
      <c r="AE9" s="16">
        <f t="shared" si="6"/>
        <v>-5.0845870528747228E-2</v>
      </c>
      <c r="AF9" s="5"/>
      <c r="AG9" s="14">
        <v>45413</v>
      </c>
      <c r="AH9" s="16">
        <f t="shared" si="19"/>
        <v>8.105989023612592E-3</v>
      </c>
      <c r="AI9" s="16">
        <f t="shared" si="20"/>
        <v>9.8818953564824286E-3</v>
      </c>
      <c r="AJ9" s="16">
        <f t="shared" si="21"/>
        <v>2.1435002590743824E-2</v>
      </c>
      <c r="AK9" s="16">
        <f t="shared" si="22"/>
        <v>3.3013034321049961E-4</v>
      </c>
      <c r="AL9" s="16">
        <f t="shared" si="23"/>
        <v>2.7359468571676038E-3</v>
      </c>
      <c r="AM9" s="5"/>
      <c r="AN9" s="5"/>
      <c r="AO9" s="5"/>
      <c r="AP9" s="5"/>
      <c r="AQ9" s="5"/>
      <c r="AR9" s="5"/>
      <c r="AS9" s="5"/>
      <c r="AT9" s="5"/>
      <c r="AU9" s="5"/>
      <c r="AV9" s="5"/>
      <c r="AW9" s="5"/>
      <c r="AX9" s="5"/>
      <c r="AY9" s="5"/>
      <c r="AZ9" s="5"/>
    </row>
    <row r="10" spans="1:52">
      <c r="A10" s="14">
        <v>45444</v>
      </c>
      <c r="B10" s="17">
        <f>'NAV Data'!B9/'NAV Data'!B8-1</f>
        <v>6.8935428192956616E-2</v>
      </c>
      <c r="C10" s="17">
        <f>'NAV Data'!C9/'NAV Data'!C8-1</f>
        <v>8.692508093667195E-2</v>
      </c>
      <c r="D10" s="17">
        <f>'NAV Data'!D9/'NAV Data'!D8-1</f>
        <v>8.1311657092465239E-2</v>
      </c>
      <c r="E10" s="17">
        <f>'NAV Data'!E9/'NAV Data'!E8-1</f>
        <v>7.067365023314931E-2</v>
      </c>
      <c r="F10" s="17">
        <f>'NAV Data'!F9/'NAV Data'!F8-1</f>
        <v>7.1612068528675854E-2</v>
      </c>
      <c r="G10" s="17">
        <f>'NAV Data'!G9/'NAV Data'!G8-1</f>
        <v>5.2320036831201344E-2</v>
      </c>
      <c r="H10" s="5"/>
      <c r="I10" s="14">
        <v>45444</v>
      </c>
      <c r="J10" s="18">
        <f t="shared" si="7"/>
        <v>116.70619085887888</v>
      </c>
      <c r="K10" s="18">
        <f t="shared" si="8"/>
        <v>120.25626904533777</v>
      </c>
      <c r="L10" s="18">
        <f t="shared" si="9"/>
        <v>124.95682984549009</v>
      </c>
      <c r="M10" s="18">
        <f t="shared" si="10"/>
        <v>119.13141186868903</v>
      </c>
      <c r="N10" s="18">
        <f t="shared" si="11"/>
        <v>120.30408711575947</v>
      </c>
      <c r="O10" s="18">
        <f t="shared" si="12"/>
        <v>113.10218075142259</v>
      </c>
      <c r="P10" s="5"/>
      <c r="Q10" s="14">
        <v>45444</v>
      </c>
      <c r="R10" s="15">
        <f t="shared" si="13"/>
        <v>116.70619085887888</v>
      </c>
      <c r="S10" s="15">
        <f t="shared" si="14"/>
        <v>120.25626904533777</v>
      </c>
      <c r="T10" s="15">
        <f t="shared" si="15"/>
        <v>124.95682984549009</v>
      </c>
      <c r="U10" s="15">
        <f t="shared" si="16"/>
        <v>119.13141186868903</v>
      </c>
      <c r="V10" s="15">
        <f t="shared" si="17"/>
        <v>120.30408711575947</v>
      </c>
      <c r="W10" s="15">
        <f t="shared" si="18"/>
        <v>113.23648959106491</v>
      </c>
      <c r="X10" s="5"/>
      <c r="Y10" s="14">
        <v>45444</v>
      </c>
      <c r="Z10" s="16">
        <f t="shared" si="1"/>
        <v>0</v>
      </c>
      <c r="AA10" s="16">
        <f t="shared" si="2"/>
        <v>0</v>
      </c>
      <c r="AB10" s="16">
        <f t="shared" si="3"/>
        <v>0</v>
      </c>
      <c r="AC10" s="16">
        <f t="shared" si="4"/>
        <v>0</v>
      </c>
      <c r="AD10" s="16">
        <f t="shared" si="5"/>
        <v>0</v>
      </c>
      <c r="AE10" s="16">
        <f t="shared" si="6"/>
        <v>-1.1860915163244279E-3</v>
      </c>
      <c r="AF10" s="5"/>
      <c r="AG10" s="14">
        <v>45444</v>
      </c>
      <c r="AH10" s="16">
        <f t="shared" si="19"/>
        <v>1.6615391361755272E-2</v>
      </c>
      <c r="AI10" s="16">
        <f t="shared" si="20"/>
        <v>3.4605044105470606E-2</v>
      </c>
      <c r="AJ10" s="16">
        <f t="shared" si="21"/>
        <v>2.8991620261263895E-2</v>
      </c>
      <c r="AK10" s="16">
        <f t="shared" si="22"/>
        <v>1.8353613401947966E-2</v>
      </c>
      <c r="AL10" s="16">
        <f t="shared" si="23"/>
        <v>1.929203169747451E-2</v>
      </c>
      <c r="AM10" s="5"/>
      <c r="AN10" s="5"/>
      <c r="AO10" s="5"/>
      <c r="AP10" s="5"/>
      <c r="AQ10" s="5"/>
      <c r="AR10" s="5"/>
      <c r="AS10" s="5"/>
      <c r="AT10" s="5"/>
      <c r="AU10" s="5"/>
      <c r="AV10" s="5"/>
      <c r="AW10" s="5"/>
      <c r="AX10" s="5"/>
      <c r="AY10" s="5"/>
      <c r="AZ10" s="5"/>
    </row>
    <row r="11" spans="1:52">
      <c r="A11" s="14">
        <v>45474</v>
      </c>
      <c r="B11" s="17">
        <f>'NAV Data'!B10/'NAV Data'!B9-1</f>
        <v>1.0239529359785671E-2</v>
      </c>
      <c r="C11" s="17">
        <f>'NAV Data'!C10/'NAV Data'!C9-1</f>
        <v>2.8838362021397224E-3</v>
      </c>
      <c r="D11" s="17">
        <f>'NAV Data'!D10/'NAV Data'!D9-1</f>
        <v>1.6554538161860366E-2</v>
      </c>
      <c r="E11" s="17">
        <f>'NAV Data'!E10/'NAV Data'!E9-1</f>
        <v>-1.8175187335638388E-3</v>
      </c>
      <c r="F11" s="17">
        <f>'NAV Data'!F10/'NAV Data'!F9-1</f>
        <v>-1.464109562802407E-3</v>
      </c>
      <c r="G11" s="17">
        <f>'NAV Data'!G10/'NAV Data'!G9-1</f>
        <v>-1.9875000000000087E-2</v>
      </c>
      <c r="H11" s="5"/>
      <c r="I11" s="14">
        <v>45474</v>
      </c>
      <c r="J11" s="18">
        <f t="shared" si="7"/>
        <v>117.90120732664712</v>
      </c>
      <c r="K11" s="18">
        <f t="shared" si="8"/>
        <v>120.60306842754497</v>
      </c>
      <c r="L11" s="18">
        <f t="shared" si="9"/>
        <v>127.02543245375234</v>
      </c>
      <c r="M11" s="18">
        <f t="shared" si="10"/>
        <v>118.91488829586177</v>
      </c>
      <c r="N11" s="18">
        <f t="shared" si="11"/>
        <v>120.12794875136908</v>
      </c>
      <c r="O11" s="18">
        <f t="shared" si="12"/>
        <v>110.85427490898806</v>
      </c>
      <c r="P11" s="5"/>
      <c r="Q11" s="14">
        <v>45474</v>
      </c>
      <c r="R11" s="15">
        <f t="shared" si="13"/>
        <v>117.90120732664712</v>
      </c>
      <c r="S11" s="15">
        <f t="shared" si="14"/>
        <v>120.60306842754497</v>
      </c>
      <c r="T11" s="15">
        <f t="shared" si="15"/>
        <v>127.02543245375234</v>
      </c>
      <c r="U11" s="15">
        <f t="shared" si="16"/>
        <v>119.13141186868903</v>
      </c>
      <c r="V11" s="15">
        <f t="shared" si="17"/>
        <v>120.30408711575947</v>
      </c>
      <c r="W11" s="15">
        <f t="shared" si="18"/>
        <v>113.23648959106491</v>
      </c>
      <c r="X11" s="5"/>
      <c r="Y11" s="14">
        <v>45474</v>
      </c>
      <c r="Z11" s="16">
        <f t="shared" si="1"/>
        <v>0</v>
      </c>
      <c r="AA11" s="16">
        <f t="shared" si="2"/>
        <v>0</v>
      </c>
      <c r="AB11" s="16">
        <f t="shared" si="3"/>
        <v>0</v>
      </c>
      <c r="AC11" s="16">
        <f t="shared" si="4"/>
        <v>-1.8175187335638388E-3</v>
      </c>
      <c r="AD11" s="16">
        <f t="shared" si="5"/>
        <v>-1.464109562802407E-3</v>
      </c>
      <c r="AE11" s="16">
        <f t="shared" si="6"/>
        <v>-2.1037517947437467E-2</v>
      </c>
      <c r="AF11" s="5"/>
      <c r="AG11" s="14">
        <v>45474</v>
      </c>
      <c r="AH11" s="16">
        <f t="shared" si="19"/>
        <v>3.0114529359785758E-2</v>
      </c>
      <c r="AI11" s="16">
        <f t="shared" si="20"/>
        <v>2.2758836202139809E-2</v>
      </c>
      <c r="AJ11" s="16">
        <f t="shared" si="21"/>
        <v>3.6429538161860453E-2</v>
      </c>
      <c r="AK11" s="16">
        <f t="shared" si="22"/>
        <v>1.8057481266436248E-2</v>
      </c>
      <c r="AL11" s="16">
        <f t="shared" si="23"/>
        <v>1.841089043719768E-2</v>
      </c>
      <c r="AM11" s="5"/>
      <c r="AN11" s="5"/>
      <c r="AO11" s="5"/>
      <c r="AP11" s="5"/>
      <c r="AQ11" s="5"/>
      <c r="AR11" s="5"/>
      <c r="AS11" s="5"/>
      <c r="AT11" s="5"/>
      <c r="AU11" s="5"/>
      <c r="AV11" s="5"/>
      <c r="AW11" s="5"/>
      <c r="AX11" s="5"/>
      <c r="AY11" s="5"/>
      <c r="AZ11" s="5"/>
    </row>
    <row r="12" spans="1:52">
      <c r="A12" s="14">
        <v>45505</v>
      </c>
      <c r="B12" s="17">
        <f>'NAV Data'!B11/'NAV Data'!B10-1</f>
        <v>1.9148577794545485E-3</v>
      </c>
      <c r="C12" s="17">
        <f>'NAV Data'!C11/'NAV Data'!C10-1</f>
        <v>-3.8298744645691274E-2</v>
      </c>
      <c r="D12" s="17">
        <f>'NAV Data'!D11/'NAV Data'!D10-1</f>
        <v>1.8944309189250497E-3</v>
      </c>
      <c r="E12" s="17">
        <f>'NAV Data'!E11/'NAV Data'!E10-1</f>
        <v>-3.1418620783191242E-3</v>
      </c>
      <c r="F12" s="17">
        <f>'NAV Data'!F11/'NAV Data'!F10-1</f>
        <v>-2.1869758553261676E-2</v>
      </c>
      <c r="G12" s="17">
        <f>'NAV Data'!G11/'NAV Data'!G10-1</f>
        <v>-2.1999744930493503E-2</v>
      </c>
      <c r="H12" s="5"/>
      <c r="I12" s="14">
        <v>45505</v>
      </c>
      <c r="J12" s="18">
        <f t="shared" si="7"/>
        <v>118.12697137070364</v>
      </c>
      <c r="K12" s="18">
        <f t="shared" si="8"/>
        <v>115.98412230635159</v>
      </c>
      <c r="L12" s="18">
        <f t="shared" si="9"/>
        <v>127.26607336048257</v>
      </c>
      <c r="M12" s="18">
        <f t="shared" si="10"/>
        <v>118.54127411777745</v>
      </c>
      <c r="N12" s="18">
        <f t="shared" si="11"/>
        <v>117.50077951667804</v>
      </c>
      <c r="O12" s="18">
        <f t="shared" si="12"/>
        <v>108.41550913653552</v>
      </c>
      <c r="P12" s="5"/>
      <c r="Q12" s="14">
        <v>45505</v>
      </c>
      <c r="R12" s="15">
        <f t="shared" si="13"/>
        <v>118.12697137070364</v>
      </c>
      <c r="S12" s="15">
        <f t="shared" si="14"/>
        <v>120.60306842754497</v>
      </c>
      <c r="T12" s="15">
        <f t="shared" si="15"/>
        <v>127.26607336048257</v>
      </c>
      <c r="U12" s="15">
        <f t="shared" si="16"/>
        <v>119.13141186868903</v>
      </c>
      <c r="V12" s="15">
        <f t="shared" si="17"/>
        <v>120.30408711575947</v>
      </c>
      <c r="W12" s="15">
        <f t="shared" si="18"/>
        <v>113.23648959106491</v>
      </c>
      <c r="X12" s="5"/>
      <c r="Y12" s="14">
        <v>45505</v>
      </c>
      <c r="Z12" s="16">
        <f t="shared" si="1"/>
        <v>0</v>
      </c>
      <c r="AA12" s="16">
        <f t="shared" si="2"/>
        <v>-3.8298744645691274E-2</v>
      </c>
      <c r="AB12" s="16">
        <f t="shared" si="3"/>
        <v>0</v>
      </c>
      <c r="AC12" s="16">
        <f t="shared" si="4"/>
        <v>-4.9536704186974312E-3</v>
      </c>
      <c r="AD12" s="16">
        <f t="shared" si="5"/>
        <v>-2.330184839343008E-2</v>
      </c>
      <c r="AE12" s="16">
        <f t="shared" si="6"/>
        <v>-4.2574442849116712E-2</v>
      </c>
      <c r="AF12" s="5"/>
      <c r="AG12" s="14">
        <v>45505</v>
      </c>
      <c r="AH12" s="16">
        <f t="shared" si="19"/>
        <v>2.3914602709948052E-2</v>
      </c>
      <c r="AI12" s="16">
        <f t="shared" si="20"/>
        <v>-1.6298999715197771E-2</v>
      </c>
      <c r="AJ12" s="16">
        <f t="shared" si="21"/>
        <v>2.3894175849418553E-2</v>
      </c>
      <c r="AK12" s="16">
        <f t="shared" si="22"/>
        <v>1.8857882852174379E-2</v>
      </c>
      <c r="AL12" s="16">
        <f t="shared" si="23"/>
        <v>1.2998637723182771E-4</v>
      </c>
      <c r="AM12" s="5"/>
      <c r="AN12" s="5"/>
      <c r="AO12" s="5"/>
      <c r="AP12" s="5"/>
      <c r="AQ12" s="5"/>
      <c r="AR12" s="5"/>
      <c r="AS12" s="5"/>
      <c r="AT12" s="5"/>
      <c r="AU12" s="5"/>
      <c r="AV12" s="5"/>
      <c r="AW12" s="5"/>
      <c r="AX12" s="5"/>
      <c r="AY12" s="5"/>
      <c r="AZ12" s="5"/>
    </row>
    <row r="13" spans="1:52">
      <c r="A13" s="14">
        <v>45536</v>
      </c>
      <c r="B13" s="17">
        <f>'NAV Data'!B12/'NAV Data'!B11-1</f>
        <v>1.7542911018194607E-2</v>
      </c>
      <c r="C13" s="17">
        <f>'NAV Data'!C12/'NAV Data'!C11-1</f>
        <v>5.3993680664040422E-2</v>
      </c>
      <c r="D13" s="17">
        <f>'NAV Data'!D12/'NAV Data'!D11-1</f>
        <v>2.2528032514993468E-2</v>
      </c>
      <c r="E13" s="17">
        <f>'NAV Data'!E12/'NAV Data'!E11-1</f>
        <v>2.622824265080248E-2</v>
      </c>
      <c r="F13" s="17">
        <f>'NAV Data'!F12/'NAV Data'!F11-1</f>
        <v>4.7371133736304971E-2</v>
      </c>
      <c r="G13" s="17">
        <f>'NAV Data'!G12/'NAV Data'!G11-1</f>
        <v>3.9805698637282338E-2</v>
      </c>
      <c r="H13" s="5"/>
      <c r="I13" s="14">
        <v>45536</v>
      </c>
      <c r="J13" s="18">
        <f t="shared" si="7"/>
        <v>120.19926231830871</v>
      </c>
      <c r="K13" s="18">
        <f t="shared" si="8"/>
        <v>122.24653196825975</v>
      </c>
      <c r="L13" s="18">
        <f t="shared" si="9"/>
        <v>130.13312759920305</v>
      </c>
      <c r="M13" s="18">
        <f t="shared" si="10"/>
        <v>121.6504034194738</v>
      </c>
      <c r="N13" s="18">
        <f t="shared" si="11"/>
        <v>123.06692465728267</v>
      </c>
      <c r="O13" s="18">
        <f t="shared" si="12"/>
        <v>112.73106422083198</v>
      </c>
      <c r="P13" s="5"/>
      <c r="Q13" s="14">
        <v>45536</v>
      </c>
      <c r="R13" s="15">
        <f t="shared" si="13"/>
        <v>120.19926231830871</v>
      </c>
      <c r="S13" s="15">
        <f t="shared" si="14"/>
        <v>122.24653196825975</v>
      </c>
      <c r="T13" s="15">
        <f t="shared" si="15"/>
        <v>130.13312759920305</v>
      </c>
      <c r="U13" s="15">
        <f t="shared" si="16"/>
        <v>121.6504034194738</v>
      </c>
      <c r="V13" s="15">
        <f t="shared" si="17"/>
        <v>123.06692465728267</v>
      </c>
      <c r="W13" s="15">
        <f t="shared" si="18"/>
        <v>113.23648959106491</v>
      </c>
      <c r="X13" s="5"/>
      <c r="Y13" s="14">
        <v>45536</v>
      </c>
      <c r="Z13" s="16">
        <f t="shared" si="1"/>
        <v>0</v>
      </c>
      <c r="AA13" s="16">
        <f t="shared" si="2"/>
        <v>0</v>
      </c>
      <c r="AB13" s="16">
        <f t="shared" si="3"/>
        <v>0</v>
      </c>
      <c r="AC13" s="16">
        <f t="shared" si="4"/>
        <v>0</v>
      </c>
      <c r="AD13" s="16">
        <f t="shared" si="5"/>
        <v>0</v>
      </c>
      <c r="AE13" s="16">
        <f t="shared" si="6"/>
        <v>-4.4634496535365109E-3</v>
      </c>
      <c r="AF13" s="5"/>
      <c r="AG13" s="14">
        <v>45536</v>
      </c>
      <c r="AH13" s="16">
        <f t="shared" si="19"/>
        <v>-2.2262787619087732E-2</v>
      </c>
      <c r="AI13" s="16">
        <f t="shared" si="20"/>
        <v>1.4187982026758084E-2</v>
      </c>
      <c r="AJ13" s="16">
        <f t="shared" si="21"/>
        <v>-1.7277666122288871E-2</v>
      </c>
      <c r="AK13" s="16">
        <f t="shared" si="22"/>
        <v>-1.3577455986479858E-2</v>
      </c>
      <c r="AL13" s="16">
        <f t="shared" si="23"/>
        <v>7.5654350990226327E-3</v>
      </c>
      <c r="AM13" s="5"/>
      <c r="AN13" s="5"/>
      <c r="AO13" s="5"/>
      <c r="AP13" s="5"/>
      <c r="AQ13" s="5"/>
      <c r="AR13" s="5"/>
      <c r="AS13" s="5"/>
      <c r="AT13" s="5"/>
      <c r="AU13" s="5"/>
      <c r="AV13" s="5"/>
      <c r="AW13" s="5"/>
      <c r="AX13" s="5"/>
      <c r="AY13" s="5"/>
      <c r="AZ13" s="5"/>
    </row>
    <row r="14" spans="1:52">
      <c r="A14" s="14">
        <v>45566</v>
      </c>
      <c r="B14" s="17">
        <f>'NAV Data'!B13/'NAV Data'!B12-1</f>
        <v>2.4756676363864027E-3</v>
      </c>
      <c r="C14" s="17">
        <f>'NAV Data'!C13/'NAV Data'!C12-1</f>
        <v>3.0634390319674853E-3</v>
      </c>
      <c r="D14" s="17">
        <f>'NAV Data'!D13/'NAV Data'!D12-1</f>
        <v>8.1723250262186742E-3</v>
      </c>
      <c r="E14" s="17">
        <f>'NAV Data'!E13/'NAV Data'!E12-1</f>
        <v>2.3578859945782904E-2</v>
      </c>
      <c r="F14" s="17">
        <f>'NAV Data'!F13/'NAV Data'!F12-1</f>
        <v>4.5740011597379393E-3</v>
      </c>
      <c r="G14" s="17">
        <f>'NAV Data'!G13/'NAV Data'!G12-1</f>
        <v>1.285467941683649E-2</v>
      </c>
      <c r="H14" s="5"/>
      <c r="I14" s="14">
        <v>45566</v>
      </c>
      <c r="J14" s="18">
        <f t="shared" si="7"/>
        <v>120.49683574194766</v>
      </c>
      <c r="K14" s="18">
        <f t="shared" si="8"/>
        <v>122.62102676581398</v>
      </c>
      <c r="L14" s="18">
        <f t="shared" si="9"/>
        <v>131.19661781462213</v>
      </c>
      <c r="M14" s="18">
        <f t="shared" si="10"/>
        <v>124.51878124404956</v>
      </c>
      <c r="N14" s="18">
        <f t="shared" si="11"/>
        <v>123.62983291339046</v>
      </c>
      <c r="O14" s="18">
        <f t="shared" si="12"/>
        <v>114.18018591170959</v>
      </c>
      <c r="P14" s="5"/>
      <c r="Q14" s="14">
        <v>45566</v>
      </c>
      <c r="R14" s="15">
        <f t="shared" si="13"/>
        <v>120.49683574194766</v>
      </c>
      <c r="S14" s="15">
        <f t="shared" si="14"/>
        <v>122.62102676581398</v>
      </c>
      <c r="T14" s="15">
        <f t="shared" si="15"/>
        <v>131.19661781462213</v>
      </c>
      <c r="U14" s="15">
        <f t="shared" si="16"/>
        <v>124.51878124404956</v>
      </c>
      <c r="V14" s="15">
        <f t="shared" si="17"/>
        <v>123.62983291339046</v>
      </c>
      <c r="W14" s="15">
        <f t="shared" si="18"/>
        <v>114.18018591170959</v>
      </c>
      <c r="X14" s="5"/>
      <c r="Y14" s="14">
        <v>45566</v>
      </c>
      <c r="Z14" s="16">
        <f t="shared" si="1"/>
        <v>0</v>
      </c>
      <c r="AA14" s="16">
        <f t="shared" si="2"/>
        <v>0</v>
      </c>
      <c r="AB14" s="16">
        <f t="shared" si="3"/>
        <v>0</v>
      </c>
      <c r="AC14" s="16">
        <f t="shared" si="4"/>
        <v>0</v>
      </c>
      <c r="AD14" s="16">
        <f t="shared" si="5"/>
        <v>0</v>
      </c>
      <c r="AE14" s="16">
        <f t="shared" si="6"/>
        <v>0</v>
      </c>
      <c r="AF14" s="5"/>
      <c r="AG14" s="14">
        <v>45566</v>
      </c>
      <c r="AH14" s="16">
        <f t="shared" si="19"/>
        <v>-1.0379011780450087E-2</v>
      </c>
      <c r="AI14" s="16">
        <f t="shared" si="20"/>
        <v>-9.7912403848690044E-3</v>
      </c>
      <c r="AJ14" s="16">
        <f t="shared" si="21"/>
        <v>-4.6823543906178156E-3</v>
      </c>
      <c r="AK14" s="16">
        <f t="shared" si="22"/>
        <v>1.0724180528946414E-2</v>
      </c>
      <c r="AL14" s="16">
        <f t="shared" si="23"/>
        <v>-8.2806782570985504E-3</v>
      </c>
      <c r="AM14" s="5"/>
      <c r="AN14" s="5"/>
      <c r="AO14" s="5"/>
      <c r="AP14" s="5"/>
      <c r="AQ14" s="5"/>
      <c r="AR14" s="5"/>
      <c r="AS14" s="5"/>
      <c r="AT14" s="5"/>
      <c r="AU14" s="5"/>
      <c r="AV14" s="5"/>
      <c r="AW14" s="5"/>
      <c r="AX14" s="5"/>
      <c r="AY14" s="5"/>
      <c r="AZ14" s="5"/>
    </row>
    <row r="15" spans="1:52">
      <c r="A15" s="14">
        <v>45597</v>
      </c>
      <c r="B15" s="17">
        <f>'NAV Data'!B14/'NAV Data'!B13-1</f>
        <v>-1.0925213672467904E-2</v>
      </c>
      <c r="C15" s="17">
        <f>'NAV Data'!C14/'NAV Data'!C13-1</f>
        <v>-1.7928807000283431E-2</v>
      </c>
      <c r="D15" s="17">
        <f>'NAV Data'!D14/'NAV Data'!D13-1</f>
        <v>-1.37846726345906E-2</v>
      </c>
      <c r="E15" s="17">
        <f>'NAV Data'!E14/'NAV Data'!E13-1</f>
        <v>-1.7393963808413071E-2</v>
      </c>
      <c r="F15" s="17">
        <f>'NAV Data'!F14/'NAV Data'!F13-1</f>
        <v>-1.6325494051807388E-2</v>
      </c>
      <c r="G15" s="17">
        <f>'NAV Data'!G14/'NAV Data'!G13-1</f>
        <v>-2.887323943661968E-2</v>
      </c>
      <c r="H15" s="5"/>
      <c r="I15" s="14">
        <v>45597</v>
      </c>
      <c r="J15" s="18">
        <f t="shared" si="7"/>
        <v>119.18038206461061</v>
      </c>
      <c r="K15" s="18">
        <f t="shared" si="8"/>
        <v>120.42257804275312</v>
      </c>
      <c r="L15" s="18">
        <f t="shared" si="9"/>
        <v>129.38811538728206</v>
      </c>
      <c r="M15" s="18">
        <f t="shared" si="10"/>
        <v>122.35290606962286</v>
      </c>
      <c r="N15" s="18">
        <f t="shared" si="11"/>
        <v>121.61151481153696</v>
      </c>
      <c r="O15" s="18">
        <f t="shared" si="12"/>
        <v>110.88343406496304</v>
      </c>
      <c r="P15" s="5"/>
      <c r="Q15" s="14">
        <v>45597</v>
      </c>
      <c r="R15" s="15">
        <f t="shared" si="13"/>
        <v>120.49683574194766</v>
      </c>
      <c r="S15" s="15">
        <f t="shared" si="14"/>
        <v>122.62102676581398</v>
      </c>
      <c r="T15" s="15">
        <f t="shared" si="15"/>
        <v>131.19661781462213</v>
      </c>
      <c r="U15" s="15">
        <f t="shared" si="16"/>
        <v>124.51878124404956</v>
      </c>
      <c r="V15" s="15">
        <f t="shared" si="17"/>
        <v>123.62983291339046</v>
      </c>
      <c r="W15" s="15">
        <f t="shared" si="18"/>
        <v>114.18018591170959</v>
      </c>
      <c r="X15" s="5"/>
      <c r="Y15" s="14">
        <v>45597</v>
      </c>
      <c r="Z15" s="16">
        <f t="shared" si="1"/>
        <v>-1.0925213672467904E-2</v>
      </c>
      <c r="AA15" s="16">
        <f t="shared" si="2"/>
        <v>-1.7928807000283431E-2</v>
      </c>
      <c r="AB15" s="16">
        <f t="shared" si="3"/>
        <v>-1.3784672634590711E-2</v>
      </c>
      <c r="AC15" s="16">
        <f t="shared" si="4"/>
        <v>-1.7393963808413071E-2</v>
      </c>
      <c r="AD15" s="16">
        <f t="shared" si="5"/>
        <v>-1.6325494051807388E-2</v>
      </c>
      <c r="AE15" s="16">
        <f t="shared" si="6"/>
        <v>-2.887323943661968E-2</v>
      </c>
      <c r="AF15" s="5"/>
      <c r="AG15" s="14">
        <v>45597</v>
      </c>
      <c r="AH15" s="16">
        <f t="shared" si="19"/>
        <v>1.7948025764151776E-2</v>
      </c>
      <c r="AI15" s="16">
        <f t="shared" si="20"/>
        <v>1.0944432436336249E-2</v>
      </c>
      <c r="AJ15" s="16">
        <f t="shared" si="21"/>
        <v>1.508856680202908E-2</v>
      </c>
      <c r="AK15" s="16">
        <f t="shared" si="22"/>
        <v>1.1479275628206609E-2</v>
      </c>
      <c r="AL15" s="16">
        <f t="shared" si="23"/>
        <v>1.2547745384812292E-2</v>
      </c>
      <c r="AM15" s="5"/>
      <c r="AN15" s="5"/>
      <c r="AO15" s="5"/>
      <c r="AP15" s="5"/>
      <c r="AQ15" s="5"/>
      <c r="AR15" s="5"/>
      <c r="AS15" s="5"/>
      <c r="AT15" s="5"/>
      <c r="AU15" s="5"/>
      <c r="AV15" s="5"/>
      <c r="AW15" s="5"/>
      <c r="AX15" s="5"/>
      <c r="AY15" s="5"/>
      <c r="AZ15" s="5"/>
    </row>
    <row r="16" spans="1:52">
      <c r="A16" s="14">
        <v>45627</v>
      </c>
      <c r="B16" s="17">
        <f>'NAV Data'!B15/'NAV Data'!B14-1</f>
        <v>-1.8053068485701651E-3</v>
      </c>
      <c r="C16" s="17">
        <f>'NAV Data'!C15/'NAV Data'!C14-1</f>
        <v>-1.0698218055225084E-3</v>
      </c>
      <c r="D16" s="17">
        <f>'NAV Data'!D15/'NAV Data'!D14-1</f>
        <v>3.9001491055059567E-3</v>
      </c>
      <c r="E16" s="17">
        <f>'NAV Data'!E15/'NAV Data'!E14-1</f>
        <v>1.0865651846199809E-2</v>
      </c>
      <c r="F16" s="17">
        <f>'NAV Data'!F15/'NAV Data'!F14-1</f>
        <v>-1.2039346374576931E-2</v>
      </c>
      <c r="G16" s="17">
        <f>'NAV Data'!G15/'NAV Data'!G14-1</f>
        <v>-2.9325279506571267E-3</v>
      </c>
      <c r="H16" s="5"/>
      <c r="I16" s="14">
        <v>45627</v>
      </c>
      <c r="J16" s="18">
        <f t="shared" si="7"/>
        <v>118.96522490465416</v>
      </c>
      <c r="K16" s="18">
        <f t="shared" si="8"/>
        <v>120.29374734288574</v>
      </c>
      <c r="L16" s="18">
        <f t="shared" si="9"/>
        <v>129.89274832977287</v>
      </c>
      <c r="M16" s="18">
        <f t="shared" si="10"/>
        <v>123.68235014934618</v>
      </c>
      <c r="N16" s="18">
        <f t="shared" si="11"/>
        <v>120.14739166158388</v>
      </c>
      <c r="O16" s="18">
        <f t="shared" si="12"/>
        <v>110.55826529530269</v>
      </c>
      <c r="P16" s="5"/>
      <c r="Q16" s="14">
        <v>45627</v>
      </c>
      <c r="R16" s="15">
        <f t="shared" si="13"/>
        <v>120.49683574194766</v>
      </c>
      <c r="S16" s="15">
        <f t="shared" si="14"/>
        <v>122.62102676581398</v>
      </c>
      <c r="T16" s="15">
        <f t="shared" si="15"/>
        <v>131.19661781462213</v>
      </c>
      <c r="U16" s="15">
        <f t="shared" si="16"/>
        <v>124.51878124404956</v>
      </c>
      <c r="V16" s="15">
        <f t="shared" si="17"/>
        <v>123.62983291339046</v>
      </c>
      <c r="W16" s="15">
        <f t="shared" si="18"/>
        <v>114.18018591170959</v>
      </c>
      <c r="X16" s="5"/>
      <c r="Y16" s="14">
        <v>45627</v>
      </c>
      <c r="Z16" s="16">
        <f t="shared" si="1"/>
        <v>-1.2710797157973075E-2</v>
      </c>
      <c r="AA16" s="16">
        <f t="shared" si="2"/>
        <v>-1.8979448177130043E-2</v>
      </c>
      <c r="AB16" s="16">
        <f t="shared" si="3"/>
        <v>-9.9382858077301517E-3</v>
      </c>
      <c r="AC16" s="16">
        <f t="shared" si="4"/>
        <v>-6.7173087171807921E-3</v>
      </c>
      <c r="AD16" s="16">
        <f t="shared" si="5"/>
        <v>-2.8168292148758489E-2</v>
      </c>
      <c r="AE16" s="16">
        <f t="shared" si="6"/>
        <v>-3.1721095805603006E-2</v>
      </c>
      <c r="AF16" s="5"/>
      <c r="AG16" s="14">
        <v>45627</v>
      </c>
      <c r="AH16" s="16">
        <f t="shared" si="19"/>
        <v>1.1272211020869616E-3</v>
      </c>
      <c r="AI16" s="16">
        <f t="shared" si="20"/>
        <v>1.8627061451346183E-3</v>
      </c>
      <c r="AJ16" s="16">
        <f t="shared" si="21"/>
        <v>6.8326770561630834E-3</v>
      </c>
      <c r="AK16" s="16">
        <f t="shared" si="22"/>
        <v>1.3798179796856935E-2</v>
      </c>
      <c r="AL16" s="16">
        <f t="shared" si="23"/>
        <v>-9.1068184239198047E-3</v>
      </c>
      <c r="AM16" s="5"/>
      <c r="AN16" s="5"/>
      <c r="AO16" s="5"/>
      <c r="AP16" s="5"/>
      <c r="AQ16" s="5"/>
      <c r="AR16" s="5"/>
      <c r="AS16" s="5"/>
      <c r="AT16" s="5"/>
      <c r="AU16" s="5"/>
      <c r="AV16" s="5"/>
      <c r="AW16" s="5"/>
      <c r="AX16" s="5"/>
      <c r="AY16" s="5"/>
      <c r="AZ16" s="5"/>
    </row>
    <row r="17" spans="1:52">
      <c r="A17" s="14">
        <v>45658</v>
      </c>
      <c r="B17" s="17">
        <f>'NAV Data'!B16/'NAV Data'!B15-1</f>
        <v>2.7484240076039557E-2</v>
      </c>
      <c r="C17" s="17">
        <f>'NAV Data'!C16/'NAV Data'!C15-1</f>
        <v>2.6774819174933739E-2</v>
      </c>
      <c r="D17" s="17">
        <f>'NAV Data'!D16/'NAV Data'!D15-1</f>
        <v>2.7678904365372015E-2</v>
      </c>
      <c r="E17" s="17">
        <f>'NAV Data'!E16/'NAV Data'!E15-1</f>
        <v>2.7117006392789023E-2</v>
      </c>
      <c r="F17" s="17">
        <f>'NAV Data'!F16/'NAV Data'!F15-1</f>
        <v>2.4529747120705103E-2</v>
      </c>
      <c r="G17" s="17">
        <f>'NAV Data'!G16/'NAV Data'!G15-1</f>
        <v>1.4785687454544005E-2</v>
      </c>
      <c r="H17" s="5"/>
      <c r="I17" s="14">
        <v>45658</v>
      </c>
      <c r="J17" s="18">
        <f t="shared" si="7"/>
        <v>122.23489370663371</v>
      </c>
      <c r="K17" s="18">
        <f t="shared" si="8"/>
        <v>123.51459067586667</v>
      </c>
      <c r="L17" s="18">
        <f t="shared" si="9"/>
        <v>133.48803728854799</v>
      </c>
      <c r="M17" s="18">
        <f t="shared" si="10"/>
        <v>127.03624522902116</v>
      </c>
      <c r="N17" s="18">
        <f t="shared" si="11"/>
        <v>123.09457679625484</v>
      </c>
      <c r="O17" s="18">
        <f t="shared" si="12"/>
        <v>112.19294525147559</v>
      </c>
      <c r="P17" s="5"/>
      <c r="Q17" s="14">
        <v>45658</v>
      </c>
      <c r="R17" s="15">
        <f t="shared" si="13"/>
        <v>122.23489370663371</v>
      </c>
      <c r="S17" s="15">
        <f t="shared" si="14"/>
        <v>123.51459067586667</v>
      </c>
      <c r="T17" s="15">
        <f t="shared" si="15"/>
        <v>133.48803728854799</v>
      </c>
      <c r="U17" s="15">
        <f t="shared" si="16"/>
        <v>127.03624522902116</v>
      </c>
      <c r="V17" s="15">
        <f t="shared" si="17"/>
        <v>123.62983291339046</v>
      </c>
      <c r="W17" s="15">
        <f t="shared" si="18"/>
        <v>114.18018591170959</v>
      </c>
      <c r="X17" s="5"/>
      <c r="Y17" s="14">
        <v>45658</v>
      </c>
      <c r="Z17" s="16">
        <f t="shared" si="1"/>
        <v>0</v>
      </c>
      <c r="AA17" s="16">
        <f t="shared" si="2"/>
        <v>0</v>
      </c>
      <c r="AB17" s="16">
        <f t="shared" si="3"/>
        <v>0</v>
      </c>
      <c r="AC17" s="16">
        <f t="shared" si="4"/>
        <v>0</v>
      </c>
      <c r="AD17" s="16">
        <f t="shared" si="5"/>
        <v>-4.3295061112845756E-3</v>
      </c>
      <c r="AE17" s="16">
        <f t="shared" si="6"/>
        <v>-1.7404426559356256E-2</v>
      </c>
      <c r="AF17" s="5"/>
      <c r="AG17" s="14">
        <v>45658</v>
      </c>
      <c r="AH17" s="16">
        <f t="shared" si="19"/>
        <v>1.2698552621495551E-2</v>
      </c>
      <c r="AI17" s="16">
        <f t="shared" si="20"/>
        <v>1.1989131720389734E-2</v>
      </c>
      <c r="AJ17" s="16">
        <f t="shared" si="21"/>
        <v>1.2893216910828009E-2</v>
      </c>
      <c r="AK17" s="16">
        <f t="shared" si="22"/>
        <v>1.2331318938245017E-2</v>
      </c>
      <c r="AL17" s="16">
        <f t="shared" si="23"/>
        <v>9.7440596661610979E-3</v>
      </c>
      <c r="AM17" s="5"/>
      <c r="AN17" s="5"/>
      <c r="AO17" s="5"/>
      <c r="AP17" s="5"/>
      <c r="AQ17" s="5"/>
      <c r="AR17" s="5"/>
      <c r="AS17" s="5"/>
      <c r="AT17" s="5"/>
      <c r="AU17" s="5"/>
      <c r="AV17" s="5"/>
      <c r="AW17" s="5"/>
      <c r="AX17" s="5"/>
      <c r="AY17" s="5"/>
      <c r="AZ17" s="5"/>
    </row>
    <row r="18" spans="1:52">
      <c r="A18" s="14">
        <v>45689</v>
      </c>
      <c r="B18" s="17">
        <f>'NAV Data'!B17/'NAV Data'!B16-1</f>
        <v>-6.7478336435894404E-3</v>
      </c>
      <c r="C18" s="17">
        <f>'NAV Data'!C17/'NAV Data'!C16-1</f>
        <v>-9.5242820010705831E-3</v>
      </c>
      <c r="D18" s="17">
        <f>'NAV Data'!D17/'NAV Data'!D16-1</f>
        <v>-2.7687529047896176E-3</v>
      </c>
      <c r="E18" s="17">
        <f>'NAV Data'!E17/'NAV Data'!E16-1</f>
        <v>-1.4852674323103221E-2</v>
      </c>
      <c r="F18" s="17">
        <f>'NAV Data'!F17/'NAV Data'!F16-1</f>
        <v>-3.218690165093907E-3</v>
      </c>
      <c r="G18" s="17">
        <f>'NAV Data'!G17/'NAV Data'!G16-1</f>
        <v>-1.313685802269815E-2</v>
      </c>
      <c r="H18" s="5"/>
      <c r="I18" s="14">
        <v>45689</v>
      </c>
      <c r="J18" s="18">
        <f t="shared" si="7"/>
        <v>121.41007297845951</v>
      </c>
      <c r="K18" s="18">
        <f t="shared" si="8"/>
        <v>122.33820288302292</v>
      </c>
      <c r="L18" s="18">
        <f t="shared" si="9"/>
        <v>133.11844189755067</v>
      </c>
      <c r="M18" s="18">
        <f t="shared" si="10"/>
        <v>125.14941725140463</v>
      </c>
      <c r="N18" s="18">
        <f t="shared" si="11"/>
        <v>122.69837349254433</v>
      </c>
      <c r="O18" s="18">
        <f t="shared" si="12"/>
        <v>110.71908245855862</v>
      </c>
      <c r="P18" s="5"/>
      <c r="Q18" s="14">
        <v>45689</v>
      </c>
      <c r="R18" s="15">
        <f t="shared" si="13"/>
        <v>122.23489370663371</v>
      </c>
      <c r="S18" s="15">
        <f t="shared" si="14"/>
        <v>123.51459067586667</v>
      </c>
      <c r="T18" s="15">
        <f t="shared" si="15"/>
        <v>133.48803728854799</v>
      </c>
      <c r="U18" s="15">
        <f t="shared" si="16"/>
        <v>127.03624522902116</v>
      </c>
      <c r="V18" s="15">
        <f t="shared" si="17"/>
        <v>123.62983291339046</v>
      </c>
      <c r="W18" s="15">
        <f t="shared" si="18"/>
        <v>114.18018591170959</v>
      </c>
      <c r="X18" s="5"/>
      <c r="Y18" s="14">
        <v>45689</v>
      </c>
      <c r="Z18" s="16">
        <f t="shared" si="1"/>
        <v>-6.7478336435894404E-3</v>
      </c>
      <c r="AA18" s="16">
        <f t="shared" si="2"/>
        <v>-9.5242820010705831E-3</v>
      </c>
      <c r="AB18" s="16">
        <f t="shared" si="3"/>
        <v>-2.7687529047895065E-3</v>
      </c>
      <c r="AC18" s="16">
        <f t="shared" si="4"/>
        <v>-1.4852674323103332E-2</v>
      </c>
      <c r="AD18" s="16">
        <f t="shared" si="5"/>
        <v>-7.5342609376384262E-3</v>
      </c>
      <c r="AE18" s="16">
        <f t="shared" si="6"/>
        <v>-3.0312645101377655E-2</v>
      </c>
      <c r="AF18" s="5"/>
      <c r="AG18" s="14">
        <v>45689</v>
      </c>
      <c r="AH18" s="16">
        <f t="shared" si="19"/>
        <v>6.3890243791087098E-3</v>
      </c>
      <c r="AI18" s="16">
        <f t="shared" si="20"/>
        <v>3.6125760216275671E-3</v>
      </c>
      <c r="AJ18" s="16">
        <f t="shared" si="21"/>
        <v>1.0368105117908533E-2</v>
      </c>
      <c r="AK18" s="16">
        <f t="shared" si="22"/>
        <v>-1.7158163004050708E-3</v>
      </c>
      <c r="AL18" s="16">
        <f t="shared" si="23"/>
        <v>9.9181678576042431E-3</v>
      </c>
      <c r="AM18" s="5"/>
      <c r="AN18" s="5"/>
      <c r="AO18" s="5"/>
      <c r="AP18" s="5"/>
      <c r="AQ18" s="5"/>
      <c r="AR18" s="5"/>
      <c r="AS18" s="5"/>
      <c r="AT18" s="5"/>
      <c r="AU18" s="5"/>
      <c r="AV18" s="5"/>
      <c r="AW18" s="5"/>
      <c r="AX18" s="5"/>
      <c r="AY18" s="5"/>
      <c r="AZ18" s="5"/>
    </row>
    <row r="19" spans="1:52">
      <c r="A19" s="14">
        <v>45717</v>
      </c>
      <c r="B19" s="17">
        <f>'NAV Data'!B18/'NAV Data'!B17-1</f>
        <v>6.7330952820505718E-3</v>
      </c>
      <c r="C19" s="17">
        <f>'NAV Data'!C18/'NAV Data'!C17-1</f>
        <v>1.0318698130657999E-2</v>
      </c>
      <c r="D19" s="17">
        <f>'NAV Data'!D18/'NAV Data'!D17-1</f>
        <v>1.9594036832484951E-2</v>
      </c>
      <c r="E19" s="17">
        <f>'NAV Data'!E18/'NAV Data'!E17-1</f>
        <v>2.8250781463781127E-2</v>
      </c>
      <c r="F19" s="17">
        <f>'NAV Data'!F18/'NAV Data'!F17-1</f>
        <v>4.0560153859787729E-3</v>
      </c>
      <c r="G19" s="17">
        <f>'NAV Data'!G18/'NAV Data'!G17-1</f>
        <v>4.4963009664573006E-2</v>
      </c>
      <c r="H19" s="5"/>
      <c r="I19" s="14">
        <v>45717</v>
      </c>
      <c r="J19" s="18">
        <f t="shared" si="7"/>
        <v>122.22753856802419</v>
      </c>
      <c r="K19" s="18">
        <f t="shared" si="8"/>
        <v>123.60057386842003</v>
      </c>
      <c r="L19" s="18">
        <f t="shared" si="9"/>
        <v>135.72676955117427</v>
      </c>
      <c r="M19" s="18">
        <f t="shared" si="10"/>
        <v>128.68498608849362</v>
      </c>
      <c r="N19" s="18">
        <f t="shared" si="11"/>
        <v>123.19603998326467</v>
      </c>
      <c r="O19" s="18">
        <f t="shared" si="12"/>
        <v>115.69734563319544</v>
      </c>
      <c r="P19" s="5"/>
      <c r="Q19" s="14">
        <v>45717</v>
      </c>
      <c r="R19" s="15">
        <f t="shared" si="13"/>
        <v>122.23489370663371</v>
      </c>
      <c r="S19" s="15">
        <f t="shared" si="14"/>
        <v>123.60057386842003</v>
      </c>
      <c r="T19" s="15">
        <f t="shared" si="15"/>
        <v>135.72676955117427</v>
      </c>
      <c r="U19" s="15">
        <f t="shared" si="16"/>
        <v>128.68498608849362</v>
      </c>
      <c r="V19" s="15">
        <f t="shared" si="17"/>
        <v>123.62983291339046</v>
      </c>
      <c r="W19" s="15">
        <f t="shared" si="18"/>
        <v>115.69734563319544</v>
      </c>
      <c r="X19" s="5"/>
      <c r="Y19" s="14">
        <v>45717</v>
      </c>
      <c r="Z19" s="16">
        <f t="shared" si="1"/>
        <v>-6.0172168408589854E-5</v>
      </c>
      <c r="AA19" s="16">
        <f t="shared" si="2"/>
        <v>0</v>
      </c>
      <c r="AB19" s="16">
        <f t="shared" si="3"/>
        <v>0</v>
      </c>
      <c r="AC19" s="16">
        <f t="shared" si="4"/>
        <v>0</v>
      </c>
      <c r="AD19" s="16">
        <f t="shared" si="5"/>
        <v>-3.5088046299446285E-3</v>
      </c>
      <c r="AE19" s="16">
        <f t="shared" si="6"/>
        <v>0</v>
      </c>
      <c r="AF19" s="5"/>
      <c r="AG19" s="14">
        <v>45717</v>
      </c>
      <c r="AH19" s="16">
        <f t="shared" si="19"/>
        <v>-3.8229914382522434E-2</v>
      </c>
      <c r="AI19" s="16">
        <f t="shared" si="20"/>
        <v>-3.4644311533915007E-2</v>
      </c>
      <c r="AJ19" s="16">
        <f t="shared" si="21"/>
        <v>-2.5368972832088055E-2</v>
      </c>
      <c r="AK19" s="16">
        <f t="shared" si="22"/>
        <v>-1.6712228200791879E-2</v>
      </c>
      <c r="AL19" s="16">
        <f t="shared" si="23"/>
        <v>-4.0906994278594233E-2</v>
      </c>
      <c r="AM19" s="5"/>
      <c r="AN19" s="5"/>
      <c r="AO19" s="5"/>
      <c r="AP19" s="5"/>
      <c r="AQ19" s="5"/>
      <c r="AR19" s="5"/>
      <c r="AS19" s="5"/>
      <c r="AT19" s="5"/>
      <c r="AU19" s="5"/>
      <c r="AV19" s="5"/>
      <c r="AW19" s="5"/>
      <c r="AX19" s="5"/>
      <c r="AY19" s="5"/>
      <c r="AZ19" s="5"/>
    </row>
    <row r="20" spans="1:52">
      <c r="A20" s="14">
        <v>45748</v>
      </c>
      <c r="B20" s="17">
        <f>'NAV Data'!B19/'NAV Data'!B18-1</f>
        <v>-3.8966990729127793E-2</v>
      </c>
      <c r="C20" s="17">
        <f>'NAV Data'!C19/'NAV Data'!C18-1</f>
        <v>-2.0267830957017785E-2</v>
      </c>
      <c r="D20" s="17">
        <f>'NAV Data'!D19/'NAV Data'!D18-1</f>
        <v>-2.7506497474502845E-2</v>
      </c>
      <c r="E20" s="17">
        <f>'NAV Data'!E19/'NAV Data'!E18-1</f>
        <v>-3.0511815371024764E-2</v>
      </c>
      <c r="F20" s="17">
        <f>'NAV Data'!F19/'NAV Data'!F18-1</f>
        <v>-3.007072714519532E-2</v>
      </c>
      <c r="G20" s="17">
        <f>'NAV Data'!G19/'NAV Data'!G18-1</f>
        <v>6.0792594912058018E-3</v>
      </c>
      <c r="H20" s="5"/>
      <c r="I20" s="14">
        <v>45748</v>
      </c>
      <c r="J20" s="18">
        <f t="shared" si="7"/>
        <v>117.46469920579987</v>
      </c>
      <c r="K20" s="18">
        <f t="shared" si="8"/>
        <v>121.09545833106451</v>
      </c>
      <c r="L20" s="18">
        <f t="shared" si="9"/>
        <v>131.99340150729248</v>
      </c>
      <c r="M20" s="18">
        <f t="shared" si="10"/>
        <v>124.75857355193861</v>
      </c>
      <c r="N20" s="18">
        <f t="shared" si="11"/>
        <v>119.49144547955935</v>
      </c>
      <c r="O20" s="18">
        <f t="shared" si="12"/>
        <v>116.40069981974337</v>
      </c>
      <c r="P20" s="5"/>
      <c r="Q20" s="14">
        <v>45748</v>
      </c>
      <c r="R20" s="15">
        <f t="shared" si="13"/>
        <v>122.23489370663371</v>
      </c>
      <c r="S20" s="15">
        <f t="shared" si="14"/>
        <v>123.60057386842003</v>
      </c>
      <c r="T20" s="15">
        <f t="shared" si="15"/>
        <v>135.72676955117427</v>
      </c>
      <c r="U20" s="15">
        <f t="shared" si="16"/>
        <v>128.68498608849362</v>
      </c>
      <c r="V20" s="15">
        <f t="shared" si="17"/>
        <v>123.62983291339046</v>
      </c>
      <c r="W20" s="15">
        <f t="shared" si="18"/>
        <v>116.40069981974337</v>
      </c>
      <c r="X20" s="5"/>
      <c r="Y20" s="14">
        <v>45748</v>
      </c>
      <c r="Z20" s="16">
        <f t="shared" si="1"/>
        <v>-3.9024818169207887E-2</v>
      </c>
      <c r="AA20" s="16">
        <f t="shared" si="2"/>
        <v>-2.0267830957017785E-2</v>
      </c>
      <c r="AB20" s="16">
        <f t="shared" si="3"/>
        <v>-2.7506497474502734E-2</v>
      </c>
      <c r="AC20" s="16">
        <f t="shared" si="4"/>
        <v>-3.0511815371024764E-2</v>
      </c>
      <c r="AD20" s="16">
        <f t="shared" si="5"/>
        <v>-3.3474019468507143E-2</v>
      </c>
      <c r="AE20" s="16">
        <f t="shared" si="6"/>
        <v>0</v>
      </c>
      <c r="AF20" s="5"/>
      <c r="AG20" s="14">
        <v>45748</v>
      </c>
      <c r="AH20" s="16">
        <f t="shared" si="19"/>
        <v>-4.5046250220333595E-2</v>
      </c>
      <c r="AI20" s="16">
        <f t="shared" si="20"/>
        <v>-2.6347090448223587E-2</v>
      </c>
      <c r="AJ20" s="16">
        <f t="shared" si="21"/>
        <v>-3.3585756965708646E-2</v>
      </c>
      <c r="AK20" s="16">
        <f t="shared" si="22"/>
        <v>-3.6591074862230566E-2</v>
      </c>
      <c r="AL20" s="16">
        <f t="shared" si="23"/>
        <v>-3.6149986636401121E-2</v>
      </c>
      <c r="AM20" s="5"/>
      <c r="AN20" s="5"/>
      <c r="AO20" s="5"/>
      <c r="AP20" s="5"/>
      <c r="AQ20" s="5"/>
      <c r="AR20" s="5"/>
      <c r="AS20" s="5"/>
      <c r="AT20" s="5"/>
      <c r="AU20" s="5"/>
      <c r="AV20" s="5"/>
      <c r="AW20" s="5"/>
      <c r="AX20" s="5"/>
      <c r="AY20" s="5"/>
      <c r="AZ20" s="5"/>
    </row>
    <row r="21" spans="1:52">
      <c r="A21" s="14">
        <v>45778</v>
      </c>
      <c r="B21" s="17">
        <f>'NAV Data'!B20/'NAV Data'!B19-1</f>
        <v>-8.2373637325042659E-2</v>
      </c>
      <c r="C21" s="17">
        <f>'NAV Data'!C20/'NAV Data'!C19-1</f>
        <v>-4.0496848448472567E-2</v>
      </c>
      <c r="D21" s="17">
        <f>'NAV Data'!D20/'NAV Data'!D19-1</f>
        <v>-8.8567166841761025E-2</v>
      </c>
      <c r="E21" s="17">
        <f>'NAV Data'!E20/'NAV Data'!E19-1</f>
        <v>-4.2082660140995931E-2</v>
      </c>
      <c r="F21" s="17">
        <f>'NAV Data'!F20/'NAV Data'!F19-1</f>
        <v>-6.4562435404117879E-2</v>
      </c>
      <c r="G21" s="17">
        <f>'NAV Data'!G20/'NAV Data'!G19-1</f>
        <v>-5.8664116052925208E-2</v>
      </c>
      <c r="H21" s="5"/>
      <c r="I21" s="14">
        <v>45778</v>
      </c>
      <c r="J21" s="18">
        <f t="shared" si="7"/>
        <v>107.78870467492609</v>
      </c>
      <c r="K21" s="18">
        <f t="shared" si="8"/>
        <v>116.19147390723306</v>
      </c>
      <c r="L21" s="18">
        <f t="shared" si="9"/>
        <v>120.30311989398456</v>
      </c>
      <c r="M21" s="18">
        <f t="shared" si="10"/>
        <v>119.50840090147693</v>
      </c>
      <c r="N21" s="18">
        <f t="shared" si="11"/>
        <v>111.77678674944062</v>
      </c>
      <c r="O21" s="18">
        <f t="shared" si="12"/>
        <v>109.57215565687623</v>
      </c>
      <c r="P21" s="5"/>
      <c r="Q21" s="14">
        <v>45778</v>
      </c>
      <c r="R21" s="15">
        <f t="shared" si="13"/>
        <v>122.23489370663371</v>
      </c>
      <c r="S21" s="15">
        <f t="shared" si="14"/>
        <v>123.60057386842003</v>
      </c>
      <c r="T21" s="15">
        <f t="shared" si="15"/>
        <v>135.72676955117427</v>
      </c>
      <c r="U21" s="15">
        <f t="shared" si="16"/>
        <v>128.68498608849362</v>
      </c>
      <c r="V21" s="15">
        <f t="shared" si="17"/>
        <v>123.62983291339046</v>
      </c>
      <c r="W21" s="15">
        <f t="shared" si="18"/>
        <v>116.40069981974337</v>
      </c>
      <c r="X21" s="5"/>
      <c r="Y21" s="14">
        <v>45778</v>
      </c>
      <c r="Z21" s="16">
        <f t="shared" si="1"/>
        <v>-0.11818383927570442</v>
      </c>
      <c r="AA21" s="16">
        <f t="shared" si="2"/>
        <v>-5.9943896126844698E-2</v>
      </c>
      <c r="AB21" s="16">
        <f t="shared" si="3"/>
        <v>-0.11363749176520699</v>
      </c>
      <c r="AC21" s="16">
        <f t="shared" si="4"/>
        <v>-7.1310457155477014E-2</v>
      </c>
      <c r="AD21" s="16">
        <f t="shared" si="5"/>
        <v>-9.5875290652973399E-2</v>
      </c>
      <c r="AE21" s="16">
        <f t="shared" si="6"/>
        <v>-5.8664116052925208E-2</v>
      </c>
      <c r="AF21" s="5"/>
      <c r="AG21" s="14">
        <v>45778</v>
      </c>
      <c r="AH21" s="16">
        <f t="shared" si="19"/>
        <v>-2.3709521272117451E-2</v>
      </c>
      <c r="AI21" s="16">
        <f t="shared" si="20"/>
        <v>1.8167267604452642E-2</v>
      </c>
      <c r="AJ21" s="16">
        <f t="shared" si="21"/>
        <v>-2.9903050788835817E-2</v>
      </c>
      <c r="AK21" s="16">
        <f t="shared" si="22"/>
        <v>1.6581455911929277E-2</v>
      </c>
      <c r="AL21" s="16">
        <f t="shared" si="23"/>
        <v>-5.8983193511926713E-3</v>
      </c>
      <c r="AM21" s="5"/>
      <c r="AN21" s="5"/>
      <c r="AO21" s="5"/>
      <c r="AP21" s="5"/>
      <c r="AQ21" s="5"/>
      <c r="AR21" s="5"/>
      <c r="AS21" s="5"/>
      <c r="AT21" s="5"/>
      <c r="AU21" s="5"/>
      <c r="AV21" s="5"/>
      <c r="AW21" s="5"/>
      <c r="AX21" s="5"/>
      <c r="AY21" s="5"/>
      <c r="AZ21" s="5"/>
    </row>
    <row r="22" spans="1:52">
      <c r="A22" s="14">
        <v>45809</v>
      </c>
      <c r="B22" s="17">
        <f>'NAV Data'!B21/'NAV Data'!B20-1</f>
        <v>5.969053608137842E-2</v>
      </c>
      <c r="C22" s="17">
        <f>'NAV Data'!C21/'NAV Data'!C20-1</f>
        <v>0.11430908782604976</v>
      </c>
      <c r="D22" s="17">
        <f>'NAV Data'!D21/'NAV Data'!D20-1</f>
        <v>6.470570644860496E-2</v>
      </c>
      <c r="E22" s="17">
        <f>'NAV Data'!E21/'NAV Data'!E20-1</f>
        <v>6.1324253102998272E-2</v>
      </c>
      <c r="F22" s="17">
        <f>'NAV Data'!F21/'NAV Data'!F20-1</f>
        <v>6.3234470820236588E-2</v>
      </c>
      <c r="G22" s="17">
        <f>'NAV Data'!G21/'NAV Data'!G20-1</f>
        <v>7.761783799040356E-2</v>
      </c>
      <c r="H22" s="5"/>
      <c r="I22" s="14">
        <v>45809</v>
      </c>
      <c r="J22" s="18">
        <f t="shared" si="7"/>
        <v>114.22267024048982</v>
      </c>
      <c r="K22" s="18">
        <f t="shared" si="8"/>
        <v>129.47321530273314</v>
      </c>
      <c r="L22" s="18">
        <f t="shared" si="9"/>
        <v>128.08741825469605</v>
      </c>
      <c r="M22" s="18">
        <f t="shared" si="10"/>
        <v>126.83716432629369</v>
      </c>
      <c r="N22" s="18">
        <f t="shared" si="11"/>
        <v>118.84493270952792</v>
      </c>
      <c r="O22" s="18">
        <f t="shared" si="12"/>
        <v>118.07690948291093</v>
      </c>
      <c r="P22" s="5"/>
      <c r="Q22" s="14">
        <v>45809</v>
      </c>
      <c r="R22" s="15">
        <f t="shared" si="13"/>
        <v>122.23489370663371</v>
      </c>
      <c r="S22" s="15">
        <f t="shared" si="14"/>
        <v>129.47321530273314</v>
      </c>
      <c r="T22" s="15">
        <f t="shared" si="15"/>
        <v>135.72676955117427</v>
      </c>
      <c r="U22" s="15">
        <f t="shared" si="16"/>
        <v>128.68498608849362</v>
      </c>
      <c r="V22" s="15">
        <f t="shared" si="17"/>
        <v>123.62983291339046</v>
      </c>
      <c r="W22" s="15">
        <f t="shared" si="18"/>
        <v>118.07690948291093</v>
      </c>
      <c r="X22" s="5"/>
      <c r="Y22" s="14">
        <v>45809</v>
      </c>
      <c r="Z22" s="16">
        <f t="shared" si="1"/>
        <v>-6.5547759916848247E-2</v>
      </c>
      <c r="AA22" s="16">
        <f t="shared" si="2"/>
        <v>0</v>
      </c>
      <c r="AB22" s="16">
        <f t="shared" si="3"/>
        <v>-5.6284779500317295E-2</v>
      </c>
      <c r="AC22" s="16">
        <f t="shared" si="4"/>
        <v>-1.4359264575971808E-2</v>
      </c>
      <c r="AD22" s="16">
        <f t="shared" si="5"/>
        <v>-3.8703443101913981E-2</v>
      </c>
      <c r="AE22" s="16">
        <f t="shared" si="6"/>
        <v>0</v>
      </c>
      <c r="AF22" s="5"/>
      <c r="AG22" s="14">
        <v>45809</v>
      </c>
      <c r="AH22" s="16">
        <f t="shared" si="19"/>
        <v>-1.792730190902514E-2</v>
      </c>
      <c r="AI22" s="16">
        <f t="shared" si="20"/>
        <v>3.66912498356462E-2</v>
      </c>
      <c r="AJ22" s="16">
        <f t="shared" si="21"/>
        <v>-1.2912131541798599E-2</v>
      </c>
      <c r="AK22" s="16">
        <f t="shared" si="22"/>
        <v>-1.6293584887405288E-2</v>
      </c>
      <c r="AL22" s="16">
        <f t="shared" si="23"/>
        <v>-1.4383367170166972E-2</v>
      </c>
      <c r="AM22" s="5"/>
      <c r="AN22" s="5"/>
      <c r="AO22" s="5"/>
      <c r="AP22" s="5"/>
      <c r="AQ22" s="5"/>
      <c r="AR22" s="5"/>
      <c r="AS22" s="5"/>
      <c r="AT22" s="5"/>
      <c r="AU22" s="5"/>
      <c r="AV22" s="5"/>
      <c r="AW22" s="5"/>
      <c r="AX22" s="5"/>
      <c r="AY22" s="5"/>
      <c r="AZ22" s="5"/>
    </row>
    <row r="23" spans="1:52">
      <c r="A23" s="14">
        <v>45839</v>
      </c>
      <c r="B23" s="17">
        <f>'NAV Data'!B22/'NAV Data'!B21-1</f>
        <v>5.5672140748151522E-2</v>
      </c>
      <c r="C23" s="17">
        <f>'NAV Data'!C22/'NAV Data'!C21-1</f>
        <v>3.6687174231833097E-2</v>
      </c>
      <c r="D23" s="17">
        <f>'NAV Data'!D22/'NAV Data'!D21-1</f>
        <v>4.5642677827686606E-2</v>
      </c>
      <c r="E23" s="17">
        <f>'NAV Data'!E22/'NAV Data'!E21-1</f>
        <v>4.6012684906529655E-2</v>
      </c>
      <c r="F23" s="17">
        <f>'NAV Data'!F22/'NAV Data'!F21-1</f>
        <v>5.0861106280564838E-2</v>
      </c>
      <c r="G23" s="17">
        <f>'NAV Data'!G22/'NAV Data'!G21-1</f>
        <v>3.1085834019306979E-2</v>
      </c>
      <c r="H23" s="5"/>
      <c r="I23" s="14">
        <v>45839</v>
      </c>
      <c r="J23" s="18">
        <f t="shared" si="7"/>
        <v>120.58169081474807</v>
      </c>
      <c r="K23" s="18">
        <f t="shared" si="8"/>
        <v>134.22322171090013</v>
      </c>
      <c r="L23" s="18">
        <f t="shared" si="9"/>
        <v>133.93367101987528</v>
      </c>
      <c r="M23" s="18">
        <f t="shared" si="10"/>
        <v>132.67328280287717</v>
      </c>
      <c r="N23" s="18">
        <f t="shared" si="11"/>
        <v>124.8895174629738</v>
      </c>
      <c r="O23" s="18">
        <f t="shared" si="12"/>
        <v>121.74742869260943</v>
      </c>
      <c r="P23" s="5"/>
      <c r="Q23" s="14">
        <v>45839</v>
      </c>
      <c r="R23" s="15">
        <f t="shared" si="13"/>
        <v>122.23489370663371</v>
      </c>
      <c r="S23" s="15">
        <f t="shared" si="14"/>
        <v>134.22322171090013</v>
      </c>
      <c r="T23" s="15">
        <f t="shared" si="15"/>
        <v>135.72676955117427</v>
      </c>
      <c r="U23" s="15">
        <f t="shared" si="16"/>
        <v>132.67328280287717</v>
      </c>
      <c r="V23" s="15">
        <f t="shared" si="17"/>
        <v>124.8895174629738</v>
      </c>
      <c r="W23" s="15">
        <f t="shared" si="18"/>
        <v>121.74742869260943</v>
      </c>
      <c r="X23" s="5"/>
      <c r="Y23" s="14">
        <v>45839</v>
      </c>
      <c r="Z23" s="16">
        <f t="shared" si="1"/>
        <v>-1.3524803284513554E-2</v>
      </c>
      <c r="AA23" s="16">
        <f t="shared" si="2"/>
        <v>0</v>
      </c>
      <c r="AB23" s="16">
        <f t="shared" si="3"/>
        <v>-1.3211089729966097E-2</v>
      </c>
      <c r="AC23" s="16">
        <f t="shared" si="4"/>
        <v>0</v>
      </c>
      <c r="AD23" s="16">
        <f t="shared" si="5"/>
        <v>0</v>
      </c>
      <c r="AE23" s="16">
        <f t="shared" si="6"/>
        <v>0</v>
      </c>
      <c r="AF23" s="5"/>
      <c r="AG23" s="14">
        <v>45839</v>
      </c>
      <c r="AH23" s="16">
        <f t="shared" si="19"/>
        <v>2.4586306728844542E-2</v>
      </c>
      <c r="AI23" s="16">
        <f t="shared" si="20"/>
        <v>5.601340212526118E-3</v>
      </c>
      <c r="AJ23" s="16">
        <f t="shared" si="21"/>
        <v>1.4556843808379627E-2</v>
      </c>
      <c r="AK23" s="16">
        <f t="shared" si="22"/>
        <v>1.4926850887222676E-2</v>
      </c>
      <c r="AL23" s="16">
        <f t="shared" si="23"/>
        <v>1.9775272261257859E-2</v>
      </c>
      <c r="AM23" s="5"/>
      <c r="AN23" s="5"/>
      <c r="AO23" s="5"/>
      <c r="AP23" s="5"/>
      <c r="AQ23" s="5"/>
      <c r="AR23" s="5"/>
      <c r="AS23" s="5"/>
      <c r="AT23" s="5"/>
      <c r="AU23" s="5"/>
      <c r="AV23" s="5"/>
      <c r="AW23" s="5"/>
      <c r="AX23" s="5"/>
      <c r="AY23" s="5"/>
      <c r="AZ23" s="5"/>
    </row>
    <row r="24" spans="1:52">
      <c r="A24" s="14">
        <v>45870</v>
      </c>
      <c r="B24" s="17">
        <f>'NAV Data'!B23/'NAV Data'!B22-1</f>
        <v>4.7097820154740067E-2</v>
      </c>
      <c r="C24" s="17">
        <f>'NAV Data'!C23/'NAV Data'!C22-1</f>
        <v>0.10297589580110245</v>
      </c>
      <c r="D24" s="17">
        <f>'NAV Data'!D23/'NAV Data'!D22-1</f>
        <v>3.6966268457067519E-2</v>
      </c>
      <c r="E24" s="17">
        <f>'NAV Data'!E23/'NAV Data'!E22-1</f>
        <v>6.3809420275108719E-2</v>
      </c>
      <c r="F24" s="17">
        <f>'NAV Data'!F23/'NAV Data'!F22-1</f>
        <v>9.3689331304484869E-2</v>
      </c>
      <c r="G24" s="17">
        <f>'NAV Data'!G23/'NAV Data'!G22-1</f>
        <v>8.518405620391345E-2</v>
      </c>
      <c r="H24" s="5"/>
      <c r="I24" s="14">
        <v>45870</v>
      </c>
      <c r="J24" s="18">
        <f t="shared" si="7"/>
        <v>126.26082560269555</v>
      </c>
      <c r="K24" s="18">
        <f t="shared" si="8"/>
        <v>148.04497820389005</v>
      </c>
      <c r="L24" s="18">
        <f t="shared" si="9"/>
        <v>138.88469905823655</v>
      </c>
      <c r="M24" s="18">
        <f t="shared" si="10"/>
        <v>141.13908806452432</v>
      </c>
      <c r="N24" s="18">
        <f t="shared" si="11"/>
        <v>136.5903328410196</v>
      </c>
      <c r="O24" s="18">
        <f t="shared" si="12"/>
        <v>132.11836850104262</v>
      </c>
      <c r="P24" s="5"/>
      <c r="Q24" s="14">
        <v>45870</v>
      </c>
      <c r="R24" s="15">
        <f t="shared" si="13"/>
        <v>126.26082560269555</v>
      </c>
      <c r="S24" s="15">
        <f t="shared" si="14"/>
        <v>148.04497820389005</v>
      </c>
      <c r="T24" s="15">
        <f t="shared" si="15"/>
        <v>138.88469905823655</v>
      </c>
      <c r="U24" s="15">
        <f t="shared" si="16"/>
        <v>141.13908806452432</v>
      </c>
      <c r="V24" s="15">
        <f t="shared" si="17"/>
        <v>136.5903328410196</v>
      </c>
      <c r="W24" s="15">
        <f t="shared" si="18"/>
        <v>132.11836850104262</v>
      </c>
      <c r="X24" s="5"/>
      <c r="Y24" s="14">
        <v>45870</v>
      </c>
      <c r="Z24" s="16">
        <f t="shared" si="1"/>
        <v>0</v>
      </c>
      <c r="AA24" s="16">
        <f t="shared" si="2"/>
        <v>0</v>
      </c>
      <c r="AB24" s="16">
        <f t="shared" si="3"/>
        <v>0</v>
      </c>
      <c r="AC24" s="16">
        <f t="shared" si="4"/>
        <v>0</v>
      </c>
      <c r="AD24" s="16">
        <f t="shared" si="5"/>
        <v>0</v>
      </c>
      <c r="AE24" s="16">
        <f t="shared" si="6"/>
        <v>0</v>
      </c>
      <c r="AF24" s="5"/>
      <c r="AG24" s="14">
        <v>45870</v>
      </c>
      <c r="AH24" s="16">
        <f t="shared" si="19"/>
        <v>-3.8086236049173383E-2</v>
      </c>
      <c r="AI24" s="16">
        <f t="shared" si="20"/>
        <v>1.7791839597188996E-2</v>
      </c>
      <c r="AJ24" s="16">
        <f t="shared" si="21"/>
        <v>-4.821778774684593E-2</v>
      </c>
      <c r="AK24" s="16">
        <f t="shared" si="22"/>
        <v>-2.1374635928804731E-2</v>
      </c>
      <c r="AL24" s="16">
        <f t="shared" si="23"/>
        <v>8.5052751005714189E-3</v>
      </c>
      <c r="AM24" s="5"/>
      <c r="AN24" s="5"/>
      <c r="AO24" s="5"/>
      <c r="AP24" s="5"/>
      <c r="AQ24" s="5"/>
      <c r="AR24" s="5"/>
      <c r="AS24" s="5"/>
      <c r="AT24" s="5"/>
      <c r="AU24" s="5"/>
      <c r="AV24" s="5"/>
      <c r="AW24" s="5"/>
      <c r="AX24" s="5"/>
      <c r="AY24" s="5"/>
      <c r="AZ24" s="5"/>
    </row>
    <row r="25" spans="1:52">
      <c r="A25" s="14">
        <v>45901</v>
      </c>
      <c r="B25" s="17">
        <f>'NAV Data'!B24/'NAV Data'!B23-1</f>
        <v>0.13334110047047387</v>
      </c>
      <c r="C25" s="17">
        <f>'NAV Data'!C24/'NAV Data'!C23-1</f>
        <v>0.12733471532019935</v>
      </c>
      <c r="D25" s="17">
        <f>'NAV Data'!D24/'NAV Data'!D23-1</f>
        <v>0.1123570131913918</v>
      </c>
      <c r="E25" s="17">
        <f>'NAV Data'!E24/'NAV Data'!E23-1</f>
        <v>0.10421006928057674</v>
      </c>
      <c r="F25" s="17">
        <f>'NAV Data'!F24/'NAV Data'!F23-1</f>
        <v>0.14873439743906069</v>
      </c>
      <c r="G25" s="17">
        <f>'NAV Data'!G24/'NAV Data'!G23-1</f>
        <v>0.12445743407280574</v>
      </c>
      <c r="H25" s="5"/>
      <c r="I25" s="14">
        <v>45901</v>
      </c>
      <c r="J25" s="18">
        <f t="shared" si="7"/>
        <v>143.09658303486955</v>
      </c>
      <c r="K25" s="18">
        <f t="shared" si="8"/>
        <v>166.89624335806752</v>
      </c>
      <c r="L25" s="18">
        <f t="shared" si="9"/>
        <v>154.4893690224053</v>
      </c>
      <c r="M25" s="18">
        <f t="shared" si="10"/>
        <v>155.84720220992583</v>
      </c>
      <c r="N25" s="18">
        <f t="shared" si="11"/>
        <v>156.90601369212939</v>
      </c>
      <c r="O25" s="18">
        <f t="shared" si="12"/>
        <v>148.56148163856778</v>
      </c>
      <c r="P25" s="5"/>
      <c r="Q25" s="14">
        <v>45901</v>
      </c>
      <c r="R25" s="15">
        <f t="shared" si="13"/>
        <v>143.09658303486955</v>
      </c>
      <c r="S25" s="15">
        <f t="shared" si="14"/>
        <v>166.89624335806752</v>
      </c>
      <c r="T25" s="15">
        <f t="shared" si="15"/>
        <v>154.4893690224053</v>
      </c>
      <c r="U25" s="15">
        <f t="shared" si="16"/>
        <v>155.84720220992583</v>
      </c>
      <c r="V25" s="15">
        <f t="shared" si="17"/>
        <v>156.90601369212939</v>
      </c>
      <c r="W25" s="15">
        <f t="shared" si="18"/>
        <v>148.56148163856778</v>
      </c>
      <c r="X25" s="5"/>
      <c r="Y25" s="14">
        <v>45901</v>
      </c>
      <c r="Z25" s="16">
        <f t="shared" si="1"/>
        <v>0</v>
      </c>
      <c r="AA25" s="16">
        <f t="shared" si="2"/>
        <v>0</v>
      </c>
      <c r="AB25" s="16">
        <f t="shared" si="3"/>
        <v>0</v>
      </c>
      <c r="AC25" s="16">
        <f t="shared" si="4"/>
        <v>0</v>
      </c>
      <c r="AD25" s="16">
        <f t="shared" si="5"/>
        <v>0</v>
      </c>
      <c r="AE25" s="16">
        <f t="shared" si="6"/>
        <v>0</v>
      </c>
      <c r="AF25" s="5"/>
      <c r="AG25" s="14">
        <v>45901</v>
      </c>
      <c r="AH25" s="16">
        <f t="shared" si="19"/>
        <v>8.8836663976681329E-3</v>
      </c>
      <c r="AI25" s="16">
        <f t="shared" si="20"/>
        <v>2.8772812473936149E-3</v>
      </c>
      <c r="AJ25" s="16">
        <f t="shared" si="21"/>
        <v>-1.2100420881413942E-2</v>
      </c>
      <c r="AK25" s="16">
        <f t="shared" si="22"/>
        <v>-2.0247364792228995E-2</v>
      </c>
      <c r="AL25" s="16">
        <f t="shared" si="23"/>
        <v>2.4276963366254956E-2</v>
      </c>
      <c r="AM25" s="5"/>
      <c r="AN25" s="5"/>
      <c r="AO25" s="5"/>
      <c r="AP25" s="5"/>
      <c r="AQ25" s="5"/>
      <c r="AR25" s="5"/>
      <c r="AS25" s="5"/>
      <c r="AT25" s="5"/>
      <c r="AU25" s="5"/>
      <c r="AV25" s="5"/>
      <c r="AW25" s="5"/>
      <c r="AX25" s="5"/>
      <c r="AY25" s="5"/>
      <c r="AZ25" s="5"/>
    </row>
    <row r="26" spans="1:52">
      <c r="A26" s="14">
        <v>45931</v>
      </c>
      <c r="B26" s="17">
        <f>'NAV Data'!B25/'NAV Data'!B24-1</f>
        <v>-4.7293515425762322E-2</v>
      </c>
      <c r="C26" s="17">
        <f>'NAV Data'!C25/'NAV Data'!C24-1</f>
        <v>-2.6347003803623426E-2</v>
      </c>
      <c r="D26" s="17">
        <f>'NAV Data'!D25/'NAV Data'!D24-1</f>
        <v>-1.9874371582709771E-2</v>
      </c>
      <c r="E26" s="17">
        <f>'NAV Data'!E25/'NAV Data'!E24-1</f>
        <v>-1.9168684560903704E-2</v>
      </c>
      <c r="F26" s="17">
        <f>'NAV Data'!F25/'NAV Data'!F24-1</f>
        <v>-1.0246341772361167E-2</v>
      </c>
      <c r="G26" s="17">
        <f>'NAV Data'!G25/'NAV Data'!G24-1</f>
        <v>-9.6651400701838197E-3</v>
      </c>
      <c r="H26" s="5"/>
      <c r="I26" s="14">
        <v>45931</v>
      </c>
      <c r="J26" s="18">
        <f t="shared" si="7"/>
        <v>136.32904257773606</v>
      </c>
      <c r="K26" s="18">
        <f t="shared" si="8"/>
        <v>162.49902739950207</v>
      </c>
      <c r="L26" s="18">
        <f t="shared" si="9"/>
        <v>151.41898989687564</v>
      </c>
      <c r="M26" s="18">
        <f t="shared" si="10"/>
        <v>152.85981635106438</v>
      </c>
      <c r="N26" s="18">
        <f t="shared" si="11"/>
        <v>155.29830104970105</v>
      </c>
      <c r="O26" s="18">
        <f t="shared" si="12"/>
        <v>147.12561410949698</v>
      </c>
      <c r="P26" s="5"/>
      <c r="Q26" s="14">
        <v>45931</v>
      </c>
      <c r="R26" s="15">
        <f t="shared" si="13"/>
        <v>143.09658303486955</v>
      </c>
      <c r="S26" s="15">
        <f t="shared" si="14"/>
        <v>166.89624335806752</v>
      </c>
      <c r="T26" s="15">
        <f t="shared" si="15"/>
        <v>154.4893690224053</v>
      </c>
      <c r="U26" s="15">
        <f t="shared" si="16"/>
        <v>155.84720220992583</v>
      </c>
      <c r="V26" s="15">
        <f t="shared" si="17"/>
        <v>156.90601369212939</v>
      </c>
      <c r="W26" s="15">
        <f t="shared" si="18"/>
        <v>148.56148163856778</v>
      </c>
      <c r="X26" s="5"/>
      <c r="Y26" s="14">
        <v>45931</v>
      </c>
      <c r="Z26" s="16">
        <f t="shared" si="1"/>
        <v>-4.7293515425762434E-2</v>
      </c>
      <c r="AA26" s="16">
        <f t="shared" si="2"/>
        <v>-2.6347003803623315E-2</v>
      </c>
      <c r="AB26" s="16">
        <f t="shared" si="3"/>
        <v>-1.9874371582709771E-2</v>
      </c>
      <c r="AC26" s="16">
        <f t="shared" si="4"/>
        <v>-1.9168684560903704E-2</v>
      </c>
      <c r="AD26" s="16">
        <f t="shared" si="5"/>
        <v>-1.0246341772361167E-2</v>
      </c>
      <c r="AE26" s="16">
        <f t="shared" si="6"/>
        <v>-9.6651400701838197E-3</v>
      </c>
      <c r="AF26" s="5"/>
      <c r="AG26" s="14">
        <v>45931</v>
      </c>
      <c r="AH26" s="16">
        <f t="shared" si="19"/>
        <v>-3.7628375355578503E-2</v>
      </c>
      <c r="AI26" s="16">
        <f t="shared" si="20"/>
        <v>-1.6681863733439606E-2</v>
      </c>
      <c r="AJ26" s="16">
        <f t="shared" si="21"/>
        <v>-1.0209231512525951E-2</v>
      </c>
      <c r="AK26" s="16">
        <f t="shared" si="22"/>
        <v>-9.5035444907198841E-3</v>
      </c>
      <c r="AL26" s="16">
        <f t="shared" si="23"/>
        <v>-5.8120170217734746E-4</v>
      </c>
      <c r="AM26" s="5"/>
      <c r="AN26" s="5"/>
      <c r="AO26" s="5"/>
      <c r="AP26" s="5"/>
      <c r="AQ26" s="5"/>
      <c r="AR26" s="5"/>
      <c r="AS26" s="5"/>
      <c r="AT26" s="5"/>
      <c r="AU26" s="5"/>
      <c r="AV26" s="5"/>
      <c r="AW26" s="5"/>
      <c r="AX26" s="5"/>
      <c r="AY26" s="5"/>
      <c r="AZ26" s="5"/>
    </row>
    <row r="27" spans="1:52">
      <c r="A27" s="14">
        <v>45962</v>
      </c>
      <c r="B27" s="17">
        <f>'NAV Data'!B26/'NAV Data'!B25-1</f>
        <v>-2.2137666858809357E-2</v>
      </c>
      <c r="C27" s="17">
        <f>'NAV Data'!C26/'NAV Data'!C25-1</f>
        <v>-3.4100589678566995E-2</v>
      </c>
      <c r="D27" s="17">
        <f>'NAV Data'!D26/'NAV Data'!D25-1</f>
        <v>-1.0743235800418582E-2</v>
      </c>
      <c r="E27" s="17">
        <f>'NAV Data'!E26/'NAV Data'!E25-1</f>
        <v>-1.3820892206336755E-2</v>
      </c>
      <c r="F27" s="17">
        <f>'NAV Data'!F26/'NAV Data'!F25-1</f>
        <v>-3.0126616087003621E-2</v>
      </c>
      <c r="G27" s="17">
        <f>'NAV Data'!G26/'NAV Data'!G25-1</f>
        <v>-2.8857992252484865E-2</v>
      </c>
      <c r="H27" s="5"/>
      <c r="I27" s="14">
        <v>45962</v>
      </c>
      <c r="J27" s="18">
        <f t="shared" si="7"/>
        <v>133.31103564996971</v>
      </c>
      <c r="K27" s="18">
        <f t="shared" si="8"/>
        <v>156.95771474298544</v>
      </c>
      <c r="L27" s="18">
        <f t="shared" si="9"/>
        <v>149.7922599837523</v>
      </c>
      <c r="M27" s="18">
        <f t="shared" si="10"/>
        <v>150.74715730659588</v>
      </c>
      <c r="N27" s="18">
        <f t="shared" si="11"/>
        <v>150.61968875501279</v>
      </c>
      <c r="O27" s="18">
        <f t="shared" si="12"/>
        <v>142.87986427738304</v>
      </c>
      <c r="P27" s="5"/>
      <c r="Q27" s="14">
        <v>45962</v>
      </c>
      <c r="R27" s="15">
        <f t="shared" si="13"/>
        <v>143.09658303486955</v>
      </c>
      <c r="S27" s="15">
        <f t="shared" si="14"/>
        <v>166.89624335806752</v>
      </c>
      <c r="T27" s="15">
        <f t="shared" si="15"/>
        <v>154.4893690224053</v>
      </c>
      <c r="U27" s="15">
        <f t="shared" si="16"/>
        <v>155.84720220992583</v>
      </c>
      <c r="V27" s="15">
        <f t="shared" si="17"/>
        <v>156.90601369212939</v>
      </c>
      <c r="W27" s="15">
        <f t="shared" si="18"/>
        <v>148.56148163856778</v>
      </c>
      <c r="X27" s="5"/>
      <c r="Y27" s="14">
        <v>45962</v>
      </c>
      <c r="Z27" s="16">
        <f t="shared" si="1"/>
        <v>-6.8384214195494231E-2</v>
      </c>
      <c r="AA27" s="16">
        <f t="shared" si="2"/>
        <v>-5.9549145116223223E-2</v>
      </c>
      <c r="AB27" s="16">
        <f t="shared" si="3"/>
        <v>-3.0404092322830256E-2</v>
      </c>
      <c r="AC27" s="16">
        <f t="shared" si="4"/>
        <v>-3.2724648444186988E-2</v>
      </c>
      <c r="AD27" s="16">
        <f t="shared" si="5"/>
        <v>-4.0064270254492662E-2</v>
      </c>
      <c r="AE27" s="16">
        <f t="shared" si="6"/>
        <v>-3.8244215785404156E-2</v>
      </c>
      <c r="AF27" s="5"/>
      <c r="AG27" s="14">
        <v>45962</v>
      </c>
      <c r="AH27" s="16">
        <f t="shared" si="19"/>
        <v>6.7203253936755081E-3</v>
      </c>
      <c r="AI27" s="16">
        <f t="shared" si="20"/>
        <v>-5.2425974260821295E-3</v>
      </c>
      <c r="AJ27" s="16">
        <f t="shared" si="21"/>
        <v>1.8114756452066283E-2</v>
      </c>
      <c r="AK27" s="16">
        <f t="shared" si="22"/>
        <v>1.5037100046148111E-2</v>
      </c>
      <c r="AL27" s="16">
        <f t="shared" si="23"/>
        <v>-1.2686238345187562E-3</v>
      </c>
      <c r="AM27" s="5"/>
      <c r="AN27" s="5"/>
      <c r="AO27" s="5"/>
      <c r="AP27" s="5"/>
      <c r="AQ27" s="5"/>
      <c r="AR27" s="5"/>
      <c r="AS27" s="5"/>
      <c r="AT27" s="5"/>
      <c r="AU27" s="5"/>
      <c r="AV27" s="5"/>
      <c r="AW27" s="5"/>
      <c r="AX27" s="5"/>
      <c r="AY27" s="5"/>
      <c r="AZ27" s="5"/>
    </row>
    <row r="28" spans="1:52">
      <c r="A28" s="14">
        <v>45992</v>
      </c>
      <c r="B28" s="17">
        <f>'NAV Data'!B27/'NAV Data'!B26-1</f>
        <v>-2.041392351544602E-2</v>
      </c>
      <c r="C28" s="17">
        <f>'NAV Data'!C27/'NAV Data'!C26-1</f>
        <v>3.615128672335377E-3</v>
      </c>
      <c r="D28" s="17">
        <f>'NAV Data'!D27/'NAV Data'!D26-1</f>
        <v>-2.1200179033437072E-3</v>
      </c>
      <c r="E28" s="17">
        <f>'NAV Data'!E27/'NAV Data'!E26-1</f>
        <v>3.6017981654488107E-3</v>
      </c>
      <c r="F28" s="17">
        <f>'NAV Data'!F27/'NAV Data'!F26-1</f>
        <v>2.1164863524901767E-2</v>
      </c>
      <c r="G28" s="17">
        <f>'NAV Data'!G27/'NAV Data'!G26-1</f>
        <v>5.2362399505256674E-2</v>
      </c>
      <c r="H28" s="5"/>
      <c r="I28" s="14">
        <v>45992</v>
      </c>
      <c r="J28" s="18">
        <f t="shared" si="7"/>
        <v>130.58963436444634</v>
      </c>
      <c r="K28" s="18">
        <f t="shared" si="8"/>
        <v>157.52513707789706</v>
      </c>
      <c r="L28" s="18">
        <f t="shared" si="9"/>
        <v>149.47469771080443</v>
      </c>
      <c r="M28" s="18">
        <f t="shared" si="10"/>
        <v>151.29011814122941</v>
      </c>
      <c r="N28" s="18">
        <f t="shared" si="11"/>
        <v>153.80753391167582</v>
      </c>
      <c r="O28" s="18">
        <f t="shared" si="12"/>
        <v>150.36139681193222</v>
      </c>
      <c r="P28" s="5"/>
      <c r="Q28" s="14">
        <v>45992</v>
      </c>
      <c r="R28" s="15">
        <f t="shared" si="13"/>
        <v>143.09658303486955</v>
      </c>
      <c r="S28" s="15">
        <f t="shared" si="14"/>
        <v>166.89624335806752</v>
      </c>
      <c r="T28" s="15">
        <f t="shared" si="15"/>
        <v>154.4893690224053</v>
      </c>
      <c r="U28" s="15">
        <f t="shared" si="16"/>
        <v>155.84720220992583</v>
      </c>
      <c r="V28" s="15">
        <f t="shared" si="17"/>
        <v>156.90601369212939</v>
      </c>
      <c r="W28" s="15">
        <f t="shared" si="18"/>
        <v>150.36139681193222</v>
      </c>
      <c r="X28" s="5"/>
      <c r="Y28" s="14">
        <v>45992</v>
      </c>
      <c r="Z28" s="16">
        <f t="shared" si="1"/>
        <v>-8.7402147592689494E-2</v>
      </c>
      <c r="AA28" s="16">
        <f t="shared" si="2"/>
        <v>-5.6149294265810612E-2</v>
      </c>
      <c r="AB28" s="16">
        <f t="shared" si="3"/>
        <v>-3.2459653006114642E-2</v>
      </c>
      <c r="AC28" s="16">
        <f t="shared" si="4"/>
        <v>-2.9240717857469289E-2</v>
      </c>
      <c r="AD28" s="16">
        <f t="shared" si="5"/>
        <v>-1.9747361541752051E-2</v>
      </c>
      <c r="AE28" s="16">
        <f t="shared" si="6"/>
        <v>0</v>
      </c>
      <c r="AF28" s="5"/>
      <c r="AG28" s="14">
        <v>45992</v>
      </c>
      <c r="AH28" s="16">
        <f t="shared" si="19"/>
        <v>-7.2776323020702693E-2</v>
      </c>
      <c r="AI28" s="16">
        <f t="shared" si="20"/>
        <v>-4.8747270832921297E-2</v>
      </c>
      <c r="AJ28" s="16">
        <f t="shared" si="21"/>
        <v>-5.4482417408600381E-2</v>
      </c>
      <c r="AK28" s="16">
        <f t="shared" si="22"/>
        <v>-4.8760601339807863E-2</v>
      </c>
      <c r="AL28" s="16">
        <f t="shared" si="23"/>
        <v>-3.1197535980354907E-2</v>
      </c>
      <c r="AM28" s="5"/>
      <c r="AN28" s="5"/>
      <c r="AO28" s="5"/>
      <c r="AP28" s="5"/>
      <c r="AQ28" s="5"/>
      <c r="AR28" s="5"/>
      <c r="AS28" s="5"/>
      <c r="AT28" s="5"/>
      <c r="AU28" s="5"/>
      <c r="AV28" s="5"/>
      <c r="AW28" s="5"/>
      <c r="AX28" s="5"/>
      <c r="AY28" s="5"/>
      <c r="AZ28" s="5"/>
    </row>
    <row r="29" spans="1:52">
      <c r="A29" s="14">
        <v>46023</v>
      </c>
      <c r="B29" s="17">
        <f>'NAV Data'!B28/'NAV Data'!B27-1</f>
        <v>-6.079572470495731E-3</v>
      </c>
      <c r="C29" s="17">
        <f>'NAV Data'!C28/'NAV Data'!C27-1</f>
        <v>4.0978475846070506E-2</v>
      </c>
      <c r="D29" s="17">
        <f>'NAV Data'!D28/'NAV Data'!D27-1</f>
        <v>-2.1091185968965753E-2</v>
      </c>
      <c r="E29" s="17">
        <f>'NAV Data'!E28/'NAV Data'!E27-1</f>
        <v>3.130870308449496E-2</v>
      </c>
      <c r="F29" s="17">
        <f>'NAV Data'!F28/'NAV Data'!F27-1</f>
        <v>4.4829898084925546E-2</v>
      </c>
      <c r="G29" s="17">
        <f>'NAV Data'!G28/'NAV Data'!G27-1</f>
        <v>5.096757890777881E-2</v>
      </c>
      <c r="H29" s="5"/>
      <c r="I29" s="14">
        <v>46023</v>
      </c>
      <c r="J29" s="18">
        <f t="shared" si="7"/>
        <v>129.79570521843215</v>
      </c>
      <c r="K29" s="18">
        <f t="shared" si="8"/>
        <v>163.9802771027926</v>
      </c>
      <c r="L29" s="18">
        <f t="shared" si="9"/>
        <v>146.32209906373092</v>
      </c>
      <c r="M29" s="18">
        <f t="shared" si="10"/>
        <v>156.02681552973132</v>
      </c>
      <c r="N29" s="18">
        <f t="shared" si="11"/>
        <v>160.70270998162997</v>
      </c>
      <c r="O29" s="18">
        <f t="shared" si="12"/>
        <v>158.02495316862823</v>
      </c>
      <c r="P29" s="5"/>
      <c r="Q29" s="14">
        <v>46023</v>
      </c>
      <c r="R29" s="15">
        <f t="shared" si="13"/>
        <v>143.09658303486955</v>
      </c>
      <c r="S29" s="15">
        <f t="shared" si="14"/>
        <v>166.89624335806752</v>
      </c>
      <c r="T29" s="15">
        <f t="shared" si="15"/>
        <v>154.4893690224053</v>
      </c>
      <c r="U29" s="15">
        <f t="shared" si="16"/>
        <v>156.02681552973132</v>
      </c>
      <c r="V29" s="15">
        <f t="shared" si="17"/>
        <v>160.70270998162997</v>
      </c>
      <c r="W29" s="15">
        <f t="shared" si="18"/>
        <v>158.02495316862823</v>
      </c>
      <c r="X29" s="5"/>
      <c r="Y29" s="14">
        <v>46023</v>
      </c>
      <c r="Z29" s="16">
        <f t="shared" si="1"/>
        <v>-9.2950352372818457E-2</v>
      </c>
      <c r="AA29" s="16">
        <f t="shared" si="2"/>
        <v>-1.747173091858556E-2</v>
      </c>
      <c r="AB29" s="16">
        <f t="shared" si="3"/>
        <v>-5.2866226397040306E-2</v>
      </c>
      <c r="AC29" s="16">
        <f t="shared" si="4"/>
        <v>0</v>
      </c>
      <c r="AD29" s="16">
        <f t="shared" si="5"/>
        <v>0</v>
      </c>
      <c r="AE29" s="16">
        <f t="shared" si="6"/>
        <v>0</v>
      </c>
      <c r="AF29" s="5"/>
      <c r="AG29" s="14">
        <v>46023</v>
      </c>
      <c r="AH29" s="16">
        <f t="shared" si="19"/>
        <v>-5.7047151378274541E-2</v>
      </c>
      <c r="AI29" s="16">
        <f t="shared" si="20"/>
        <v>-9.9891030617083043E-3</v>
      </c>
      <c r="AJ29" s="16">
        <f t="shared" si="21"/>
        <v>-7.2058764876744563E-2</v>
      </c>
      <c r="AK29" s="16">
        <f t="shared" si="22"/>
        <v>-1.965887582328385E-2</v>
      </c>
      <c r="AL29" s="16">
        <f t="shared" si="23"/>
        <v>-6.1376808228532642E-3</v>
      </c>
      <c r="AM29" s="5"/>
      <c r="AN29" s="5"/>
      <c r="AO29" s="5"/>
      <c r="AP29" s="5"/>
      <c r="AQ29" s="5"/>
      <c r="AR29" s="5"/>
      <c r="AS29" s="5"/>
      <c r="AT29" s="5"/>
      <c r="AU29" s="5"/>
      <c r="AV29" s="5"/>
      <c r="AW29" s="5"/>
      <c r="AX29" s="5"/>
      <c r="AY29" s="5"/>
      <c r="AZ29" s="5"/>
    </row>
    <row r="30" spans="1:52">
      <c r="A30" s="14">
        <v>46054</v>
      </c>
      <c r="B30" s="17">
        <f>'NAV Data'!B29/'NAV Data'!B28-1</f>
        <v>9.6722885342592546E-2</v>
      </c>
      <c r="C30" s="17">
        <f>'NAV Data'!C29/'NAV Data'!C28-1</f>
        <v>1.6208813163508751E-2</v>
      </c>
      <c r="D30" s="17">
        <f>'NAV Data'!D29/'NAV Data'!D28-1</f>
        <v>8.9529517367285427E-2</v>
      </c>
      <c r="E30" s="17">
        <f>'NAV Data'!E29/'NAV Data'!E28-1</f>
        <v>7.2776183358359559E-2</v>
      </c>
      <c r="F30" s="17">
        <f>'NAV Data'!F29/'NAV Data'!F28-1</f>
        <v>4.7644610619596017E-2</v>
      </c>
      <c r="G30" s="17">
        <f>'NAV Data'!G29/'NAV Data'!G28-1</f>
        <v>1.0120778349362425E-2</v>
      </c>
      <c r="H30" s="5"/>
      <c r="I30" s="14">
        <v>46054</v>
      </c>
      <c r="J30" s="18">
        <f t="shared" si="7"/>
        <v>142.34992033223551</v>
      </c>
      <c r="K30" s="18">
        <f t="shared" si="8"/>
        <v>166.63820277685215</v>
      </c>
      <c r="L30" s="18">
        <f t="shared" si="9"/>
        <v>159.42224597307487</v>
      </c>
      <c r="M30" s="18">
        <f t="shared" si="10"/>
        <v>167.38185166554399</v>
      </c>
      <c r="N30" s="18">
        <f t="shared" si="11"/>
        <v>168.3593280242186</v>
      </c>
      <c r="O30" s="18">
        <f t="shared" si="12"/>
        <v>159.62428869331629</v>
      </c>
      <c r="P30" s="5"/>
      <c r="Q30" s="14">
        <v>46054</v>
      </c>
      <c r="R30" s="15">
        <f t="shared" si="13"/>
        <v>143.09658303486955</v>
      </c>
      <c r="S30" s="15">
        <f t="shared" si="14"/>
        <v>166.89624335806752</v>
      </c>
      <c r="T30" s="15">
        <f t="shared" si="15"/>
        <v>159.42224597307487</v>
      </c>
      <c r="U30" s="15">
        <f t="shared" si="16"/>
        <v>167.38185166554399</v>
      </c>
      <c r="V30" s="15">
        <f t="shared" si="17"/>
        <v>168.3593280242186</v>
      </c>
      <c r="W30" s="15">
        <f t="shared" si="18"/>
        <v>159.62428869331629</v>
      </c>
      <c r="X30" s="5"/>
      <c r="Y30" s="14">
        <v>46054</v>
      </c>
      <c r="Z30" s="16">
        <f t="shared" si="1"/>
        <v>-5.2178933053356191E-3</v>
      </c>
      <c r="AA30" s="16">
        <f t="shared" si="2"/>
        <v>-1.546113777179281E-3</v>
      </c>
      <c r="AB30" s="16">
        <f t="shared" si="3"/>
        <v>0</v>
      </c>
      <c r="AC30" s="16">
        <f t="shared" si="4"/>
        <v>0</v>
      </c>
      <c r="AD30" s="16">
        <f t="shared" si="5"/>
        <v>0</v>
      </c>
      <c r="AE30" s="16">
        <f t="shared" si="6"/>
        <v>0</v>
      </c>
      <c r="AF30" s="5"/>
      <c r="AG30" s="14">
        <v>46054</v>
      </c>
      <c r="AH30" s="16">
        <f t="shared" si="19"/>
        <v>8.6602106993230121E-2</v>
      </c>
      <c r="AI30" s="16">
        <f t="shared" si="20"/>
        <v>6.0880348141463259E-3</v>
      </c>
      <c r="AJ30" s="16">
        <f t="shared" si="21"/>
        <v>7.9408739017923002E-2</v>
      </c>
      <c r="AK30" s="16">
        <f t="shared" si="22"/>
        <v>6.2655405008997134E-2</v>
      </c>
      <c r="AL30" s="16">
        <f t="shared" si="23"/>
        <v>3.7523832270233592E-2</v>
      </c>
      <c r="AM30" s="5"/>
      <c r="AN30" s="5"/>
      <c r="AO30" s="5"/>
      <c r="AP30" s="5"/>
      <c r="AQ30" s="5"/>
      <c r="AR30" s="5"/>
      <c r="AS30" s="5"/>
      <c r="AT30" s="5"/>
      <c r="AU30" s="5"/>
      <c r="AV30" s="5"/>
      <c r="AW30" s="5"/>
      <c r="AX30" s="5"/>
      <c r="AY30" s="5"/>
      <c r="AZ30" s="5"/>
    </row>
    <row r="31" spans="1:52">
      <c r="A31" s="14">
        <v>46082</v>
      </c>
      <c r="B31" s="17">
        <f>'NAV Data'!B30/'NAV Data'!B29-1</f>
        <v>2.92002959842248E-2</v>
      </c>
      <c r="C31" s="17">
        <f>'NAV Data'!C30/'NAV Data'!C29-1</f>
        <v>2.2148041655801309E-2</v>
      </c>
      <c r="D31" s="17">
        <f>'NAV Data'!D30/'NAV Data'!D29-1</f>
        <v>7.2256140653916834E-3</v>
      </c>
      <c r="E31" s="17">
        <f>'NAV Data'!E30/'NAV Data'!E29-1</f>
        <v>-9.2153731610639111E-3</v>
      </c>
      <c r="F31" s="17">
        <f>'NAV Data'!F30/'NAV Data'!F29-1</f>
        <v>1.7949729124447034E-2</v>
      </c>
      <c r="G31" s="17">
        <f>'NAV Data'!G30/'NAV Data'!G29-1</f>
        <v>2.1920841406033675E-2</v>
      </c>
      <c r="H31" s="5"/>
      <c r="I31" s="14">
        <v>46082</v>
      </c>
      <c r="J31" s="18">
        <f t="shared" si="7"/>
        <v>146.50658013926761</v>
      </c>
      <c r="K31" s="18">
        <f t="shared" si="8"/>
        <v>170.32891263340173</v>
      </c>
      <c r="L31" s="18">
        <f t="shared" si="9"/>
        <v>160.57416959591424</v>
      </c>
      <c r="M31" s="18">
        <f t="shared" si="10"/>
        <v>165.83936544205616</v>
      </c>
      <c r="N31" s="18">
        <f t="shared" si="11"/>
        <v>171.38133235782723</v>
      </c>
      <c r="O31" s="18">
        <f t="shared" si="12"/>
        <v>163.1233874103134</v>
      </c>
      <c r="P31" s="5"/>
      <c r="Q31" s="14">
        <v>46082</v>
      </c>
      <c r="R31" s="15">
        <f t="shared" si="13"/>
        <v>146.50658013926761</v>
      </c>
      <c r="S31" s="15">
        <f t="shared" si="14"/>
        <v>170.32891263340173</v>
      </c>
      <c r="T31" s="15">
        <f t="shared" si="15"/>
        <v>160.57416959591424</v>
      </c>
      <c r="U31" s="15">
        <f t="shared" si="16"/>
        <v>167.38185166554399</v>
      </c>
      <c r="V31" s="15">
        <f t="shared" si="17"/>
        <v>171.38133235782723</v>
      </c>
      <c r="W31" s="15">
        <f t="shared" si="18"/>
        <v>163.1233874103134</v>
      </c>
      <c r="X31" s="5"/>
      <c r="Y31" s="14">
        <v>46082</v>
      </c>
      <c r="Z31" s="16">
        <f t="shared" si="1"/>
        <v>0</v>
      </c>
      <c r="AA31" s="16">
        <f t="shared" si="2"/>
        <v>0</v>
      </c>
      <c r="AB31" s="16">
        <f t="shared" si="3"/>
        <v>0</v>
      </c>
      <c r="AC31" s="16">
        <f t="shared" si="4"/>
        <v>-9.2153731610639111E-3</v>
      </c>
      <c r="AD31" s="16">
        <f t="shared" si="5"/>
        <v>0</v>
      </c>
      <c r="AE31" s="16">
        <f t="shared" si="6"/>
        <v>0</v>
      </c>
      <c r="AF31" s="5"/>
      <c r="AG31" s="14">
        <v>46082</v>
      </c>
      <c r="AH31" s="16">
        <f t="shared" si="19"/>
        <v>7.2794545781911246E-3</v>
      </c>
      <c r="AI31" s="16">
        <f t="shared" si="20"/>
        <v>2.2720024976763398E-4</v>
      </c>
      <c r="AJ31" s="16">
        <f t="shared" si="21"/>
        <v>-1.4695227340641992E-2</v>
      </c>
      <c r="AK31" s="16">
        <f t="shared" si="22"/>
        <v>-3.1136214567097587E-2</v>
      </c>
      <c r="AL31" s="16">
        <f t="shared" si="23"/>
        <v>-3.9711122815866418E-3</v>
      </c>
      <c r="AM31" s="5"/>
      <c r="AN31" s="5"/>
      <c r="AO31" s="5"/>
      <c r="AP31" s="5"/>
      <c r="AQ31" s="5"/>
      <c r="AR31" s="5"/>
      <c r="AS31" s="5"/>
      <c r="AT31" s="5"/>
      <c r="AU31" s="5"/>
      <c r="AV31" s="5"/>
      <c r="AW31" s="5"/>
      <c r="AX31" s="5"/>
      <c r="AY31" s="5"/>
      <c r="AZ31" s="5"/>
    </row>
    <row r="32" spans="1:52">
      <c r="A32" s="14">
        <v>46113</v>
      </c>
      <c r="B32" s="17">
        <f>'NAV Data'!B31/'NAV Data'!B30-1</f>
        <v>-5.7011852510662209E-2</v>
      </c>
      <c r="C32" s="17">
        <f>'NAV Data'!C31/'NAV Data'!C30-1</f>
        <v>-9.2574478147404382E-2</v>
      </c>
      <c r="D32" s="17">
        <f>'NAV Data'!D31/'NAV Data'!D30-1</f>
        <v>-6.6678343932828565E-2</v>
      </c>
      <c r="E32" s="17">
        <f>'NAV Data'!E31/'NAV Data'!E30-1</f>
        <v>-4.7956931387031498E-2</v>
      </c>
      <c r="F32" s="17">
        <f>'NAV Data'!F31/'NAV Data'!F30-1</f>
        <v>-8.3027723387984698E-2</v>
      </c>
      <c r="G32" s="17">
        <f>'NAV Data'!G31/'NAV Data'!G30-1</f>
        <v>-7.7552678619792981E-2</v>
      </c>
      <c r="H32" s="5"/>
      <c r="I32" s="14">
        <v>46113</v>
      </c>
      <c r="J32" s="18">
        <f t="shared" si="7"/>
        <v>138.15396860052618</v>
      </c>
      <c r="K32" s="18">
        <f t="shared" si="8"/>
        <v>154.56080243294974</v>
      </c>
      <c r="L32" s="18">
        <f t="shared" si="9"/>
        <v>149.86734988886954</v>
      </c>
      <c r="M32" s="18">
        <f t="shared" si="10"/>
        <v>157.88621837228263</v>
      </c>
      <c r="N32" s="18">
        <f t="shared" si="11"/>
        <v>157.15193050095729</v>
      </c>
      <c r="O32" s="18">
        <f t="shared" si="12"/>
        <v>150.47273177110938</v>
      </c>
      <c r="P32" s="5"/>
      <c r="Q32" s="14">
        <v>46113</v>
      </c>
      <c r="R32" s="15">
        <f t="shared" si="13"/>
        <v>146.50658013926761</v>
      </c>
      <c r="S32" s="15">
        <f t="shared" si="14"/>
        <v>170.32891263340173</v>
      </c>
      <c r="T32" s="15">
        <f t="shared" si="15"/>
        <v>160.57416959591424</v>
      </c>
      <c r="U32" s="15">
        <f t="shared" si="16"/>
        <v>167.38185166554399</v>
      </c>
      <c r="V32" s="15">
        <f t="shared" si="17"/>
        <v>171.38133235782723</v>
      </c>
      <c r="W32" s="15">
        <f t="shared" si="18"/>
        <v>163.1233874103134</v>
      </c>
      <c r="X32" s="5"/>
      <c r="Y32" s="14">
        <v>46113</v>
      </c>
      <c r="Z32" s="16">
        <f t="shared" si="1"/>
        <v>-5.7011852510662098E-2</v>
      </c>
      <c r="AA32" s="16">
        <f t="shared" si="2"/>
        <v>-9.2574478147404271E-2</v>
      </c>
      <c r="AB32" s="16">
        <f t="shared" si="3"/>
        <v>-6.6678343932828454E-2</v>
      </c>
      <c r="AC32" s="16">
        <f t="shared" si="4"/>
        <v>-5.6730363529704397E-2</v>
      </c>
      <c r="AD32" s="16">
        <f t="shared" si="5"/>
        <v>-8.3027723387984698E-2</v>
      </c>
      <c r="AE32" s="16">
        <f t="shared" si="6"/>
        <v>-7.7552678619792981E-2</v>
      </c>
      <c r="AF32" s="5"/>
      <c r="AG32" s="14">
        <v>46113</v>
      </c>
      <c r="AH32" s="16">
        <f t="shared" si="19"/>
        <v>2.0540826109130772E-2</v>
      </c>
      <c r="AI32" s="16">
        <f t="shared" si="20"/>
        <v>-1.5021799527611401E-2</v>
      </c>
      <c r="AJ32" s="16">
        <f t="shared" si="21"/>
        <v>1.0874334686964415E-2</v>
      </c>
      <c r="AK32" s="16">
        <f t="shared" si="22"/>
        <v>2.9595747232761482E-2</v>
      </c>
      <c r="AL32" s="16">
        <f t="shared" si="23"/>
        <v>-5.4750447681917169E-3</v>
      </c>
      <c r="AM32" s="5"/>
      <c r="AN32" s="5"/>
      <c r="AO32" s="5"/>
      <c r="AP32" s="5"/>
      <c r="AQ32" s="5"/>
      <c r="AR32" s="5"/>
      <c r="AS32" s="5"/>
      <c r="AT32" s="5"/>
      <c r="AU32" s="5"/>
      <c r="AV32" s="5"/>
      <c r="AW32" s="5"/>
      <c r="AX32" s="5"/>
      <c r="AY32" s="5"/>
      <c r="AZ32" s="5"/>
    </row>
    <row r="33" spans="1:52">
      <c r="A33" s="14">
        <v>46143</v>
      </c>
      <c r="B33" s="17">
        <f>'NAV Data'!B32/'NAV Data'!B31-1</f>
        <v>-3.367628400552336E-2</v>
      </c>
      <c r="C33" s="17">
        <f>'NAV Data'!C32/'NAV Data'!C31-1</f>
        <v>1.7170531864032279E-2</v>
      </c>
      <c r="D33" s="17">
        <f>'NAV Data'!D32/'NAV Data'!D31-1</f>
        <v>-1.0385719766255797E-2</v>
      </c>
      <c r="E33" s="17">
        <f>'NAV Data'!E32/'NAV Data'!E31-1</f>
        <v>6.6443224231149678E-4</v>
      </c>
      <c r="F33" s="17">
        <f>'NAV Data'!F32/'NAV Data'!F31-1</f>
        <v>1.5810100997141197E-2</v>
      </c>
      <c r="G33" s="17">
        <f>'NAV Data'!G32/'NAV Data'!G31-1</f>
        <v>8.8747041863141751E-2</v>
      </c>
      <c r="H33" s="5"/>
      <c r="I33" s="14">
        <v>46143</v>
      </c>
      <c r="J33" s="18">
        <f t="shared" si="7"/>
        <v>133.50145631744471</v>
      </c>
      <c r="K33" s="18">
        <f t="shared" si="8"/>
        <v>157.21469361605511</v>
      </c>
      <c r="L33" s="18">
        <f t="shared" si="9"/>
        <v>148.31086959081233</v>
      </c>
      <c r="M33" s="18">
        <f t="shared" si="10"/>
        <v>157.9911230663858</v>
      </c>
      <c r="N33" s="18">
        <f t="shared" si="11"/>
        <v>159.63651839407314</v>
      </c>
      <c r="O33" s="18">
        <f t="shared" si="12"/>
        <v>163.82674159686132</v>
      </c>
      <c r="P33" s="5"/>
      <c r="Q33" s="14">
        <v>46143</v>
      </c>
      <c r="R33" s="15">
        <f t="shared" si="13"/>
        <v>146.50658013926761</v>
      </c>
      <c r="S33" s="15">
        <f t="shared" si="14"/>
        <v>170.32891263340173</v>
      </c>
      <c r="T33" s="15">
        <f t="shared" si="15"/>
        <v>160.57416959591424</v>
      </c>
      <c r="U33" s="15">
        <f t="shared" si="16"/>
        <v>167.38185166554399</v>
      </c>
      <c r="V33" s="15">
        <f t="shared" si="17"/>
        <v>171.38133235782723</v>
      </c>
      <c r="W33" s="15">
        <f t="shared" si="18"/>
        <v>163.82674159686132</v>
      </c>
      <c r="X33" s="5"/>
      <c r="Y33" s="14">
        <v>46143</v>
      </c>
      <c r="Z33" s="16">
        <f t="shared" si="1"/>
        <v>-8.8768189179355472E-2</v>
      </c>
      <c r="AA33" s="16">
        <f t="shared" si="2"/>
        <v>-7.6993499310198166E-2</v>
      </c>
      <c r="AB33" s="16">
        <f t="shared" si="3"/>
        <v>-7.6371561104519925E-2</v>
      </c>
      <c r="AC33" s="16">
        <f t="shared" si="4"/>
        <v>-5.6103624770040161E-2</v>
      </c>
      <c r="AD33" s="16">
        <f t="shared" si="5"/>
        <v>-6.853029908317021E-2</v>
      </c>
      <c r="AE33" s="16">
        <f t="shared" si="6"/>
        <v>0</v>
      </c>
      <c r="AF33" s="5"/>
      <c r="AG33" s="14">
        <v>46143</v>
      </c>
      <c r="AH33" s="16">
        <f t="shared" si="19"/>
        <v>-0.12242332586866511</v>
      </c>
      <c r="AI33" s="16">
        <f t="shared" si="20"/>
        <v>-7.1576509999109472E-2</v>
      </c>
      <c r="AJ33" s="16">
        <f t="shared" si="21"/>
        <v>-9.9132761629397548E-2</v>
      </c>
      <c r="AK33" s="16">
        <f t="shared" si="22"/>
        <v>-8.8082609620830254E-2</v>
      </c>
      <c r="AL33" s="16">
        <f t="shared" si="23"/>
        <v>-7.2936940866000555E-2</v>
      </c>
      <c r="AM33" s="5"/>
      <c r="AN33" s="5"/>
      <c r="AO33" s="5"/>
      <c r="AP33" s="5"/>
      <c r="AQ33" s="5"/>
      <c r="AR33" s="5"/>
      <c r="AS33" s="5"/>
      <c r="AT33" s="5"/>
      <c r="AU33" s="5"/>
      <c r="AV33" s="5"/>
      <c r="AW33" s="5"/>
      <c r="AX33" s="5"/>
      <c r="AY33" s="5"/>
      <c r="AZ33" s="5"/>
    </row>
    <row r="34" spans="1:52">
      <c r="A34" s="14">
        <v>46174</v>
      </c>
      <c r="B34" s="17">
        <f>'NAV Data'!B33/'NAV Data'!B32-1</f>
        <v>-1.662913020671597E-2</v>
      </c>
      <c r="C34" s="17">
        <f>'NAV Data'!C33/'NAV Data'!C32-1</f>
        <v>-2.4518110687297257E-2</v>
      </c>
      <c r="D34" s="17">
        <f>'NAV Data'!D33/'NAV Data'!D32-1</f>
        <v>-2.4694510561971805E-2</v>
      </c>
      <c r="E34" s="17">
        <f>'NAV Data'!E33/'NAV Data'!E32-1</f>
        <v>-1.7716172038668487E-2</v>
      </c>
      <c r="F34" s="17">
        <f>'NAV Data'!F33/'NAV Data'!F32-1</f>
        <v>-1.9398315261078491E-2</v>
      </c>
      <c r="G34" s="17">
        <f>'NAV Data'!G33/'NAV Data'!G32-1</f>
        <v>-5.1346774106555415E-3</v>
      </c>
      <c r="H34" s="5"/>
      <c r="I34" s="14">
        <v>46174</v>
      </c>
      <c r="J34" s="18">
        <f t="shared" si="7"/>
        <v>131.2814432175557</v>
      </c>
      <c r="K34" s="18">
        <f t="shared" si="8"/>
        <v>153.36008635630716</v>
      </c>
      <c r="L34" s="18">
        <f t="shared" si="9"/>
        <v>144.64840525524679</v>
      </c>
      <c r="M34" s="18">
        <f t="shared" si="10"/>
        <v>155.19212514955927</v>
      </c>
      <c r="N34" s="18">
        <f t="shared" si="11"/>
        <v>156.53983888308395</v>
      </c>
      <c r="O34" s="18">
        <f t="shared" si="12"/>
        <v>162.98554412752262</v>
      </c>
      <c r="P34" s="5"/>
      <c r="Q34" s="14">
        <v>46174</v>
      </c>
      <c r="R34" s="15">
        <f t="shared" si="13"/>
        <v>146.50658013926761</v>
      </c>
      <c r="S34" s="15">
        <f t="shared" si="14"/>
        <v>170.32891263340173</v>
      </c>
      <c r="T34" s="15">
        <f t="shared" si="15"/>
        <v>160.57416959591424</v>
      </c>
      <c r="U34" s="15">
        <f t="shared" si="16"/>
        <v>167.38185166554399</v>
      </c>
      <c r="V34" s="15">
        <f t="shared" si="17"/>
        <v>171.38133235782723</v>
      </c>
      <c r="W34" s="15">
        <f t="shared" si="18"/>
        <v>163.82674159686132</v>
      </c>
      <c r="X34" s="5"/>
      <c r="Y34" s="14">
        <v>46174</v>
      </c>
      <c r="Z34" s="16">
        <f t="shared" si="1"/>
        <v>-0.10392118160999353</v>
      </c>
      <c r="AA34" s="16">
        <f t="shared" si="2"/>
        <v>-9.9623874859205541E-2</v>
      </c>
      <c r="AB34" s="16">
        <f t="shared" si="3"/>
        <v>-9.9180113344161991E-2</v>
      </c>
      <c r="AC34" s="16">
        <f t="shared" si="4"/>
        <v>-7.2825855340289625E-2</v>
      </c>
      <c r="AD34" s="16">
        <f t="shared" si="5"/>
        <v>-8.6599241997697418E-2</v>
      </c>
      <c r="AE34" s="16">
        <f t="shared" si="6"/>
        <v>-5.1346774106555415E-3</v>
      </c>
      <c r="AF34" s="5"/>
      <c r="AG34" s="14">
        <v>46174</v>
      </c>
      <c r="AH34" s="16">
        <f t="shared" si="19"/>
        <v>-1.1494452796060428E-2</v>
      </c>
      <c r="AI34" s="16">
        <f t="shared" si="20"/>
        <v>-1.9383433276641715E-2</v>
      </c>
      <c r="AJ34" s="16">
        <f t="shared" si="21"/>
        <v>-1.9559833151316264E-2</v>
      </c>
      <c r="AK34" s="16">
        <f t="shared" si="22"/>
        <v>-1.2581494628012946E-2</v>
      </c>
      <c r="AL34" s="16">
        <f t="shared" si="23"/>
        <v>-1.426363785042295E-2</v>
      </c>
      <c r="AM34" s="5"/>
      <c r="AN34" s="5"/>
      <c r="AO34" s="5"/>
      <c r="AP34" s="5"/>
      <c r="AQ34" s="5"/>
      <c r="AR34" s="5"/>
      <c r="AS34" s="5"/>
      <c r="AT34" s="5"/>
      <c r="AU34" s="5"/>
      <c r="AV34" s="5"/>
      <c r="AW34" s="5"/>
      <c r="AX34" s="5"/>
      <c r="AY34" s="5"/>
      <c r="AZ34" s="5"/>
    </row>
    <row r="35" spans="1:52">
      <c r="A35" s="14">
        <v>46204</v>
      </c>
      <c r="B35" s="17">
        <f>'NAV Data'!B34/'NAV Data'!B33-1</f>
        <v>-1.740041205449594E-2</v>
      </c>
      <c r="C35" s="17">
        <f>'NAV Data'!C34/'NAV Data'!C33-1</f>
        <v>-4.3984631389620832E-3</v>
      </c>
      <c r="D35" s="17">
        <f>'NAV Data'!D34/'NAV Data'!D33-1</f>
        <v>-9.3830519020690062E-3</v>
      </c>
      <c r="E35" s="17">
        <f>'NAV Data'!E34/'NAV Data'!E33-1</f>
        <v>-4.2183246237489369E-3</v>
      </c>
      <c r="F35" s="17">
        <f>'NAV Data'!F34/'NAV Data'!F33-1</f>
        <v>1.2576828366774873E-3</v>
      </c>
      <c r="G35" s="17">
        <f>'NAV Data'!G34/'NAV Data'!G33-1</f>
        <v>1.2290327127630674E-2</v>
      </c>
      <c r="H35" s="5"/>
      <c r="I35" s="14">
        <v>46204</v>
      </c>
      <c r="J35" s="18">
        <f t="shared" si="7"/>
        <v>128.99709201046133</v>
      </c>
      <c r="K35" s="18">
        <f t="shared" si="8"/>
        <v>152.68553766948091</v>
      </c>
      <c r="L35" s="18">
        <f t="shared" si="9"/>
        <v>143.29116176118529</v>
      </c>
      <c r="M35" s="18">
        <f t="shared" si="10"/>
        <v>154.53747438662896</v>
      </c>
      <c r="N35" s="18">
        <f t="shared" si="11"/>
        <v>156.73671635170345</v>
      </c>
      <c r="O35" s="18">
        <f t="shared" si="12"/>
        <v>164.98868978192476</v>
      </c>
      <c r="P35" s="5"/>
      <c r="Q35" s="14">
        <v>46204</v>
      </c>
      <c r="R35" s="15">
        <f t="shared" si="13"/>
        <v>146.50658013926761</v>
      </c>
      <c r="S35" s="15">
        <f t="shared" si="14"/>
        <v>170.32891263340173</v>
      </c>
      <c r="T35" s="15">
        <f t="shared" si="15"/>
        <v>160.57416959591424</v>
      </c>
      <c r="U35" s="15">
        <f t="shared" si="16"/>
        <v>167.38185166554399</v>
      </c>
      <c r="V35" s="15">
        <f t="shared" si="17"/>
        <v>171.38133235782723</v>
      </c>
      <c r="W35" s="15">
        <f t="shared" si="18"/>
        <v>164.98868978192476</v>
      </c>
      <c r="X35" s="5"/>
      <c r="Y35" s="14">
        <v>46204</v>
      </c>
      <c r="Z35" s="16">
        <f t="shared" si="1"/>
        <v>-0.11951332228328548</v>
      </c>
      <c r="AA35" s="16">
        <f t="shared" si="2"/>
        <v>-0.10358414605683886</v>
      </c>
      <c r="AB35" s="16">
        <f t="shared" si="3"/>
        <v>-0.10763255309506958</v>
      </c>
      <c r="AC35" s="16">
        <f t="shared" si="4"/>
        <v>-7.6736976865211082E-2</v>
      </c>
      <c r="AD35" s="16">
        <f t="shared" si="5"/>
        <v>-8.5450473541349714E-2</v>
      </c>
      <c r="AE35" s="16">
        <f t="shared" si="6"/>
        <v>0</v>
      </c>
      <c r="AF35" s="5"/>
      <c r="AG35" s="14">
        <v>46204</v>
      </c>
      <c r="AH35" s="16">
        <f t="shared" si="19"/>
        <v>-2.9690739182126613E-2</v>
      </c>
      <c r="AI35" s="16">
        <f t="shared" si="20"/>
        <v>-1.6688790266592757E-2</v>
      </c>
      <c r="AJ35" s="16">
        <f t="shared" si="21"/>
        <v>-2.167337902969968E-2</v>
      </c>
      <c r="AK35" s="16">
        <f t="shared" si="22"/>
        <v>-1.650865175137961E-2</v>
      </c>
      <c r="AL35" s="16">
        <f t="shared" si="23"/>
        <v>-1.1032644290953186E-2</v>
      </c>
      <c r="AM35" s="5"/>
      <c r="AN35" s="5"/>
      <c r="AO35" s="5"/>
      <c r="AP35" s="5"/>
      <c r="AQ35" s="5"/>
      <c r="AR35" s="5"/>
      <c r="AS35" s="5"/>
      <c r="AT35" s="5"/>
      <c r="AU35" s="5"/>
      <c r="AV35" s="5"/>
      <c r="AW35" s="5"/>
      <c r="AX35" s="5"/>
      <c r="AY35" s="5"/>
      <c r="AZ35" s="5"/>
    </row>
    <row r="36" spans="1:52">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row>
    <row r="37" spans="1:52">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row>
    <row r="38" spans="1:52">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row>
    <row r="39" spans="1:52">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row>
    <row r="40" spans="1:52">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row>
    <row r="41" spans="1:52">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row>
    <row r="42" spans="1:5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row>
    <row r="43" spans="1:5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row>
    <row r="44" spans="1:52">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row>
    <row r="45" spans="1:52">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spans="1:52">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row>
    <row r="47" spans="1:52">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row>
    <row r="48" spans="1:52">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row>
    <row r="49" spans="1:5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row>
    <row r="50" spans="1:52">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row>
    <row r="51" spans="1:52">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row>
    <row r="52" spans="1: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row>
    <row r="53" spans="1:52">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row>
    <row r="54" spans="1:52">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row>
    <row r="55" spans="1:52">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row>
    <row r="56" spans="1:52">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row>
    <row r="57" spans="1:52">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row>
    <row r="58" spans="1:52">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row>
    <row r="59" spans="1:52">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row>
    <row r="60" spans="1:52">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row>
    <row r="61" spans="1:52">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row>
    <row r="62" spans="1:5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row>
    <row r="63" spans="1:5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row>
    <row r="64" spans="1:5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row>
    <row r="65" spans="1:5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row>
    <row r="66" spans="1:5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row>
    <row r="67" spans="1:5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row>
    <row r="68" spans="1:5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row>
    <row r="69" spans="1:5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row>
    <row r="70" spans="1:5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row>
    <row r="71" spans="1:5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row>
    <row r="72" spans="1:5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row>
    <row r="73" spans="1:5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row>
    <row r="74" spans="1:5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row>
    <row r="75" spans="1:5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row>
    <row r="76" spans="1:5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row>
    <row r="77" spans="1:5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row>
    <row r="78" spans="1:5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row>
    <row r="79" spans="1:5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row>
    <row r="80" spans="1:5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row>
    <row r="81" spans="1:5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row>
    <row r="82" spans="1:5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row>
    <row r="83" spans="1:5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row>
    <row r="84" spans="1:5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row>
    <row r="85" spans="1:5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row>
    <row r="86" spans="1:5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row>
    <row r="87" spans="1:5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row>
    <row r="88" spans="1:5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row>
    <row r="89" spans="1:5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row>
    <row r="90" spans="1:5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row>
    <row r="91" spans="1:5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row>
    <row r="92" spans="1:5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row>
    <row r="93" spans="1:5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row>
    <row r="94" spans="1:5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row>
    <row r="95" spans="1:5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row>
    <row r="96" spans="1:5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row>
    <row r="97" spans="1:5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row>
    <row r="98" spans="1:5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row>
    <row r="99" spans="1:5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row>
    <row r="100" spans="1:5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row>
    <row r="101" spans="1:5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row>
    <row r="102" spans="1:5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row>
    <row r="103" spans="1:5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row>
    <row r="104" spans="1:5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row>
    <row r="105" spans="1:5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row>
    <row r="106" spans="1:5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row>
    <row r="107" spans="1:5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row>
    <row r="108" spans="1:5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row>
    <row r="109" spans="1:5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row>
    <row r="110" spans="1:5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row>
    <row r="111" spans="1:5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row>
    <row r="112" spans="1:5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row>
    <row r="113" spans="1:5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row>
    <row r="114" spans="1:5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row>
    <row r="115" spans="1:5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row>
    <row r="116" spans="1:5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row>
    <row r="117" spans="1:5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row>
    <row r="118" spans="1:5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row>
    <row r="119" spans="1:5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row>
    <row r="120" spans="1:5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row>
    <row r="121" spans="1:5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row>
    <row r="122" spans="1:5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row>
    <row r="123" spans="1:5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row>
    <row r="124" spans="1:5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row>
    <row r="125" spans="1:5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row>
    <row r="126" spans="1:5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row>
    <row r="127" spans="1:5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row>
    <row r="128" spans="1:5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row>
    <row r="129" spans="1:5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row>
    <row r="130" spans="1:5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row>
    <row r="131" spans="1:5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row>
    <row r="132" spans="1:5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row>
    <row r="133" spans="1:5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row>
    <row r="134" spans="1:5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row>
    <row r="135" spans="1:5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row>
    <row r="136" spans="1:5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row>
    <row r="137" spans="1:5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row>
    <row r="138" spans="1:5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row>
    <row r="139" spans="1:5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row>
    <row r="140" spans="1:5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row>
    <row r="141" spans="1:5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row>
    <row r="142" spans="1:5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row>
    <row r="143" spans="1:5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row>
    <row r="144" spans="1:5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row>
    <row r="145" spans="1:5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row>
    <row r="146" spans="1:5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row>
    <row r="147" spans="1:5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row>
    <row r="148" spans="1:5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row>
    <row r="149" spans="1:5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row>
    <row r="150" spans="1:5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row>
    <row r="151" spans="1:5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row>
    <row r="152" spans="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row>
    <row r="153" spans="1:5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row>
    <row r="154" spans="1:5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row>
    <row r="155" spans="1:5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row>
    <row r="156" spans="1:5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row>
    <row r="157" spans="1:5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row>
    <row r="158" spans="1:5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row>
    <row r="159" spans="1:5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row>
    <row r="160" spans="1:5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row>
    <row r="161" spans="1:5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row>
    <row r="162" spans="1:5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row>
    <row r="163" spans="1:5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row>
    <row r="164" spans="1:5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row>
    <row r="165" spans="1:5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row>
    <row r="166" spans="1:5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row>
    <row r="167" spans="1:5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row>
    <row r="168" spans="1:5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row>
    <row r="169" spans="1:5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row>
    <row r="170" spans="1:5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row>
    <row r="171" spans="1:5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row>
    <row r="172" spans="1:5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row>
    <row r="173" spans="1:5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row>
    <row r="174" spans="1:5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row>
    <row r="175" spans="1:5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row>
    <row r="176" spans="1:5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row>
    <row r="177" spans="1:5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row>
    <row r="178" spans="1:5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row>
    <row r="179" spans="1:5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row>
    <row r="180" spans="1:5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row>
    <row r="181" spans="1:5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row>
    <row r="182" spans="1:5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row>
    <row r="183" spans="1:5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row>
    <row r="184" spans="1:5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row>
    <row r="185" spans="1:5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row>
    <row r="186" spans="1:5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row>
    <row r="187" spans="1:5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row>
    <row r="188" spans="1:5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row>
    <row r="189" spans="1:5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row>
    <row r="190" spans="1:5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row>
    <row r="191" spans="1:5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row>
    <row r="192" spans="1:5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row>
    <row r="193" spans="1:5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row>
    <row r="194" spans="1:5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row>
    <row r="195" spans="1:5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row>
    <row r="196" spans="1:5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row>
    <row r="197" spans="1:5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row>
    <row r="198" spans="1:5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row>
    <row r="199" spans="1:5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row>
    <row r="200" spans="1:5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row>
  </sheetData>
  <mergeCells count="2">
    <mergeCell ref="A1:AL1"/>
    <mergeCell ref="A2:AL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Z199"/>
  <sheetViews>
    <sheetView workbookViewId="0">
      <selection activeCell="D4" sqref="D4"/>
    </sheetView>
  </sheetViews>
  <sheetFormatPr baseColWidth="10" defaultColWidth="8.83203125" defaultRowHeight="14"/>
  <cols>
    <col min="1" max="1" width="20" customWidth="1"/>
    <col min="2" max="2" width="15" customWidth="1"/>
    <col min="3" max="3" width="16" bestFit="1" customWidth="1"/>
    <col min="4" max="5" width="15" customWidth="1"/>
    <col min="6" max="6" width="18.1640625" bestFit="1" customWidth="1"/>
    <col min="7" max="12" width="15" customWidth="1"/>
  </cols>
  <sheetData>
    <row r="1" spans="1:52" ht="40" customHeight="1">
      <c r="A1" s="34" t="s">
        <v>55</v>
      </c>
      <c r="B1" s="34"/>
      <c r="C1" s="34"/>
      <c r="D1" s="34"/>
      <c r="E1" s="34"/>
      <c r="F1" s="34"/>
      <c r="G1" s="34"/>
      <c r="H1" s="34"/>
      <c r="I1" s="34"/>
      <c r="J1" s="34"/>
      <c r="K1" s="34"/>
      <c r="L1" s="34"/>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row>
    <row r="2" spans="1:52">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row>
    <row r="3" spans="1:52" ht="29.25" customHeight="1">
      <c r="A3" s="1" t="s">
        <v>56</v>
      </c>
      <c r="B3" s="1" t="s">
        <v>57</v>
      </c>
      <c r="C3" s="1" t="s">
        <v>58</v>
      </c>
      <c r="D3" s="1" t="s">
        <v>59</v>
      </c>
      <c r="E3" s="1" t="s">
        <v>60</v>
      </c>
      <c r="F3" s="1" t="s">
        <v>61</v>
      </c>
      <c r="G3" s="1" t="s">
        <v>62</v>
      </c>
      <c r="H3" s="1" t="s">
        <v>63</v>
      </c>
      <c r="I3" s="1" t="s">
        <v>64</v>
      </c>
      <c r="J3" s="1" t="s">
        <v>65</v>
      </c>
      <c r="K3" s="1" t="s">
        <v>66</v>
      </c>
      <c r="L3" s="1" t="s">
        <v>67</v>
      </c>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row>
    <row r="4" spans="1:52">
      <c r="A4" s="5" t="s">
        <v>8</v>
      </c>
      <c r="B4" s="19">
        <f>'NAV Data'!B4</f>
        <v>25832.28</v>
      </c>
      <c r="C4" s="19">
        <f>'NAV Data'!B34</f>
        <v>33322.89</v>
      </c>
      <c r="D4" s="17">
        <f t="shared" ref="D4:D9" si="0">C4/B4-1</f>
        <v>0.28997092010461323</v>
      </c>
      <c r="E4" s="17">
        <f t="shared" ref="E4:E9" si="1">(C4/B4)^(12/30)-1</f>
        <v>0.10721501854431437</v>
      </c>
      <c r="F4" s="17">
        <f>AVERAGE('Monthly Returns'!B6:B35)</f>
        <v>9.5775236142947428E-3</v>
      </c>
      <c r="G4" s="17">
        <f>_xlfn.SINGLE(_xlfn.STDEV.S('Monthly Returns'!B6:B35))*SQRT(12)</f>
        <v>0.16356869807236191</v>
      </c>
      <c r="H4" s="20">
        <f>(E4-Inputs!$B$5)/G4</f>
        <v>0.38036017451695298</v>
      </c>
      <c r="I4" s="17">
        <f>MAX('Monthly Returns'!B6:B35)</f>
        <v>0.13334110047047387</v>
      </c>
      <c r="J4" s="17">
        <f>MIN('Monthly Returns'!B6:B35)</f>
        <v>-8.2373637325042659E-2</v>
      </c>
      <c r="K4" s="17">
        <f>COUNTIF('Monthly Returns'!B6:B35,"&gt;0")/COUNT('Monthly Returns'!B6:B35)</f>
        <v>0.53333333333333333</v>
      </c>
      <c r="L4" s="17">
        <f>MIN('Monthly Returns'!Z5:Z35)</f>
        <v>-0.11951332228328548</v>
      </c>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row>
    <row r="5" spans="1:52">
      <c r="A5" s="5" t="s">
        <v>11</v>
      </c>
      <c r="B5" s="19">
        <f>'NAV Data'!C4</f>
        <v>65931.490000000005</v>
      </c>
      <c r="C5" s="19">
        <f>'NAV Data'!C34</f>
        <v>100667.85</v>
      </c>
      <c r="D5" s="17">
        <f t="shared" si="0"/>
        <v>0.52685537669480853</v>
      </c>
      <c r="E5" s="17">
        <f t="shared" si="1"/>
        <v>0.18445662415120223</v>
      </c>
      <c r="F5" s="17">
        <f>AVERAGE('Monthly Returns'!C6:C35)</f>
        <v>1.538879154890721E-2</v>
      </c>
      <c r="G5" s="17">
        <f>_xlfn.SINGLE(_xlfn.STDEV.S('Monthly Returns'!C6:C35))*SQRT(12)</f>
        <v>0.17356648770823724</v>
      </c>
      <c r="H5" s="20">
        <f>(E5-Inputs!$B$5)/G5</f>
        <v>0.80347667336350559</v>
      </c>
      <c r="I5" s="17">
        <f>MAX('Monthly Returns'!C6:C35)</f>
        <v>0.12733471532019935</v>
      </c>
      <c r="J5" s="17">
        <f>MIN('Monthly Returns'!C6:C35)</f>
        <v>-9.2574478147404382E-2</v>
      </c>
      <c r="K5" s="17">
        <f>COUNTIF('Monthly Returns'!C6:C35,"&gt;0")/COUNT('Monthly Returns'!C6:C35)</f>
        <v>0.6</v>
      </c>
      <c r="L5" s="17">
        <f>MIN('Monthly Returns'!AA5:AA35)</f>
        <v>-0.10358414605683886</v>
      </c>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row>
    <row r="6" spans="1:52">
      <c r="A6" s="5" t="s">
        <v>15</v>
      </c>
      <c r="B6" s="19">
        <f>'NAV Data'!D4</f>
        <v>30576.68</v>
      </c>
      <c r="C6" s="19">
        <f>'NAV Data'!D34</f>
        <v>43813.68</v>
      </c>
      <c r="D6" s="17">
        <f t="shared" si="0"/>
        <v>0.43291161761185326</v>
      </c>
      <c r="E6" s="17">
        <f t="shared" si="1"/>
        <v>0.15474944324799322</v>
      </c>
      <c r="F6" s="17">
        <f>AVERAGE('Monthly Returns'!D6:D35)</f>
        <v>1.3024013632088161E-2</v>
      </c>
      <c r="G6" s="17">
        <f>_xlfn.SINGLE(_xlfn.STDEV.S('Monthly Returns'!D6:D35))*SQRT(12)</f>
        <v>0.15564429417714104</v>
      </c>
      <c r="H6" s="20">
        <f>(E6-Inputs!$B$5)/G6</f>
        <v>0.705129884961191</v>
      </c>
      <c r="I6" s="17">
        <f>MAX('Monthly Returns'!D6:D35)</f>
        <v>0.1123570131913918</v>
      </c>
      <c r="J6" s="17">
        <f>MIN('Monthly Returns'!D6:D35)</f>
        <v>-8.8567166841761025E-2</v>
      </c>
      <c r="K6" s="17">
        <f>COUNTIF('Monthly Returns'!D6:D35,"&gt;0")/COUNT('Monthly Returns'!D6:D35)</f>
        <v>0.56666666666666665</v>
      </c>
      <c r="L6" s="17">
        <f>MIN('Monthly Returns'!AB5:AB35)</f>
        <v>-0.11363749176520699</v>
      </c>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row>
    <row r="7" spans="1:52">
      <c r="A7" s="5" t="s">
        <v>19</v>
      </c>
      <c r="B7" s="19">
        <f>'NAV Data'!E4</f>
        <v>28149.360000000001</v>
      </c>
      <c r="C7" s="19">
        <f>'NAV Data'!E34</f>
        <v>43501.31</v>
      </c>
      <c r="D7" s="17">
        <f t="shared" si="0"/>
        <v>0.54537474386629037</v>
      </c>
      <c r="E7" s="17">
        <f t="shared" si="1"/>
        <v>0.19018240089565697</v>
      </c>
      <c r="F7" s="17">
        <f>AVERAGE('Monthly Returns'!E6:E35)</f>
        <v>1.5395775459463412E-2</v>
      </c>
      <c r="G7" s="17">
        <f>_xlfn.SINGLE(_xlfn.STDEV.S('Monthly Returns'!E6:E35))*SQRT(12)</f>
        <v>0.14092401775090788</v>
      </c>
      <c r="H7" s="20">
        <f>(E7-Inputs!$B$5)/G7</f>
        <v>1.0302175825860718</v>
      </c>
      <c r="I7" s="17">
        <f>MAX('Monthly Returns'!E6:E35)</f>
        <v>0.10421006928057674</v>
      </c>
      <c r="J7" s="17">
        <f>MIN('Monthly Returns'!E6:E35)</f>
        <v>-5.0515740185536728E-2</v>
      </c>
      <c r="K7" s="17">
        <f>COUNTIF('Monthly Returns'!E6:E35,"&gt;0")/COUNT('Monthly Returns'!E6:E35)</f>
        <v>0.56666666666666665</v>
      </c>
      <c r="L7" s="17">
        <f>MIN('Monthly Returns'!AC5:AC35)</f>
        <v>-7.6736976865211082E-2</v>
      </c>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row>
    <row r="8" spans="1:52">
      <c r="A8" s="5" t="s">
        <v>23</v>
      </c>
      <c r="B8" s="19">
        <f>'NAV Data'!F4</f>
        <v>13886.81</v>
      </c>
      <c r="C8" s="19">
        <f>'NAV Data'!F34</f>
        <v>21765.73</v>
      </c>
      <c r="D8" s="17">
        <f t="shared" si="0"/>
        <v>0.5673671635170352</v>
      </c>
      <c r="E8" s="17">
        <f t="shared" si="1"/>
        <v>0.19692874678238659</v>
      </c>
      <c r="F8" s="17">
        <f>AVERAGE('Monthly Returns'!F6:F35)</f>
        <v>1.622440599983431E-2</v>
      </c>
      <c r="G8" s="17">
        <f>_xlfn.STDEV.S('Monthly Returns'!F6:F35)*SQRT(12)</f>
        <v>0.16975178281525288</v>
      </c>
      <c r="H8" s="20">
        <f>(E8-Inputs!$B$5)/G8</f>
        <v>0.89500530870851736</v>
      </c>
      <c r="I8" s="17">
        <f>MAX('Monthly Returns'!F6:F35)</f>
        <v>0.14873439743906069</v>
      </c>
      <c r="J8" s="17">
        <f>MIN('Monthly Returns'!F6:F35)</f>
        <v>-8.3027723387984698E-2</v>
      </c>
      <c r="K8" s="17">
        <f>COUNTIF('Monthly Returns'!F6:F35,"&gt;0")/COUNT('Monthly Returns'!F6:F35)</f>
        <v>0.6</v>
      </c>
      <c r="L8" s="17">
        <f>MIN('Monthly Returns'!AD5:AD35)</f>
        <v>-9.5875290652973399E-2</v>
      </c>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row>
    <row r="9" spans="1:52">
      <c r="A9" s="5" t="s">
        <v>49</v>
      </c>
      <c r="B9" s="19">
        <f>'NAV Data'!G4</f>
        <v>1131.72</v>
      </c>
      <c r="C9" s="19">
        <f>'NAV Data'!G34</f>
        <v>1867.21</v>
      </c>
      <c r="D9" s="17">
        <f t="shared" si="0"/>
        <v>0.64988689781924847</v>
      </c>
      <c r="E9" s="17">
        <f t="shared" si="1"/>
        <v>0.22174809205145851</v>
      </c>
      <c r="F9" s="17">
        <f>AVERAGE('Monthly Returns'!G6:G35)</f>
        <v>1.7855720695802043E-2</v>
      </c>
      <c r="G9" s="17">
        <f>_xlfn.STDEV.S('Monthly Returns'!G6:G35)*SQRT(12)</f>
        <v>0.16111178311759974</v>
      </c>
      <c r="H9" s="20">
        <f>(E9-Inputs!$B$5)/G9</f>
        <v>1.0970525471898318</v>
      </c>
      <c r="I9" s="17">
        <f>MAX('Monthly Returns'!G6:G35)</f>
        <v>0.12445743407280574</v>
      </c>
      <c r="J9" s="17">
        <f>MIN('Monthly Returns'!G6:G35)</f>
        <v>-7.7552678619792981E-2</v>
      </c>
      <c r="K9" s="17">
        <f>COUNTIF('Monthly Returns'!G6:G35,"&gt;0")/COUNT('Monthly Returns'!G6:G35)</f>
        <v>0.6333333333333333</v>
      </c>
      <c r="L9" s="17">
        <f>MIN('Monthly Returns'!AE5:AE35)</f>
        <v>-7.7552678619792981E-2</v>
      </c>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row>
    <row r="10" spans="1:52">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row>
    <row r="11" spans="1:52">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row>
    <row r="12" spans="1:52">
      <c r="A12" s="36" t="s">
        <v>68</v>
      </c>
      <c r="B12" s="36"/>
      <c r="C12" s="36"/>
      <c r="D12" s="36"/>
      <c r="E12" s="36"/>
      <c r="F12" s="36"/>
      <c r="G12" s="36"/>
      <c r="H12" s="36"/>
      <c r="I12" s="36"/>
      <c r="J12" s="36"/>
      <c r="K12" s="36"/>
      <c r="L12" s="36"/>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row>
    <row r="13" spans="1:52">
      <c r="A13" s="11" t="s">
        <v>69</v>
      </c>
      <c r="B13" s="5" t="s">
        <v>23</v>
      </c>
      <c r="C13" s="16">
        <v>0.19692874678238659</v>
      </c>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row>
    <row r="14" spans="1:52">
      <c r="A14" s="11" t="s">
        <v>70</v>
      </c>
      <c r="B14" s="5" t="s">
        <v>19</v>
      </c>
      <c r="C14" s="16">
        <v>1.030217582586072</v>
      </c>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row>
    <row r="15" spans="1:52">
      <c r="A15" s="11" t="s">
        <v>71</v>
      </c>
      <c r="B15" s="5" t="s">
        <v>49</v>
      </c>
      <c r="C15" s="16">
        <v>0.22174809205145851</v>
      </c>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row>
    <row r="16" spans="1:52">
      <c r="A16" s="11" t="s">
        <v>72</v>
      </c>
      <c r="B16" s="5" t="s">
        <v>73</v>
      </c>
      <c r="C16" s="21">
        <v>30</v>
      </c>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row>
    <row r="17" spans="1:52">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row>
    <row r="18" spans="1:52">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row>
    <row r="19" spans="1:52">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row>
    <row r="20" spans="1:52">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row>
    <row r="21" spans="1:52">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row>
    <row r="22" spans="1:5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row>
    <row r="23" spans="1:52">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row>
    <row r="24" spans="1:52">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row>
    <row r="25" spans="1:52">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row>
    <row r="26" spans="1:52">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row>
    <row r="27" spans="1:52">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row>
    <row r="28" spans="1:52">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row>
    <row r="29" spans="1:52">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row>
    <row r="30" spans="1:52">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row>
    <row r="31" spans="1:52">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row>
    <row r="32" spans="1:5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row>
    <row r="33" spans="1:52">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row>
    <row r="34" spans="1:52">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row>
    <row r="35" spans="1:52">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row>
    <row r="36" spans="1:52">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row>
    <row r="37" spans="1:52">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row>
    <row r="38" spans="1:52">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row>
    <row r="39" spans="1:52">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row>
    <row r="40" spans="1:52">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row>
    <row r="41" spans="1:52">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row>
    <row r="42" spans="1:5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row>
    <row r="43" spans="1:5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row>
    <row r="44" spans="1:52">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row>
    <row r="45" spans="1:52">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spans="1:52">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row>
    <row r="47" spans="1:52">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row>
    <row r="48" spans="1:52">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row>
    <row r="49" spans="1:5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row>
    <row r="50" spans="1:52">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row>
    <row r="51" spans="1:52">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row>
    <row r="52" spans="1: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row>
    <row r="53" spans="1:52">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row>
    <row r="54" spans="1:52">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row>
    <row r="55" spans="1:52">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row>
    <row r="56" spans="1:52">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row>
    <row r="57" spans="1:52">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row>
    <row r="58" spans="1:52">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row>
    <row r="59" spans="1:52">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row>
    <row r="60" spans="1:52">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row>
    <row r="61" spans="1:52">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row>
    <row r="62" spans="1:5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row>
    <row r="63" spans="1:5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row>
    <row r="64" spans="1:5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row>
    <row r="65" spans="1:5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row>
    <row r="66" spans="1:5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row>
    <row r="67" spans="1:5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row>
    <row r="68" spans="1:5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row>
    <row r="69" spans="1:5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row>
    <row r="70" spans="1:5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row>
    <row r="71" spans="1:5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row>
    <row r="72" spans="1:5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row>
    <row r="73" spans="1:5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row>
    <row r="74" spans="1:5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row>
    <row r="75" spans="1:5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row>
    <row r="76" spans="1:5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row>
    <row r="77" spans="1:5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row>
    <row r="78" spans="1:5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row>
    <row r="79" spans="1:5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row>
    <row r="80" spans="1:5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row>
    <row r="81" spans="1:5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row>
    <row r="82" spans="1:5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row>
    <row r="83" spans="1:5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row>
    <row r="84" spans="1:5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row>
    <row r="85" spans="1:5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row>
    <row r="86" spans="1:5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row>
    <row r="87" spans="1:5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row>
    <row r="88" spans="1:5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row>
    <row r="89" spans="1:5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row>
    <row r="90" spans="1:5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row>
    <row r="91" spans="1:5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row>
    <row r="92" spans="1:5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row>
    <row r="93" spans="1:5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row>
    <row r="94" spans="1:5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row>
    <row r="95" spans="1:5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row>
    <row r="96" spans="1:5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row>
    <row r="97" spans="1:5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row>
    <row r="98" spans="1:5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row>
    <row r="99" spans="1:5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row>
    <row r="100" spans="1:5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row>
    <row r="101" spans="1:5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row>
    <row r="102" spans="1:5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row>
    <row r="103" spans="1:5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row>
    <row r="104" spans="1:5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row>
    <row r="105" spans="1:5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row>
    <row r="106" spans="1:5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row>
    <row r="107" spans="1:5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row>
    <row r="108" spans="1:5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row>
    <row r="109" spans="1:5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row>
    <row r="110" spans="1:5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row>
    <row r="111" spans="1:5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row>
    <row r="112" spans="1:5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row>
    <row r="113" spans="1:5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row>
    <row r="114" spans="1:5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row>
    <row r="115" spans="1:5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row>
    <row r="116" spans="1:5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row>
    <row r="117" spans="1:5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row>
    <row r="118" spans="1:5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row>
    <row r="119" spans="1:5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row>
    <row r="120" spans="1:5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row>
    <row r="121" spans="1:5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row>
    <row r="122" spans="1:5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row>
    <row r="123" spans="1:5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row>
    <row r="124" spans="1:5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row>
    <row r="125" spans="1:5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row>
    <row r="126" spans="1:5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row>
    <row r="127" spans="1:5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row>
    <row r="128" spans="1:5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row>
    <row r="129" spans="1:5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row>
    <row r="130" spans="1:5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row>
    <row r="131" spans="1:5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row>
    <row r="132" spans="1:5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row>
    <row r="133" spans="1:5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row>
    <row r="134" spans="1:5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row>
    <row r="135" spans="1:5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row>
    <row r="136" spans="1:5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row>
    <row r="137" spans="1:5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row>
    <row r="138" spans="1:5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row>
    <row r="139" spans="1:5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row>
    <row r="140" spans="1:5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row>
    <row r="141" spans="1:5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row>
    <row r="142" spans="1:5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row>
    <row r="143" spans="1:5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row>
    <row r="144" spans="1:5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row>
    <row r="145" spans="1:5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row>
    <row r="146" spans="1:5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row>
    <row r="147" spans="1:5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row>
    <row r="148" spans="1:5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row>
    <row r="149" spans="1:5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row>
    <row r="150" spans="1:5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row>
    <row r="151" spans="1:5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row>
    <row r="152" spans="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row>
    <row r="153" spans="1:5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row>
    <row r="154" spans="1:5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row>
    <row r="155" spans="1:5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row>
    <row r="156" spans="1:5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row>
    <row r="157" spans="1:5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row>
    <row r="158" spans="1:5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row>
    <row r="159" spans="1:5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row>
    <row r="160" spans="1:5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row>
    <row r="161" spans="1:5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row>
    <row r="162" spans="1:5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row>
    <row r="163" spans="1:5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row>
    <row r="164" spans="1:5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row>
    <row r="165" spans="1:5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row>
    <row r="166" spans="1:5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row>
    <row r="167" spans="1:5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row>
    <row r="168" spans="1:5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row>
    <row r="169" spans="1:5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row>
    <row r="170" spans="1:5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row>
    <row r="171" spans="1:5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row>
    <row r="172" spans="1:5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row>
    <row r="173" spans="1:5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row>
    <row r="174" spans="1:5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row>
    <row r="175" spans="1:5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row>
    <row r="176" spans="1:5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row>
    <row r="177" spans="1:5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row>
    <row r="178" spans="1:5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row>
    <row r="179" spans="1:5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row>
    <row r="180" spans="1:5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row>
    <row r="181" spans="1:5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row>
    <row r="182" spans="1:5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row>
    <row r="183" spans="1:5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row>
    <row r="184" spans="1:5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row>
    <row r="185" spans="1:5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row>
    <row r="186" spans="1:5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row>
    <row r="187" spans="1:5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row>
    <row r="188" spans="1:5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row>
    <row r="189" spans="1:5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row>
    <row r="190" spans="1:5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row>
    <row r="191" spans="1:5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row>
    <row r="192" spans="1:5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row>
    <row r="193" spans="1:5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row>
    <row r="194" spans="1:5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row>
    <row r="195" spans="1:5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row>
    <row r="196" spans="1:5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row>
    <row r="197" spans="1:5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row>
    <row r="198" spans="1:5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row>
    <row r="199" spans="1:5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row>
  </sheetData>
  <mergeCells count="2">
    <mergeCell ref="A1:L1"/>
    <mergeCell ref="A12:L12"/>
  </mergeCells>
  <conditionalFormatting sqref="E4:E8">
    <cfRule type="dataBar" priority="1">
      <dataBar>
        <cfvo type="min"/>
        <cfvo type="max"/>
        <color rgb="FF2563EB"/>
      </dataBar>
    </cfRule>
    <cfRule type="dataBar" priority="4">
      <dataBar>
        <cfvo type="min"/>
        <cfvo type="max"/>
        <color rgb="FF2563EB"/>
      </dataBar>
      <extLst>
        <ext xmlns:x14="http://schemas.microsoft.com/office/spreadsheetml/2009/9/main" uri="{B025F937-C7B1-47D3-B67F-A62EFF666E3E}">
          <x14:id>{EBD46AA0-629A-AAA5-FA00-2A20C63F8EB8}</x14:id>
        </ext>
      </extLst>
    </cfRule>
  </conditionalFormatting>
  <conditionalFormatting sqref="G4:G8">
    <cfRule type="dataBar" priority="2">
      <dataBar>
        <cfvo type="min"/>
        <cfvo type="max"/>
        <color rgb="FFD4A72C"/>
      </dataBar>
    </cfRule>
    <cfRule type="dataBar" priority="5">
      <dataBar>
        <cfvo type="min"/>
        <cfvo type="max"/>
        <color rgb="FFD4A72C"/>
      </dataBar>
      <extLst>
        <ext xmlns:x14="http://schemas.microsoft.com/office/spreadsheetml/2009/9/main" uri="{B025F937-C7B1-47D3-B67F-A62EFF666E3E}">
          <x14:id>{15C38EC4-3B87-A3B7-F0BC-E39422156D1F}</x14:id>
        </ext>
      </extLst>
    </cfRule>
  </conditionalFormatting>
  <conditionalFormatting sqref="H4:H8">
    <cfRule type="dataBar" priority="3">
      <dataBar>
        <cfvo type="min"/>
        <cfvo type="max"/>
        <color rgb="FF008000"/>
      </dataBar>
    </cfRule>
    <cfRule type="dataBar" priority="6">
      <dataBar>
        <cfvo type="min"/>
        <cfvo type="max"/>
        <color rgb="FF008000"/>
      </dataBar>
      <extLst>
        <ext xmlns:x14="http://schemas.microsoft.com/office/spreadsheetml/2009/9/main" uri="{B025F937-C7B1-47D3-B67F-A62EFF666E3E}">
          <x14:id>{E452015C-DE93-501C-D777-46D15ADC7267}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BD46AA0-629A-AAA5-FA00-2A20C63F8EB8}">
            <x14:dataBar>
              <x14:cfvo type="min"/>
              <x14:cfvo type="max"/>
              <x14:negativeFillColor auto="1"/>
              <x14:axisColor auto="1"/>
            </x14:dataBar>
          </x14:cfRule>
          <xm:sqref>E4:E8</xm:sqref>
        </x14:conditionalFormatting>
        <x14:conditionalFormatting xmlns:xm="http://schemas.microsoft.com/office/excel/2006/main">
          <x14:cfRule type="dataBar" id="{15C38EC4-3B87-A3B7-F0BC-E39422156D1F}">
            <x14:dataBar>
              <x14:cfvo type="min"/>
              <x14:cfvo type="max"/>
              <x14:negativeFillColor auto="1"/>
              <x14:axisColor auto="1"/>
            </x14:dataBar>
          </x14:cfRule>
          <xm:sqref>G4:G8</xm:sqref>
        </x14:conditionalFormatting>
        <x14:conditionalFormatting xmlns:xm="http://schemas.microsoft.com/office/excel/2006/main">
          <x14:cfRule type="dataBar" id="{E452015C-DE93-501C-D777-46D15ADC7267}">
            <x14:dataBar>
              <x14:cfvo type="min"/>
              <x14:cfvo type="max"/>
              <x14:negativeFillColor auto="1"/>
              <x14:axisColor auto="1"/>
            </x14:dataBar>
          </x14:cfRule>
          <xm:sqref>H4:H8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Z200"/>
  <sheetViews>
    <sheetView workbookViewId="0">
      <selection activeCell="F10" sqref="F10"/>
    </sheetView>
  </sheetViews>
  <sheetFormatPr baseColWidth="10" defaultColWidth="8.83203125" defaultRowHeight="14"/>
  <cols>
    <col min="1" max="1" width="20" customWidth="1"/>
    <col min="2" max="8" width="16" customWidth="1"/>
  </cols>
  <sheetData>
    <row r="1" spans="1:52" ht="40" customHeight="1">
      <c r="A1" s="34" t="s">
        <v>74</v>
      </c>
      <c r="B1" s="34"/>
      <c r="C1" s="34"/>
      <c r="D1" s="34"/>
      <c r="E1" s="34"/>
      <c r="F1" s="34"/>
      <c r="G1" s="34"/>
      <c r="H1" s="34"/>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row>
    <row r="2" spans="1:52" ht="32" customHeight="1">
      <c r="A2" s="35" t="s">
        <v>75</v>
      </c>
      <c r="B2" s="35"/>
      <c r="C2" s="35"/>
      <c r="D2" s="35"/>
      <c r="E2" s="35"/>
      <c r="F2" s="35"/>
      <c r="G2" s="35"/>
      <c r="H2" s="3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row>
    <row r="3" spans="1:52">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row>
    <row r="4" spans="1:52" ht="29.25" customHeight="1">
      <c r="A4" s="1" t="s">
        <v>76</v>
      </c>
      <c r="B4" s="1" t="s">
        <v>77</v>
      </c>
      <c r="C4" s="1" t="s">
        <v>78</v>
      </c>
      <c r="D4" s="1" t="s">
        <v>79</v>
      </c>
      <c r="E4" s="1" t="s">
        <v>80</v>
      </c>
      <c r="F4" s="1" t="s">
        <v>81</v>
      </c>
      <c r="G4" s="1" t="s">
        <v>82</v>
      </c>
      <c r="H4" s="1" t="s">
        <v>83</v>
      </c>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row>
    <row r="5" spans="1:52">
      <c r="A5" s="5" t="s">
        <v>8</v>
      </c>
      <c r="B5" s="20">
        <f>_xlfn.COVARIANCE.S('Monthly Returns'!B6:B35,'Monthly Returns'!$G$6:$G$35)/_xlfn.VAR.S('Monthly Returns'!$G$6:$G$35)</f>
        <v>0.66694438424638725</v>
      </c>
      <c r="C5" s="17">
        <f>Performance!F4*12-(Inputs!$B$5+B5*(Performance!$F$9*12-Inputs!$B$5))</f>
        <v>-4.2962491074221648E-2</v>
      </c>
      <c r="D5" s="22">
        <f>CORREL('Monthly Returns'!B6:B35,'Monthly Returns'!$G$6:$G$35)</f>
        <v>0.6569264183949709</v>
      </c>
      <c r="E5" s="22">
        <f>D5^2</f>
        <v>0.43155231918524434</v>
      </c>
      <c r="F5" s="17">
        <f>_xlfn.STDEV.S('Monthly Returns'!AH6:AH35)*SQRT(12)</f>
        <v>0.13449150903251927</v>
      </c>
      <c r="G5" s="20">
        <f>AVERAGE('Monthly Returns'!AH6:AH35)*12/F5</f>
        <v>-0.73862183339818233</v>
      </c>
      <c r="H5" s="17">
        <f>Performance!E4-Performance!$E$9</f>
        <v>-0.11453307350714415</v>
      </c>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row>
    <row r="6" spans="1:52">
      <c r="A6" s="5" t="s">
        <v>11</v>
      </c>
      <c r="B6" s="20">
        <f>_xlfn.COVARIANCE.S('Monthly Returns'!C6:C35,'Monthly Returns'!$G$6:$G$35)/_xlfn.VAR.S('Monthly Returns'!$G$6:$G$35)</f>
        <v>0.94806636398102162</v>
      </c>
      <c r="C6" s="17">
        <f>Performance!F5*12-(Inputs!$B$5+B6*(Performance!$F$9*12-Inputs!$B$5))</f>
        <v>-2.0812413389924123E-2</v>
      </c>
      <c r="D6" s="22">
        <f>CORREL('Monthly Returns'!C6:C35,'Monthly Returns'!$G$6:$G$35)</f>
        <v>0.88003545172593078</v>
      </c>
      <c r="E6" s="22">
        <f>D6^2</f>
        <v>0.77446239629446301</v>
      </c>
      <c r="F6" s="17">
        <f>_xlfn.STDEV.S('Monthly Returns'!AI6:AI35)*SQRT(12)</f>
        <v>8.2851689590599784E-2</v>
      </c>
      <c r="G6" s="20">
        <f>AVERAGE('Monthly Returns'!AI6:AI35)*12/F6</f>
        <v>-0.35730290968135803</v>
      </c>
      <c r="H6" s="17">
        <f>Performance!E5-Performance!$E$9</f>
        <v>-3.7291467900256281E-2</v>
      </c>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row>
    <row r="7" spans="1:52">
      <c r="A7" s="5" t="s">
        <v>15</v>
      </c>
      <c r="B7" s="20">
        <f>_xlfn.COVARIANCE.S('Monthly Returns'!D6:D35,'Monthly Returns'!$G$6:$G$35)/_xlfn.VAR.S('Monthly Returns'!$G$6:$G$35)</f>
        <v>0.67185017542124503</v>
      </c>
      <c r="C7" s="17">
        <f>Performance!F6*12-(Inputs!$B$5+B7*(Performance!$F$9*12-Inputs!$B$5))</f>
        <v>-2.435007501954356E-3</v>
      </c>
      <c r="D7" s="22">
        <f>CORREL('Monthly Returns'!D6:D35,'Monthly Returns'!$G$6:$G$35)</f>
        <v>0.69545099820232437</v>
      </c>
      <c r="E7" s="22">
        <f>D7^2</f>
        <v>0.48365209090060934</v>
      </c>
      <c r="F7" s="17">
        <f>_xlfn.STDEV.S('Monthly Returns'!AJ6:AJ35)*SQRT(12)</f>
        <v>0.1237081808704137</v>
      </c>
      <c r="G7" s="20">
        <f>AVERAGE('Monthly Returns'!AJ6:AJ35)*12/F7</f>
        <v>-0.46868755450621391</v>
      </c>
      <c r="H7" s="17">
        <f>Performance!E6-Performance!$E$9</f>
        <v>-6.6998648803465288E-2</v>
      </c>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row>
    <row r="8" spans="1:52">
      <c r="A8" s="5" t="s">
        <v>19</v>
      </c>
      <c r="B8" s="20">
        <f>_xlfn.COVARIANCE.S('Monthly Returns'!E6:E35,'Monthly Returns'!$G$6:$G$35)/_xlfn.VAR.S('Monthly Returns'!$G$6:$G$35)</f>
        <v>0.70406593533853368</v>
      </c>
      <c r="C8" s="17">
        <f>Performance!F7*12-(Inputs!$B$5+B8*(Performance!$F$9*12-Inputs!$B$5))</f>
        <v>2.0573016289793217E-2</v>
      </c>
      <c r="D8" s="22">
        <f>CORREL('Monthly Returns'!E6:E35,'Monthly Returns'!$G$6:$G$35)</f>
        <v>0.80492537812292875</v>
      </c>
      <c r="E8" s="22">
        <f>D8^2</f>
        <v>0.64790486434633987</v>
      </c>
      <c r="F8" s="17">
        <f>_xlfn.STDEV.S('Monthly Returns'!AK6:AK35)*SQRT(12)</f>
        <v>9.6258491022910425E-2</v>
      </c>
      <c r="G8" s="20">
        <f>AVERAGE('Monthly Returns'!AK6:AK35)*12/F8</f>
        <v>-0.30666741730906294</v>
      </c>
      <c r="H8" s="17">
        <f>Performance!E7-Performance!$E$9</f>
        <v>-3.1565691155801545E-2</v>
      </c>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row>
    <row r="9" spans="1:52">
      <c r="A9" s="5" t="s">
        <v>23</v>
      </c>
      <c r="B9" s="20">
        <f>_xlfn.COVARIANCE.S('Monthly Returns'!F6:F35,'Monthly Returns'!$G$6:$G$35)/_xlfn.VAR.S('Monthly Returns'!$G$6:$G$35)</f>
        <v>0.93871420300627484</v>
      </c>
      <c r="C9" s="17">
        <f>Performance!F8*12-(Inputs!$B$5+B9*(Performance!$F$9*12-Inputs!$B$5))</f>
        <v>-9.2020123314554558E-3</v>
      </c>
      <c r="D9" s="22">
        <f>CORREL('Monthly Returns'!F6:F35,'Monthly Returns'!$G$6:$G$35)</f>
        <v>0.89093567428835352</v>
      </c>
      <c r="E9" s="22">
        <f>D9^2</f>
        <v>0.79376637571964315</v>
      </c>
      <c r="F9" s="17">
        <f>_xlfn.STDEV.S('Monthly Returns'!AL6:AL35)*SQRT(12)</f>
        <v>7.7719063240633088E-2</v>
      </c>
      <c r="G9" s="20">
        <f>AVERAGE('Monthly Returns'!AL6:AL35)*12/F9</f>
        <v>-0.25187869662044765</v>
      </c>
      <c r="H9" s="17">
        <f>Performance!E8-Performance!$E$9</f>
        <v>-2.4819345269071924E-2</v>
      </c>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row>
    <row r="10" spans="1:52">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row>
    <row r="11" spans="1:52">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row>
    <row r="12" spans="1:52">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row>
    <row r="13" spans="1:52">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row>
    <row r="14" spans="1:52">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row>
    <row r="15" spans="1:52">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row>
    <row r="16" spans="1:52">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row>
    <row r="17" spans="1:52">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row>
    <row r="18" spans="1:52">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row>
    <row r="19" spans="1:52">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row>
    <row r="20" spans="1:52">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row>
    <row r="21" spans="1:52">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row>
    <row r="22" spans="1:5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row>
    <row r="23" spans="1:52">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row>
    <row r="24" spans="1:52">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row>
    <row r="25" spans="1:52">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row>
    <row r="26" spans="1:52">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row>
    <row r="27" spans="1:52">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row>
    <row r="28" spans="1:52">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row>
    <row r="29" spans="1:52">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row>
    <row r="30" spans="1:52">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row>
    <row r="31" spans="1:52">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row>
    <row r="32" spans="1:5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row>
    <row r="33" spans="1:52">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row>
    <row r="34" spans="1:52">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row>
    <row r="35" spans="1:52">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row>
    <row r="36" spans="1:52">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row>
    <row r="37" spans="1:52">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row>
    <row r="38" spans="1:52">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row>
    <row r="39" spans="1:52">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row>
    <row r="40" spans="1:52">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row>
    <row r="41" spans="1:52">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row>
    <row r="42" spans="1:5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row>
    <row r="43" spans="1:5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row>
    <row r="44" spans="1:52">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row>
    <row r="45" spans="1:52">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spans="1:52">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row>
    <row r="47" spans="1:52">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row>
    <row r="48" spans="1:52">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row>
    <row r="49" spans="1:5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row>
    <row r="50" spans="1:52">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row>
    <row r="51" spans="1:52">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row>
    <row r="52" spans="1: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row>
    <row r="53" spans="1:52">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row>
    <row r="54" spans="1:52">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row>
    <row r="55" spans="1:52">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row>
    <row r="56" spans="1:52">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row>
    <row r="57" spans="1:52">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row>
    <row r="58" spans="1:52">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row>
    <row r="59" spans="1:52">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row>
    <row r="60" spans="1:52">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row>
    <row r="61" spans="1:52">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row>
    <row r="62" spans="1:5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row>
    <row r="63" spans="1:5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row>
    <row r="64" spans="1:5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row>
    <row r="65" spans="1:5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row>
    <row r="66" spans="1:5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row>
    <row r="67" spans="1:5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row>
    <row r="68" spans="1:5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row>
    <row r="69" spans="1:5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row>
    <row r="70" spans="1:5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row>
    <row r="71" spans="1:5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row>
    <row r="72" spans="1:5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row>
    <row r="73" spans="1:5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row>
    <row r="74" spans="1:5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row>
    <row r="75" spans="1:5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row>
    <row r="76" spans="1:5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row>
    <row r="77" spans="1:5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row>
    <row r="78" spans="1:5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row>
    <row r="79" spans="1:5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row>
    <row r="80" spans="1:5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row>
    <row r="81" spans="1:5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row>
    <row r="82" spans="1:5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row>
    <row r="83" spans="1:5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row>
    <row r="84" spans="1:5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row>
    <row r="85" spans="1:5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row>
    <row r="86" spans="1:5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row>
    <row r="87" spans="1:5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row>
    <row r="88" spans="1:5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row>
    <row r="89" spans="1:5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row>
    <row r="90" spans="1:5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row>
    <row r="91" spans="1:5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row>
    <row r="92" spans="1:5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row>
    <row r="93" spans="1:5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row>
    <row r="94" spans="1:5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row>
    <row r="95" spans="1:5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row>
    <row r="96" spans="1:5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row>
    <row r="97" spans="1:5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row>
    <row r="98" spans="1:5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row>
    <row r="99" spans="1:5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row>
    <row r="100" spans="1:5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row>
    <row r="101" spans="1:5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row>
    <row r="102" spans="1:5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row>
    <row r="103" spans="1:5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row>
    <row r="104" spans="1:5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row>
    <row r="105" spans="1:5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row>
    <row r="106" spans="1:5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row>
    <row r="107" spans="1:5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row>
    <row r="108" spans="1:5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row>
    <row r="109" spans="1:5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row>
    <row r="110" spans="1:5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row>
    <row r="111" spans="1:5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row>
    <row r="112" spans="1:5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row>
    <row r="113" spans="1:5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row>
    <row r="114" spans="1:5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row>
    <row r="115" spans="1:5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row>
    <row r="116" spans="1:5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row>
    <row r="117" spans="1:5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row>
    <row r="118" spans="1:5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row>
    <row r="119" spans="1:5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row>
    <row r="120" spans="1:5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row>
    <row r="121" spans="1:5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row>
    <row r="122" spans="1:5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row>
    <row r="123" spans="1:5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row>
    <row r="124" spans="1:5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row>
    <row r="125" spans="1:5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row>
    <row r="126" spans="1:5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row>
    <row r="127" spans="1:5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row>
    <row r="128" spans="1:5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row>
    <row r="129" spans="1:5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row>
    <row r="130" spans="1:5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row>
    <row r="131" spans="1:5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row>
    <row r="132" spans="1:5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row>
    <row r="133" spans="1:5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row>
    <row r="134" spans="1:5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row>
    <row r="135" spans="1:5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row>
    <row r="136" spans="1:5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row>
    <row r="137" spans="1:5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row>
    <row r="138" spans="1:5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row>
    <row r="139" spans="1:5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row>
    <row r="140" spans="1:5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row>
    <row r="141" spans="1:5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row>
    <row r="142" spans="1:5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row>
    <row r="143" spans="1:5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row>
    <row r="144" spans="1:5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row>
    <row r="145" spans="1:5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row>
    <row r="146" spans="1:5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row>
    <row r="147" spans="1:5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row>
    <row r="148" spans="1:5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row>
    <row r="149" spans="1:5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row>
    <row r="150" spans="1:5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row>
    <row r="151" spans="1:5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row>
    <row r="152" spans="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row>
    <row r="153" spans="1:5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row>
    <row r="154" spans="1:5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row>
    <row r="155" spans="1:5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row>
    <row r="156" spans="1:5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row>
    <row r="157" spans="1:5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row>
    <row r="158" spans="1:5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row>
    <row r="159" spans="1:5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row>
    <row r="160" spans="1:5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row>
    <row r="161" spans="1:5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row>
    <row r="162" spans="1:5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row>
    <row r="163" spans="1:5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row>
    <row r="164" spans="1:5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row>
    <row r="165" spans="1:5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row>
    <row r="166" spans="1:5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row>
    <row r="167" spans="1:5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row>
    <row r="168" spans="1:5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row>
    <row r="169" spans="1:5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row>
    <row r="170" spans="1:5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row>
    <row r="171" spans="1:5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row>
    <row r="172" spans="1:5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row>
    <row r="173" spans="1:5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row>
    <row r="174" spans="1:5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row>
    <row r="175" spans="1:5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row>
    <row r="176" spans="1:5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row>
    <row r="177" spans="1:5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row>
    <row r="178" spans="1:5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row>
    <row r="179" spans="1:5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row>
    <row r="180" spans="1:5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row>
    <row r="181" spans="1:5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row>
    <row r="182" spans="1:5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row>
    <row r="183" spans="1:5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row>
    <row r="184" spans="1:5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row>
    <row r="185" spans="1:5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row>
    <row r="186" spans="1:5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row>
    <row r="187" spans="1:5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row>
    <row r="188" spans="1:5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row>
    <row r="189" spans="1:5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row>
    <row r="190" spans="1:5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row>
    <row r="191" spans="1:5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row>
    <row r="192" spans="1:5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row>
    <row r="193" spans="1:5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row>
    <row r="194" spans="1:5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row>
    <row r="195" spans="1:5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row>
    <row r="196" spans="1:5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row>
    <row r="197" spans="1:5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row>
    <row r="198" spans="1:5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row>
    <row r="199" spans="1:5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row>
    <row r="200" spans="1:5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row>
  </sheetData>
  <mergeCells count="2">
    <mergeCell ref="A1:H1"/>
    <mergeCell ref="A2:H2"/>
  </mergeCells>
  <conditionalFormatting sqref="B5:B9">
    <cfRule type="dataBar" priority="1">
      <dataBar>
        <cfvo type="min"/>
        <cfvo type="max"/>
        <color rgb="FF2563EB"/>
      </dataBar>
    </cfRule>
    <cfRule type="dataBar" priority="3">
      <dataBar>
        <cfvo type="min"/>
        <cfvo type="max"/>
        <color rgb="FF2563EB"/>
      </dataBar>
      <extLst>
        <ext xmlns:x14="http://schemas.microsoft.com/office/spreadsheetml/2009/9/main" uri="{B025F937-C7B1-47D3-B67F-A62EFF666E3E}">
          <x14:id>{DDE49466-D3CD-23F8-2EFF-5BA1E9BE59BB}</x14:id>
        </ext>
      </extLst>
    </cfRule>
  </conditionalFormatting>
  <conditionalFormatting sqref="C5:C9">
    <cfRule type="colorScale" priority="2">
      <colorScale>
        <cfvo type="min"/>
        <cfvo type="percentile" val="50"/>
        <cfvo type="max"/>
        <color rgb="FFFEE2E2"/>
        <color rgb="FFFEF3C7"/>
        <color rgb="FFDCFCE7"/>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DE49466-D3CD-23F8-2EFF-5BA1E9BE59BB}">
            <x14:dataBar>
              <x14:cfvo type="min"/>
              <x14:cfvo type="max"/>
              <x14:negativeFillColor auto="1"/>
              <x14:axisColor auto="1"/>
            </x14:dataBar>
          </x14:cfRule>
          <xm:sqref>B5:B9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200"/>
  <sheetViews>
    <sheetView workbookViewId="0">
      <selection activeCell="F18" sqref="F18"/>
    </sheetView>
  </sheetViews>
  <sheetFormatPr baseColWidth="10" defaultColWidth="8.83203125" defaultRowHeight="14"/>
  <cols>
    <col min="1" max="1" width="22" customWidth="1"/>
    <col min="2" max="6" width="15" customWidth="1"/>
  </cols>
  <sheetData>
    <row r="1" spans="1:52" ht="40" customHeight="1">
      <c r="A1" s="34" t="s">
        <v>84</v>
      </c>
      <c r="B1" s="34"/>
      <c r="C1" s="34"/>
      <c r="D1" s="34"/>
      <c r="E1" s="34"/>
      <c r="F1" s="34"/>
      <c r="G1" s="34"/>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row>
    <row r="2" spans="1:52" ht="32" customHeight="1">
      <c r="A2" s="35" t="s">
        <v>85</v>
      </c>
      <c r="B2" s="35"/>
      <c r="C2" s="35"/>
      <c r="D2" s="35"/>
      <c r="E2" s="35"/>
      <c r="F2" s="35"/>
      <c r="G2" s="3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row>
    <row r="3" spans="1:52">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row>
    <row r="4" spans="1:52" ht="29.25" customHeight="1">
      <c r="A4" s="1" t="s">
        <v>79</v>
      </c>
      <c r="B4" s="1" t="s">
        <v>8</v>
      </c>
      <c r="C4" s="1" t="s">
        <v>11</v>
      </c>
      <c r="D4" s="1" t="s">
        <v>15</v>
      </c>
      <c r="E4" s="1" t="s">
        <v>19</v>
      </c>
      <c r="F4" s="1" t="s">
        <v>23</v>
      </c>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row>
    <row r="5" spans="1:52">
      <c r="A5" s="2" t="s">
        <v>8</v>
      </c>
      <c r="B5" s="15">
        <f>CORREL('Monthly Returns'!B6:B35,'Monthly Returns'!B6:B35)</f>
        <v>1</v>
      </c>
      <c r="C5" s="15">
        <f>CORREL('Monthly Returns'!B6:B35,'Monthly Returns'!C6:C35)</f>
        <v>0.81265725213379159</v>
      </c>
      <c r="D5" s="15">
        <f>CORREL('Monthly Returns'!B6:B35,'Monthly Returns'!D6:D35)</f>
        <v>0.9622581842698783</v>
      </c>
      <c r="E5" s="15">
        <f>CORREL('Monthly Returns'!B6:B35,'Monthly Returns'!E6:E35)</f>
        <v>0.89425281721290972</v>
      </c>
      <c r="F5" s="15">
        <f>CORREL('Monthly Returns'!B6:B35,'Monthly Returns'!F6:F35)</f>
        <v>0.87824158844490874</v>
      </c>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row>
    <row r="6" spans="1:52">
      <c r="A6" s="2" t="s">
        <v>11</v>
      </c>
      <c r="B6" s="15">
        <f>CORREL('Monthly Returns'!C6:C35,'Monthly Returns'!B6:B35)</f>
        <v>0.81265725213379159</v>
      </c>
      <c r="C6" s="15">
        <f>CORREL('Monthly Returns'!C6:C35,'Monthly Returns'!C6:C35)</f>
        <v>1</v>
      </c>
      <c r="D6" s="15">
        <f>CORREL('Monthly Returns'!C6:C35,'Monthly Returns'!D6:D35)</f>
        <v>0.81177907862765109</v>
      </c>
      <c r="E6" s="15">
        <f>CORREL('Monthly Returns'!C6:C35,'Monthly Returns'!E6:E35)</f>
        <v>0.87559062757395623</v>
      </c>
      <c r="F6" s="15">
        <f>CORREL('Monthly Returns'!C6:C35,'Monthly Returns'!F6:F35)</f>
        <v>0.95082998908528971</v>
      </c>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row>
    <row r="7" spans="1:52">
      <c r="A7" s="2" t="s">
        <v>15</v>
      </c>
      <c r="B7" s="15">
        <f>CORREL('Monthly Returns'!D6:D35,'Monthly Returns'!B6:B35)</f>
        <v>0.9622581842698783</v>
      </c>
      <c r="C7" s="15">
        <f>CORREL('Monthly Returns'!D6:D35,'Monthly Returns'!C6:C35)</f>
        <v>0.81177907862765109</v>
      </c>
      <c r="D7" s="15">
        <f>CORREL('Monthly Returns'!D6:D35,'Monthly Returns'!D6:D35)</f>
        <v>0.99999999999999989</v>
      </c>
      <c r="E7" s="15">
        <f>CORREL('Monthly Returns'!D6:D35,'Monthly Returns'!E6:E35)</f>
        <v>0.91049606169411312</v>
      </c>
      <c r="F7" s="15">
        <f>CORREL('Monthly Returns'!D6:D35,'Monthly Returns'!F6:F35)</f>
        <v>0.8767958659564139</v>
      </c>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row>
    <row r="8" spans="1:52">
      <c r="A8" s="2" t="s">
        <v>19</v>
      </c>
      <c r="B8" s="15">
        <f>CORREL('Monthly Returns'!E6:E35,'Monthly Returns'!B6:B35)</f>
        <v>0.89425281721290972</v>
      </c>
      <c r="C8" s="15">
        <f>CORREL('Monthly Returns'!E6:E35,'Monthly Returns'!C6:C35)</f>
        <v>0.87559062757395623</v>
      </c>
      <c r="D8" s="15">
        <f>CORREL('Monthly Returns'!E6:E35,'Monthly Returns'!D6:D35)</f>
        <v>0.91049606169411312</v>
      </c>
      <c r="E8" s="15">
        <f>CORREL('Monthly Returns'!E6:E35,'Monthly Returns'!E6:E35)</f>
        <v>0.99999999999999989</v>
      </c>
      <c r="F8" s="15">
        <f>CORREL('Monthly Returns'!E6:E35,'Monthly Returns'!F6:F35)</f>
        <v>0.92846295338014129</v>
      </c>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row>
    <row r="9" spans="1:52">
      <c r="A9" s="2" t="s">
        <v>23</v>
      </c>
      <c r="B9" s="15">
        <f>CORREL('Monthly Returns'!F6:F35,'Monthly Returns'!B6:B35)</f>
        <v>0.87824158844490874</v>
      </c>
      <c r="C9" s="15">
        <f>CORREL('Monthly Returns'!F6:F35,'Monthly Returns'!C6:C35)</f>
        <v>0.95082998908528971</v>
      </c>
      <c r="D9" s="15">
        <f>CORREL('Monthly Returns'!F6:F35,'Monthly Returns'!D6:D35)</f>
        <v>0.8767958659564139</v>
      </c>
      <c r="E9" s="15">
        <f>CORREL('Monthly Returns'!F6:F35,'Monthly Returns'!E6:E35)</f>
        <v>0.92846295338014129</v>
      </c>
      <c r="F9" s="15">
        <f>CORREL('Monthly Returns'!F6:F35,'Monthly Returns'!F6:F35)</f>
        <v>1</v>
      </c>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row>
    <row r="10" spans="1:52">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row>
    <row r="11" spans="1:52">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row>
    <row r="12" spans="1:52" ht="29.25" customHeight="1">
      <c r="A12" s="1" t="s">
        <v>86</v>
      </c>
      <c r="B12" s="1" t="s">
        <v>8</v>
      </c>
      <c r="C12" s="1" t="s">
        <v>11</v>
      </c>
      <c r="D12" s="1" t="s">
        <v>15</v>
      </c>
      <c r="E12" s="1" t="s">
        <v>19</v>
      </c>
      <c r="F12" s="1" t="s">
        <v>23</v>
      </c>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row>
    <row r="13" spans="1:52">
      <c r="A13" s="2" t="s">
        <v>8</v>
      </c>
      <c r="B13" s="23">
        <f>_xlfn.COVARIANCE.S('Monthly Returns'!B6:B35,'Monthly Returns'!B6:B35)*12</f>
        <v>2.6754718989087489E-2</v>
      </c>
      <c r="C13" s="23">
        <f>_xlfn.SINGLE(_xlfn.COVARIANCE.S('Monthly Returns'!B6:B35,'Monthly Returns'!C6:C35))*12</f>
        <v>2.3071375489100057E-2</v>
      </c>
      <c r="D13" s="23">
        <f>_xlfn.SINGLE(_xlfn.COVARIANCE.S('Monthly Returns'!B6:B35,'Monthly Returns'!D6:D35))*12</f>
        <v>2.4497683240788479E-2</v>
      </c>
      <c r="E13" s="23">
        <f>_xlfn.SINGLE(_xlfn.COVARIANCE.S('Monthly Returns'!B6:B35,'Monthly Returns'!E6:E35))*12</f>
        <v>2.0613205379335309E-2</v>
      </c>
      <c r="F13" s="23">
        <f>_xlfn.SINGLE(_xlfn.COVARIANCE.S('Monthly Returns'!B6:B35,'Monthly Returns'!F6:F35))*12</f>
        <v>2.4385324544697693E-2</v>
      </c>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row>
    <row r="14" spans="1:52">
      <c r="A14" s="2" t="s">
        <v>11</v>
      </c>
      <c r="B14" s="23">
        <f>_xlfn.SINGLE(_xlfn.COVARIANCE.S('Monthly Returns'!C6:C35,'Monthly Returns'!B6:B35))*12</f>
        <v>2.3071375489100057E-2</v>
      </c>
      <c r="C14" s="23">
        <f>_xlfn.SINGLE(_xlfn.COVARIANCE.S('Monthly Returns'!C6:C35,'Monthly Returns'!C6:C35))*12</f>
        <v>3.0125325655373666E-2</v>
      </c>
      <c r="D14" s="23">
        <f>_xlfn.SINGLE(_xlfn.COVARIANCE.S('Monthly Returns'!C6:C35,'Monthly Returns'!D6:D35))*12</f>
        <v>2.1929914269488888E-2</v>
      </c>
      <c r="E14" s="23">
        <f>_xlfn.SINGLE(_xlfn.COVARIANCE.S('Monthly Returns'!C6:C35,'Monthly Returns'!E6:E35))*12</f>
        <v>2.1416672510884877E-2</v>
      </c>
      <c r="F14" s="23">
        <f>_xlfn.SINGLE(_xlfn.COVARIANCE.S('Monthly Returns'!C6:C35,'Monthly Returns'!F6:F35))*12</f>
        <v>2.8014513840801801E-2</v>
      </c>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row>
    <row r="15" spans="1:52">
      <c r="A15" s="2" t="s">
        <v>15</v>
      </c>
      <c r="B15" s="23">
        <f>_xlfn.SINGLE(_xlfn.COVARIANCE.S('Monthly Returns'!D6:D35,'Monthly Returns'!B6:B35))*12</f>
        <v>2.4497683240788479E-2</v>
      </c>
      <c r="C15" s="23">
        <f>_xlfn.SINGLE(_xlfn.COVARIANCE.S('Monthly Returns'!D6:D35,'Monthly Returns'!C6:C35))*12</f>
        <v>2.1929914269488888E-2</v>
      </c>
      <c r="D15" s="23">
        <f>_xlfn.SINGLE(_xlfn.COVARIANCE.S('Monthly Returns'!D6:D35,'Monthly Returns'!D6:D35))*12</f>
        <v>2.4225146309900428E-2</v>
      </c>
      <c r="E15" s="23">
        <f>_xlfn.SINGLE(_xlfn.COVARIANCE.S('Monthly Returns'!D6:D35,'Monthly Returns'!E6:E35))*12</f>
        <v>1.9970838167417217E-2</v>
      </c>
      <c r="F15" s="23">
        <f>_xlfn.SINGLE(_xlfn.COVARIANCE.S('Monthly Returns'!D6:D35,'Monthly Returns'!F6:F35))*12</f>
        <v>2.3165732757313928E-2</v>
      </c>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row>
    <row r="16" spans="1:52">
      <c r="A16" s="2" t="s">
        <v>19</v>
      </c>
      <c r="B16" s="23">
        <f>_xlfn.SINGLE(_xlfn.COVARIANCE.S('Monthly Returns'!E6:E35,'Monthly Returns'!B6:B35))*12</f>
        <v>2.0613205379335309E-2</v>
      </c>
      <c r="C16" s="23">
        <f>_xlfn.SINGLE(_xlfn.COVARIANCE.S('Monthly Returns'!E6:E35,'Monthly Returns'!C6:C35))*12</f>
        <v>2.1416672510884877E-2</v>
      </c>
      <c r="D16" s="23">
        <f>_xlfn.SINGLE(_xlfn.COVARIANCE.S('Monthly Returns'!E6:E35,'Monthly Returns'!D6:D35))*12</f>
        <v>1.9970838167417217E-2</v>
      </c>
      <c r="E16" s="23">
        <f>_xlfn.SINGLE(_xlfn.COVARIANCE.S('Monthly Returns'!E6:E35,'Monthly Returns'!E6:E35))*12</f>
        <v>1.9859578779058196E-2</v>
      </c>
      <c r="F16" s="23">
        <f>_xlfn.SINGLE(_xlfn.COVARIANCE.S('Monthly Returns'!E6:E35,'Monthly Returns'!F6:F35))*12</f>
        <v>2.2210786638928053E-2</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row>
    <row r="17" spans="1:52">
      <c r="A17" s="2" t="s">
        <v>23</v>
      </c>
      <c r="B17" s="23">
        <f>_xlfn.SINGLE(_xlfn.COVARIANCE.S('Monthly Returns'!F6:F35,'Monthly Returns'!B6:B35))*12</f>
        <v>2.4385324544697693E-2</v>
      </c>
      <c r="C17" s="23">
        <f>_xlfn.SINGLE(_xlfn.COVARIANCE.S('Monthly Returns'!F6:F35,'Monthly Returns'!C6:C35))*12</f>
        <v>2.8014513840801801E-2</v>
      </c>
      <c r="D17" s="23">
        <f>_xlfn.SINGLE(_xlfn.COVARIANCE.S('Monthly Returns'!F6:F35,'Monthly Returns'!D6:D35))*12</f>
        <v>2.3165732757313928E-2</v>
      </c>
      <c r="E17" s="23">
        <f>_xlfn.SINGLE(_xlfn.COVARIANCE.S('Monthly Returns'!F6:F35,'Monthly Returns'!E6:E35))*12</f>
        <v>2.2210786638928053E-2</v>
      </c>
      <c r="F17" s="23">
        <f>_xlfn.SINGLE(_xlfn.COVARIANCE.S('Monthly Returns'!F6:F35,'Monthly Returns'!F6:F35))*12</f>
        <v>2.8815667768956783E-2</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row>
    <row r="18" spans="1:52">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row>
    <row r="19" spans="1:52">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row>
    <row r="20" spans="1:52">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row>
    <row r="21" spans="1:52">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row>
    <row r="22" spans="1:5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row>
    <row r="23" spans="1:52">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row>
    <row r="24" spans="1:52">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row>
    <row r="25" spans="1:52">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row>
    <row r="26" spans="1:52">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row>
    <row r="27" spans="1:52">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row>
    <row r="28" spans="1:52">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row>
    <row r="29" spans="1:52">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row>
    <row r="30" spans="1:52">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row>
    <row r="31" spans="1:52">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row>
    <row r="32" spans="1:5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row>
    <row r="33" spans="1:52">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row>
    <row r="34" spans="1:52">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row>
    <row r="35" spans="1:52">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row>
    <row r="36" spans="1:52">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row>
    <row r="37" spans="1:52">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row>
    <row r="38" spans="1:52">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row>
    <row r="39" spans="1:52">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row>
    <row r="40" spans="1:52">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row>
    <row r="41" spans="1:52">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row>
    <row r="42" spans="1:5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row>
    <row r="43" spans="1:5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row>
    <row r="44" spans="1:52">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row>
    <row r="45" spans="1:52">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spans="1:52">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row>
    <row r="47" spans="1:52">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row>
    <row r="48" spans="1:52">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row>
    <row r="49" spans="1:5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row>
    <row r="50" spans="1:52">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row>
    <row r="51" spans="1:52">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row>
    <row r="52" spans="1: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row>
    <row r="53" spans="1:52">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row>
    <row r="54" spans="1:52">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row>
    <row r="55" spans="1:52">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row>
    <row r="56" spans="1:52">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row>
    <row r="57" spans="1:52">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row>
    <row r="58" spans="1:52">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row>
    <row r="59" spans="1:52">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row>
    <row r="60" spans="1:52">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row>
    <row r="61" spans="1:52">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row>
    <row r="62" spans="1:5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row>
    <row r="63" spans="1:5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row>
    <row r="64" spans="1:5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row>
    <row r="65" spans="1:5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row>
    <row r="66" spans="1:5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row>
    <row r="67" spans="1:5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row>
    <row r="68" spans="1:5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row>
    <row r="69" spans="1:5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row>
    <row r="70" spans="1:5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row>
    <row r="71" spans="1:5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row>
    <row r="72" spans="1:5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row>
    <row r="73" spans="1:5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row>
    <row r="74" spans="1:5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row>
    <row r="75" spans="1:5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row>
    <row r="76" spans="1:5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row>
    <row r="77" spans="1:5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row>
    <row r="78" spans="1:5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row>
    <row r="79" spans="1:5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row>
    <row r="80" spans="1:5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row>
    <row r="81" spans="1:5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row>
    <row r="82" spans="1:5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row>
    <row r="83" spans="1:5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row>
    <row r="84" spans="1:5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row>
    <row r="85" spans="1:5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row>
    <row r="86" spans="1:5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row>
    <row r="87" spans="1:5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row>
    <row r="88" spans="1:5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row>
    <row r="89" spans="1:5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row>
    <row r="90" spans="1:5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row>
    <row r="91" spans="1:5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row>
    <row r="92" spans="1:5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row>
    <row r="93" spans="1:5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row>
    <row r="94" spans="1:5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row>
    <row r="95" spans="1:5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row>
    <row r="96" spans="1:5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row>
    <row r="97" spans="1:5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row>
    <row r="98" spans="1:5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row>
    <row r="99" spans="1:5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row>
    <row r="100" spans="1:5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row>
    <row r="101" spans="1:5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row>
    <row r="102" spans="1:5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row>
    <row r="103" spans="1:5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row>
    <row r="104" spans="1:5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row>
    <row r="105" spans="1:5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row>
    <row r="106" spans="1:5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row>
    <row r="107" spans="1:5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row>
    <row r="108" spans="1:5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row>
    <row r="109" spans="1:5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row>
    <row r="110" spans="1:5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row>
    <row r="111" spans="1:5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row>
    <row r="112" spans="1:5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row>
    <row r="113" spans="1:5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row>
    <row r="114" spans="1:5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row>
    <row r="115" spans="1:5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row>
    <row r="116" spans="1:5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row>
    <row r="117" spans="1:5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row>
    <row r="118" spans="1:5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row>
    <row r="119" spans="1:5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row>
    <row r="120" spans="1:5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row>
    <row r="121" spans="1:5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row>
    <row r="122" spans="1:5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row>
    <row r="123" spans="1:5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row>
    <row r="124" spans="1:5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row>
    <row r="125" spans="1:5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row>
    <row r="126" spans="1:5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row>
    <row r="127" spans="1:5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row>
    <row r="128" spans="1:5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row>
    <row r="129" spans="1:5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row>
    <row r="130" spans="1:5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row>
    <row r="131" spans="1:5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row>
    <row r="132" spans="1:5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row>
    <row r="133" spans="1:5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row>
    <row r="134" spans="1:5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row>
    <row r="135" spans="1:5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row>
    <row r="136" spans="1:5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row>
    <row r="137" spans="1:5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row>
    <row r="138" spans="1:5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row>
    <row r="139" spans="1:5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row>
    <row r="140" spans="1:5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row>
    <row r="141" spans="1:5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row>
    <row r="142" spans="1:5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row>
    <row r="143" spans="1:5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row>
    <row r="144" spans="1:5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row>
    <row r="145" spans="1:5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row>
    <row r="146" spans="1:5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row>
    <row r="147" spans="1:5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row>
    <row r="148" spans="1:5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row>
    <row r="149" spans="1:5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row>
    <row r="150" spans="1:5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row>
    <row r="151" spans="1:5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row>
    <row r="152" spans="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row>
    <row r="153" spans="1:5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row>
    <row r="154" spans="1:5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row>
    <row r="155" spans="1:5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row>
    <row r="156" spans="1:5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row>
    <row r="157" spans="1:5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row>
    <row r="158" spans="1:5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row>
    <row r="159" spans="1:5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row>
    <row r="160" spans="1:5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row>
    <row r="161" spans="1:5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row>
    <row r="162" spans="1:5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row>
    <row r="163" spans="1:5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row>
    <row r="164" spans="1:5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row>
    <row r="165" spans="1:5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row>
    <row r="166" spans="1:5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row>
    <row r="167" spans="1:5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row>
    <row r="168" spans="1:5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row>
    <row r="169" spans="1:5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row>
    <row r="170" spans="1:5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row>
    <row r="171" spans="1:5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row>
    <row r="172" spans="1:5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row>
    <row r="173" spans="1:5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row>
    <row r="174" spans="1:5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row>
    <row r="175" spans="1:5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row>
    <row r="176" spans="1:5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row>
    <row r="177" spans="1:5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row>
    <row r="178" spans="1:5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row>
    <row r="179" spans="1:5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row>
    <row r="180" spans="1:5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row>
    <row r="181" spans="1:5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row>
    <row r="182" spans="1:5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row>
    <row r="183" spans="1:5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row>
    <row r="184" spans="1:5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row>
    <row r="185" spans="1:5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row>
    <row r="186" spans="1:5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row>
    <row r="187" spans="1:5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row>
    <row r="188" spans="1:5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row>
    <row r="189" spans="1:5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row>
    <row r="190" spans="1:5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row>
    <row r="191" spans="1:5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row>
    <row r="192" spans="1:5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row>
    <row r="193" spans="1:5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row>
    <row r="194" spans="1:5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row>
    <row r="195" spans="1:5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row>
    <row r="196" spans="1:5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row>
    <row r="197" spans="1:5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row>
    <row r="198" spans="1:5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row>
    <row r="199" spans="1:5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row>
    <row r="200" spans="1:5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row>
  </sheetData>
  <mergeCells count="2">
    <mergeCell ref="A1:G1"/>
    <mergeCell ref="A2:G2"/>
  </mergeCells>
  <conditionalFormatting sqref="B5:F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Z199"/>
  <sheetViews>
    <sheetView workbookViewId="0">
      <selection activeCell="C4" sqref="C4"/>
    </sheetView>
  </sheetViews>
  <sheetFormatPr baseColWidth="10" defaultColWidth="8.83203125" defaultRowHeight="14"/>
  <cols>
    <col min="1" max="1" width="24" customWidth="1"/>
    <col min="2" max="5" width="18" customWidth="1"/>
    <col min="7" max="7" width="12" customWidth="1"/>
    <col min="8" max="12" width="16" customWidth="1"/>
  </cols>
  <sheetData>
    <row r="1" spans="1:52" ht="40" customHeight="1">
      <c r="A1" s="34" t="s">
        <v>87</v>
      </c>
      <c r="B1" s="34"/>
      <c r="C1" s="34"/>
      <c r="D1" s="34"/>
      <c r="E1" s="34"/>
      <c r="F1" s="34"/>
      <c r="G1" s="34"/>
      <c r="H1" s="34"/>
      <c r="I1" s="34"/>
      <c r="J1" s="34"/>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row>
    <row r="2" spans="1:52">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row>
    <row r="3" spans="1:52" ht="29.25" customHeight="1">
      <c r="A3" s="1" t="s">
        <v>76</v>
      </c>
      <c r="B3" s="1" t="s">
        <v>88</v>
      </c>
      <c r="C3" s="1" t="s">
        <v>89</v>
      </c>
      <c r="D3" s="1" t="s">
        <v>90</v>
      </c>
      <c r="E3" s="1" t="s">
        <v>91</v>
      </c>
      <c r="F3" s="5"/>
      <c r="G3" s="1" t="s">
        <v>48</v>
      </c>
      <c r="H3" s="1" t="s">
        <v>88</v>
      </c>
      <c r="I3" s="1" t="s">
        <v>89</v>
      </c>
      <c r="J3" s="1" t="s">
        <v>90</v>
      </c>
      <c r="K3" s="1" t="s">
        <v>91</v>
      </c>
      <c r="L3" s="1" t="s">
        <v>49</v>
      </c>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row>
    <row r="4" spans="1:52">
      <c r="A4" s="5" t="s">
        <v>8</v>
      </c>
      <c r="B4" s="24">
        <v>0.2</v>
      </c>
      <c r="C4" s="17">
        <f>Inputs!E5</f>
        <v>0.2</v>
      </c>
      <c r="D4" s="25">
        <v>6.5665450897803943E-2</v>
      </c>
      <c r="E4" s="25">
        <v>0</v>
      </c>
      <c r="F4" s="5"/>
      <c r="G4" s="14">
        <v>45292</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row>
    <row r="5" spans="1:52">
      <c r="A5" s="5" t="s">
        <v>11</v>
      </c>
      <c r="B5" s="24">
        <v>0.2</v>
      </c>
      <c r="C5" s="17">
        <f>Inputs!E6</f>
        <v>0.25</v>
      </c>
      <c r="D5" s="25">
        <v>0.13433454910219611</v>
      </c>
      <c r="E5" s="25">
        <v>0.20000000000000009</v>
      </c>
      <c r="F5" s="5"/>
      <c r="G5" s="14">
        <v>45323</v>
      </c>
      <c r="H5" s="16">
        <f>$B$4*'Monthly Returns'!$B6+$B$5*'Monthly Returns'!$C6+$B$6*'Monthly Returns'!$D6+$B$7*'Monthly Returns'!$E6+$B$8*'Monthly Returns'!$F6</f>
        <v>4.5732608475873529E-2</v>
      </c>
      <c r="I5" s="16">
        <f>$C$4*'Monthly Returns'!$B6+$C$5*'Monthly Returns'!$C6+$C$6*'Monthly Returns'!$D6+$C$7*'Monthly Returns'!$E6+$C$8*'Monthly Returns'!$F6</f>
        <v>4.343001997076211E-2</v>
      </c>
      <c r="J5" s="16">
        <f>$D$4*'Monthly Returns'!$B6+$D$5*'Monthly Returns'!$C6+$D$6*'Monthly Returns'!$D6+$D$7*'Monthly Returns'!$E6+$D$8*'Monthly Returns'!$F6</f>
        <v>5.1756575015464726E-2</v>
      </c>
      <c r="K5" s="16">
        <f>$E$4*'Monthly Returns'!$B6+$E$5*'Monthly Returns'!$C6+$E$6*'Monthly Returns'!$D6+$E$7*'Monthly Returns'!$E6+$E$8*'Monthly Returns'!$F6</f>
        <v>4.345155226799742E-2</v>
      </c>
      <c r="L5" s="16">
        <f>'Monthly Returns'!G6</f>
        <v>3.6493125508076263E-2</v>
      </c>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row>
    <row r="6" spans="1:52">
      <c r="A6" s="5" t="s">
        <v>15</v>
      </c>
      <c r="B6" s="24">
        <v>0.2</v>
      </c>
      <c r="C6" s="17">
        <f>Inputs!E7</f>
        <v>0.1</v>
      </c>
      <c r="D6" s="25">
        <v>0.4</v>
      </c>
      <c r="E6" s="25">
        <v>9.0205620750793969E-17</v>
      </c>
      <c r="F6" s="5"/>
      <c r="G6" s="14">
        <v>45352</v>
      </c>
      <c r="H6" s="16">
        <f>$B$4*'Monthly Returns'!$B7+$B$5*'Monthly Returns'!$C7+$B$6*'Monthly Returns'!$D7+$B$7*'Monthly Returns'!$E7+$B$8*'Monthly Returns'!$F7</f>
        <v>6.6234268584541858E-2</v>
      </c>
      <c r="I6" s="16">
        <f>$C$4*'Monthly Returns'!$B7+$C$5*'Monthly Returns'!$C7+$C$6*'Monthly Returns'!$D7+$C$7*'Monthly Returns'!$E7+$C$8*'Monthly Returns'!$F7</f>
        <v>6.8553376755332213E-2</v>
      </c>
      <c r="J6" s="16">
        <f>$D$4*'Monthly Returns'!$B7+$D$5*'Monthly Returns'!$C7+$D$6*'Monthly Returns'!$D7+$D$7*'Monthly Returns'!$E7+$D$8*'Monthly Returns'!$F7</f>
        <v>7.1614633262048311E-2</v>
      </c>
      <c r="K6" s="16">
        <f>$E$4*'Monthly Returns'!$B7+$E$5*'Monthly Returns'!$C7+$E$6*'Monthly Returns'!$D7+$E$7*'Monthly Returns'!$E7+$E$8*'Monthly Returns'!$F7</f>
        <v>7.9127485113049914E-2</v>
      </c>
      <c r="L6" s="16">
        <f>'Monthly Returns'!G7</f>
        <v>7.2684182707882128E-2</v>
      </c>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row>
    <row r="7" spans="1:52">
      <c r="A7" s="5" t="s">
        <v>19</v>
      </c>
      <c r="B7" s="24">
        <v>0.2</v>
      </c>
      <c r="C7" s="17">
        <f>Inputs!E8</f>
        <v>0.3</v>
      </c>
      <c r="D7" s="25">
        <v>0.39999999999999997</v>
      </c>
      <c r="E7" s="25">
        <v>0.39999999999999997</v>
      </c>
      <c r="F7" s="5"/>
      <c r="G7" s="14">
        <v>45383</v>
      </c>
      <c r="H7" s="16">
        <f>$B$4*'Monthly Returns'!$B8+$B$5*'Monthly Returns'!$C8+$B$6*'Monthly Returns'!$D8+$B$7*'Monthly Returns'!$E8+$B$8*'Monthly Returns'!$F8</f>
        <v>4.6962379185312736E-2</v>
      </c>
      <c r="I7" s="16">
        <f>$C$4*'Monthly Returns'!$B8+$C$5*'Monthly Returns'!$C8+$C$6*'Monthly Returns'!$D8+$C$7*'Monthly Returns'!$E8+$C$8*'Monthly Returns'!$F8</f>
        <v>4.4210119133281343E-2</v>
      </c>
      <c r="J7" s="16">
        <f>$D$4*'Monthly Returns'!$B8+$D$5*'Monthly Returns'!$C8+$D$6*'Monthly Returns'!$D8+$D$7*'Monthly Returns'!$E8+$D$8*'Monthly Returns'!$F8</f>
        <v>4.258772362270373E-2</v>
      </c>
      <c r="K7" s="16">
        <f>$E$4*'Monthly Returns'!$B8+$E$5*'Monthly Returns'!$C8+$E$6*'Monthly Returns'!$D8+$E$7*'Monthly Returns'!$E8+$E$8*'Monthly Returns'!$F8</f>
        <v>4.0268676874455803E-2</v>
      </c>
      <c r="L7" s="16">
        <f>'Monthly Returns'!G8</f>
        <v>1.846965699208436E-2</v>
      </c>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row>
    <row r="8" spans="1:52">
      <c r="A8" s="5" t="s">
        <v>23</v>
      </c>
      <c r="B8" s="24">
        <v>0.2</v>
      </c>
      <c r="C8" s="17">
        <f>Inputs!E9</f>
        <v>0.15</v>
      </c>
      <c r="D8" s="25">
        <v>0</v>
      </c>
      <c r="E8" s="25">
        <v>0.4</v>
      </c>
      <c r="F8" s="5"/>
      <c r="G8" s="14">
        <v>45413</v>
      </c>
      <c r="H8" s="16">
        <f>$B$4*'Monthly Returns'!$B9+$B$5*'Monthly Returns'!$C9+$B$6*'Monthly Returns'!$D9+$B$7*'Monthly Returns'!$E9+$B$8*'Monthly Returns'!$F9</f>
        <v>-4.2348077694503841E-2</v>
      </c>
      <c r="I8" s="16">
        <f>$C$4*'Monthly Returns'!$B9+$C$5*'Monthly Returns'!$C9+$C$6*'Monthly Returns'!$D9+$C$7*'Monthly Returns'!$E9+$C$8*'Monthly Returns'!$F9</f>
        <v>-4.4101267494291427E-2</v>
      </c>
      <c r="J8" s="16">
        <f>$D$4*'Monthly Returns'!$B9+$D$5*'Monthly Returns'!$C9+$D$6*'Monthly Returns'!$D9+$D$7*'Monthly Returns'!$E9+$D$8*'Monthly Returns'!$F9</f>
        <v>-4.0280053973969179E-2</v>
      </c>
      <c r="K8" s="16">
        <f>$E$4*'Monthly Returns'!$B9+$E$5*'Monthly Returns'!$C9+$E$6*'Monthly Returns'!$D9+$E$7*'Monthly Returns'!$E9+$E$8*'Monthly Returns'!$F9</f>
        <v>-4.7643060577299508E-2</v>
      </c>
      <c r="L8" s="16">
        <f>'Monthly Returns'!G9</f>
        <v>-5.0845870528747228E-2</v>
      </c>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row>
    <row r="9" spans="1:52">
      <c r="A9" s="9" t="s">
        <v>26</v>
      </c>
      <c r="B9" s="10">
        <f>SUM(B4:B8)</f>
        <v>1</v>
      </c>
      <c r="C9" s="10">
        <f>SUM(C4:C8)</f>
        <v>1</v>
      </c>
      <c r="D9" s="10">
        <f>SUM(D4:D8)</f>
        <v>1</v>
      </c>
      <c r="E9" s="10">
        <f>SUM(E4:E8)</f>
        <v>1</v>
      </c>
      <c r="F9" s="5"/>
      <c r="G9" s="14">
        <v>45444</v>
      </c>
      <c r="H9" s="16">
        <f>$B$4*'Monthly Returns'!$B10+$B$5*'Monthly Returns'!$C10+$B$6*'Monthly Returns'!$D10+$B$7*'Monthly Returns'!$E10+$B$8*'Monthly Returns'!$F10</f>
        <v>7.5891576996783797E-2</v>
      </c>
      <c r="I9" s="16">
        <f>$C$4*'Monthly Returns'!$B10+$C$5*'Monthly Returns'!$C10+$C$6*'Monthly Returns'!$D10+$C$7*'Monthly Returns'!$E10+$C$8*'Monthly Returns'!$F10</f>
        <v>7.5593426931252011E-2</v>
      </c>
      <c r="J9" s="16">
        <f>$D$4*'Monthly Returns'!$B10+$D$5*'Monthly Returns'!$C10+$D$6*'Monthly Returns'!$D10+$D$7*'Monthly Returns'!$E10+$D$8*'Monthly Returns'!$F10</f>
        <v>7.6997840458669226E-2</v>
      </c>
      <c r="K9" s="16">
        <f>$E$4*'Monthly Returns'!$B10+$E$5*'Monthly Returns'!$C10+$E$6*'Monthly Returns'!$D10+$E$7*'Monthly Returns'!$E10+$E$8*'Monthly Returns'!$F10</f>
        <v>7.4299303692064472E-2</v>
      </c>
      <c r="L9" s="16">
        <f>'Monthly Returns'!G10</f>
        <v>5.2320036831201344E-2</v>
      </c>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row>
    <row r="10" spans="1:52">
      <c r="A10" s="5"/>
      <c r="B10" s="5"/>
      <c r="C10" s="5"/>
      <c r="D10" s="5"/>
      <c r="E10" s="5"/>
      <c r="F10" s="5"/>
      <c r="G10" s="14">
        <v>45474</v>
      </c>
      <c r="H10" s="16">
        <f>$B$4*'Monthly Returns'!$B11+$B$5*'Monthly Returns'!$C11+$B$6*'Monthly Returns'!$D11+$B$7*'Monthly Returns'!$E11+$B$8*'Monthly Returns'!$F11</f>
        <v>5.279255085483903E-3</v>
      </c>
      <c r="I10" s="16">
        <f>$C$4*'Monthly Returns'!$B11+$C$5*'Monthly Returns'!$C11+$C$6*'Monthly Returns'!$D11+$C$7*'Monthly Returns'!$E11+$C$8*'Monthly Returns'!$F11</f>
        <v>3.6594466841885888E-3</v>
      </c>
      <c r="J10" s="16">
        <f>$D$4*'Monthly Returns'!$B11+$D$5*'Monthly Returns'!$C11+$D$6*'Monthly Returns'!$D11+$D$7*'Monthly Returns'!$E11+$D$8*'Monthly Returns'!$F11</f>
        <v>6.9545899196092678E-3</v>
      </c>
      <c r="K10" s="16">
        <f>$E$4*'Monthly Returns'!$B11+$E$5*'Monthly Returns'!$C11+$E$6*'Monthly Returns'!$D11+$E$7*'Monthly Returns'!$E11+$E$8*'Monthly Returns'!$F11</f>
        <v>-7.3588407811855201E-4</v>
      </c>
      <c r="L10" s="16">
        <f>'Monthly Returns'!G11</f>
        <v>-1.9875000000000087E-2</v>
      </c>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row>
    <row r="11" spans="1:52">
      <c r="A11" s="5"/>
      <c r="B11" s="5"/>
      <c r="C11" s="5"/>
      <c r="D11" s="5"/>
      <c r="E11" s="5"/>
      <c r="F11" s="5"/>
      <c r="G11" s="14">
        <v>45505</v>
      </c>
      <c r="H11" s="16">
        <f>$B$4*'Monthly Returns'!$B12+$B$5*'Monthly Returns'!$C12+$B$6*'Monthly Returns'!$D12+$B$7*'Monthly Returns'!$E12+$B$8*'Monthly Returns'!$F12</f>
        <v>-1.1900215315778496E-2</v>
      </c>
      <c r="I11" s="16">
        <f>$C$4*'Monthly Returns'!$B12+$C$5*'Monthly Returns'!$C12+$C$6*'Monthly Returns'!$D12+$C$7*'Monthly Returns'!$E12+$C$8*'Monthly Returns'!$F12</f>
        <v>-1.3225293920124392E-2</v>
      </c>
      <c r="J11" s="16">
        <f>$D$4*'Monthly Returns'!$B12+$D$5*'Monthly Returns'!$C12+$D$6*'Monthly Returns'!$D12+$D$7*'Monthly Returns'!$E12+$D$8*'Monthly Returns'!$F12</f>
        <v>-5.5180770574236645E-3</v>
      </c>
      <c r="K11" s="16">
        <f>$E$4*'Monthly Returns'!$B12+$E$5*'Monthly Returns'!$C12+$E$6*'Monthly Returns'!$D12+$E$7*'Monthly Returns'!$E12+$E$8*'Monthly Returns'!$F12</f>
        <v>-1.766439718177058E-2</v>
      </c>
      <c r="L11" s="16">
        <f>'Monthly Returns'!G12</f>
        <v>-2.1999744930493503E-2</v>
      </c>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row>
    <row r="12" spans="1:52" ht="29.25" customHeight="1">
      <c r="A12" s="1" t="s">
        <v>92</v>
      </c>
      <c r="B12" s="1" t="s">
        <v>88</v>
      </c>
      <c r="C12" s="1" t="s">
        <v>89</v>
      </c>
      <c r="D12" s="1" t="s">
        <v>90</v>
      </c>
      <c r="E12" s="1" t="s">
        <v>91</v>
      </c>
      <c r="F12" s="5"/>
      <c r="G12" s="14">
        <v>45536</v>
      </c>
      <c r="H12" s="16">
        <f>$B$4*'Monthly Returns'!$B13+$B$5*'Monthly Returns'!$C13+$B$6*'Monthly Returns'!$D13+$B$7*'Monthly Returns'!$E13+$B$8*'Monthly Returns'!$F13</f>
        <v>3.3532800116867198E-2</v>
      </c>
      <c r="I12" s="16">
        <f>$C$4*'Monthly Returns'!$B13+$C$5*'Monthly Returns'!$C13+$C$6*'Monthly Returns'!$D13+$C$7*'Monthly Returns'!$E13+$C$8*'Monthly Returns'!$F13</f>
        <v>3.4233948476834863E-2</v>
      </c>
      <c r="J12" s="16">
        <f>$D$4*'Monthly Returns'!$B13+$D$5*'Monthly Returns'!$C13+$D$6*'Monthly Returns'!$D13+$D$7*'Monthly Returns'!$E13+$D$8*'Monthly Returns'!$F13</f>
        <v>2.7907689974760015E-2</v>
      </c>
      <c r="K12" s="16">
        <f>$E$4*'Monthly Returns'!$B13+$E$5*'Monthly Returns'!$C13+$E$6*'Monthly Returns'!$D13+$E$7*'Monthly Returns'!$E13+$E$8*'Monthly Returns'!$F13</f>
        <v>4.0238486687651072E-2</v>
      </c>
      <c r="L12" s="16">
        <f>'Monthly Returns'!G13</f>
        <v>3.9805698637282338E-2</v>
      </c>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row>
    <row r="13" spans="1:52">
      <c r="A13" s="5" t="s">
        <v>93</v>
      </c>
      <c r="B13" s="17">
        <f>SUMPRODUCT(B$4:B$8,Performance!$E$4:$E$8)</f>
        <v>0.16670644672431068</v>
      </c>
      <c r="C13" s="17">
        <f>SUMPRODUCT(C$4:C$8,Performance!$E$4:$E$8)</f>
        <v>0.16962613635751783</v>
      </c>
      <c r="D13" s="17">
        <f>SUMPRODUCT(D$4:D$8,Performance!$E$4:$E$8)</f>
        <v>0.16979195762745389</v>
      </c>
      <c r="E13" s="17">
        <f>SUMPRODUCT(E$4:E$8,Performance!$E$4:$E$8)</f>
        <v>0.1917357839014579</v>
      </c>
      <c r="F13" s="5"/>
      <c r="G13" s="14">
        <v>45566</v>
      </c>
      <c r="H13" s="16">
        <f>$B$4*'Monthly Returns'!$B14+$B$5*'Monthly Returns'!$C14+$B$6*'Monthly Returns'!$D14+$B$7*'Monthly Returns'!$E14+$B$8*'Monthly Returns'!$F14</f>
        <v>8.3728585600186811E-3</v>
      </c>
      <c r="I13" s="16">
        <f>$C$4*'Monthly Returns'!$B14+$C$5*'Monthly Returns'!$C14+$C$6*'Monthly Returns'!$D14+$C$7*'Monthly Returns'!$E14+$C$8*'Monthly Returns'!$F14</f>
        <v>9.8379839455865828E-3</v>
      </c>
      <c r="J13" s="16">
        <f>$D$4*'Monthly Returns'!$B14+$D$5*'Monthly Returns'!$C14+$D$6*'Monthly Returns'!$D14+$D$7*'Monthly Returns'!$E14+$D$8*'Monthly Returns'!$F14</f>
        <v>1.3274565521478463E-2</v>
      </c>
      <c r="K13" s="16">
        <f>$E$4*'Monthly Returns'!$B14+$E$5*'Monthly Returns'!$C14+$E$6*'Monthly Returns'!$D14+$E$7*'Monthly Returns'!$E14+$E$8*'Monthly Returns'!$F14</f>
        <v>1.1873832248601834E-2</v>
      </c>
      <c r="L13" s="16">
        <f>'Monthly Returns'!G14</f>
        <v>1.285467941683649E-2</v>
      </c>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row>
    <row r="14" spans="1:52">
      <c r="A14" s="5" t="s">
        <v>62</v>
      </c>
      <c r="B14" s="17">
        <f>SQRT($B$4*$B$19+$B$5*$B$20+$B$6*$B$21+$B$7*$B$22+$B$8*$B$23)</f>
        <v>0.1534056754073837</v>
      </c>
      <c r="C14" s="17">
        <f>SQRT($C$4*$C$19+$C$5*$C$20+$C$6*$C$21+$C$7*$C$22+$C$8*$C$23)</f>
        <v>0.15217429114741773</v>
      </c>
      <c r="D14" s="17">
        <f>SQRT($D$4*$D$19+$D$5*$D$20+$D$6*$D$21+$D$7*$D$22+$D$8*$D$23)</f>
        <v>0.14675964173142048</v>
      </c>
      <c r="E14" s="17">
        <f>SQRT($E$4*$E$19+$E$5*$E$20+$E$6*$E$21+$E$7*$E$22+$E$8*$E$23)</f>
        <v>0.15494997261898497</v>
      </c>
      <c r="F14" s="5"/>
      <c r="G14" s="14">
        <v>45597</v>
      </c>
      <c r="H14" s="16">
        <f>$B$4*'Monthly Returns'!$B15+$B$5*'Monthly Returns'!$C15+$B$6*'Monthly Returns'!$D15+$B$7*'Monthly Returns'!$E15+$B$8*'Monthly Returns'!$F15</f>
        <v>-1.5271630233512478E-2</v>
      </c>
      <c r="I14" s="16">
        <f>$C$4*'Monthly Returns'!$B15+$C$5*'Monthly Returns'!$C15+$C$6*'Monthly Returns'!$D15+$C$7*'Monthly Returns'!$E15+$C$8*'Monthly Returns'!$F15</f>
        <v>-1.5712724998318526E-2</v>
      </c>
      <c r="J14" s="16">
        <f>$D$4*'Monthly Returns'!$B15+$D$5*'Monthly Returns'!$C15+$D$6*'Monthly Returns'!$D15+$D$7*'Monthly Returns'!$E15+$D$8*'Monthly Returns'!$F15</f>
        <v>-1.5597321863482297E-2</v>
      </c>
      <c r="K14" s="16">
        <f>$E$4*'Monthly Returns'!$B15+$E$5*'Monthly Returns'!$C15+$E$6*'Monthly Returns'!$D15+$E$7*'Monthly Returns'!$E15+$E$8*'Monthly Returns'!$F15</f>
        <v>-1.7073544544144871E-2</v>
      </c>
      <c r="L14" s="16">
        <f>'Monthly Returns'!G15</f>
        <v>-2.887323943661968E-2</v>
      </c>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row>
    <row r="15" spans="1:52">
      <c r="A15" s="5" t="s">
        <v>63</v>
      </c>
      <c r="B15" s="20">
        <f>(B13-Inputs!$B$5)/B14</f>
        <v>0.79336339024685598</v>
      </c>
      <c r="C15" s="20">
        <f>(C13-Inputs!$B$5)/C14</f>
        <v>0.81896971832638388</v>
      </c>
      <c r="D15" s="20">
        <f>(D13-Inputs!$B$5)/D14</f>
        <v>0.850315223962124</v>
      </c>
      <c r="E15" s="20">
        <f>(E13-Inputs!$B$5)/E14</f>
        <v>0.94698812411070654</v>
      </c>
      <c r="F15" s="5"/>
      <c r="G15" s="14">
        <v>45627</v>
      </c>
      <c r="H15" s="16">
        <f>$B$4*'Monthly Returns'!$B16+$B$5*'Monthly Returns'!$C16+$B$6*'Monthly Returns'!$D16+$B$7*'Monthly Returns'!$E16+$B$8*'Monthly Returns'!$F16</f>
        <v>-2.9734815392768073E-5</v>
      </c>
      <c r="I15" s="16">
        <f>$C$4*'Monthly Returns'!$B16+$C$5*'Monthly Returns'!$C16+$C$6*'Monthly Returns'!$D16+$C$7*'Monthly Returns'!$E16+$C$8*'Monthly Returns'!$F16</f>
        <v>1.2152916871293385E-3</v>
      </c>
      <c r="J15" s="16">
        <f>$D$4*'Monthly Returns'!$B16+$D$5*'Monthly Returns'!$C16+$D$6*'Monthly Returns'!$D16+$D$7*'Monthly Returns'!$E16+$D$8*'Monthly Returns'!$F16</f>
        <v>5.644060062597489E-3</v>
      </c>
      <c r="K15" s="16">
        <f>$E$4*'Monthly Returns'!$B16+$E$5*'Monthly Returns'!$C16+$E$6*'Monthly Returns'!$D16+$E$7*'Monthly Returns'!$E16+$E$8*'Monthly Returns'!$F16</f>
        <v>-6.8344217245535147E-4</v>
      </c>
      <c r="L15" s="16">
        <f>'Monthly Returns'!G16</f>
        <v>-2.9325279506571267E-3</v>
      </c>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row>
    <row r="16" spans="1:52">
      <c r="A16" s="5"/>
      <c r="B16" s="5"/>
      <c r="C16" s="5"/>
      <c r="D16" s="5"/>
      <c r="E16" s="5"/>
      <c r="F16" s="5"/>
      <c r="G16" s="14">
        <v>45658</v>
      </c>
      <c r="H16" s="16">
        <f>$B$4*'Monthly Returns'!$B17+$B$5*'Monthly Returns'!$C17+$B$6*'Monthly Returns'!$D17+$B$7*'Monthly Returns'!$E17+$B$8*'Monthly Returns'!$F17</f>
        <v>2.6716943425967886E-2</v>
      </c>
      <c r="I16" s="16">
        <f>$C$4*'Monthly Returns'!$B17+$C$5*'Monthly Returns'!$C17+$C$6*'Monthly Returns'!$D17+$C$7*'Monthly Returns'!$E17+$C$8*'Monthly Returns'!$F17</f>
        <v>2.6773007231421023E-2</v>
      </c>
      <c r="J16" s="16">
        <f>$D$4*'Monthly Returns'!$B17+$D$5*'Monthly Returns'!$C17+$D$6*'Monthly Returns'!$D17+$D$7*'Monthly Returns'!$E17+$D$8*'Monthly Returns'!$F17</f>
        <v>2.7319912581598604E-2</v>
      </c>
      <c r="K16" s="16">
        <f>$E$4*'Monthly Returns'!$B17+$E$5*'Monthly Returns'!$C17+$E$6*'Monthly Returns'!$D17+$E$7*'Monthly Returns'!$E17+$E$8*'Monthly Returns'!$F17</f>
        <v>2.6013665240384402E-2</v>
      </c>
      <c r="L16" s="16">
        <f>'Monthly Returns'!G17</f>
        <v>1.4785687454544005E-2</v>
      </c>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row>
    <row r="17" spans="1:52">
      <c r="A17" s="5"/>
      <c r="B17" s="5"/>
      <c r="C17" s="5"/>
      <c r="D17" s="5"/>
      <c r="E17" s="5"/>
      <c r="F17" s="5"/>
      <c r="G17" s="14">
        <v>45689</v>
      </c>
      <c r="H17" s="16">
        <f>$B$4*'Monthly Returns'!$B18+$B$5*'Monthly Returns'!$C18+$B$6*'Monthly Returns'!$D18+$B$7*'Monthly Returns'!$E18+$B$8*'Monthly Returns'!$F18</f>
        <v>-7.422446607529355E-3</v>
      </c>
      <c r="I17" s="16">
        <f>$C$4*'Monthly Returns'!$B18+$C$5*'Monthly Returns'!$C18+$C$6*'Monthly Returns'!$D18+$C$7*'Monthly Returns'!$E18+$C$8*'Monthly Returns'!$F18</f>
        <v>-8.946118341159548E-3</v>
      </c>
      <c r="J17" s="16">
        <f>$D$4*'Monthly Returns'!$B18+$D$5*'Monthly Returns'!$C18+$D$6*'Monthly Returns'!$D18+$D$7*'Monthly Returns'!$E18+$D$8*'Monthly Returns'!$F18</f>
        <v>-8.7711105580827869E-3</v>
      </c>
      <c r="K17" s="16">
        <f>$E$4*'Monthly Returns'!$B18+$E$5*'Monthly Returns'!$C18+$E$6*'Monthly Returns'!$D18+$E$7*'Monthly Returns'!$E18+$E$8*'Monthly Returns'!$F18</f>
        <v>-9.1334021954929696E-3</v>
      </c>
      <c r="L17" s="16">
        <f>'Monthly Returns'!G18</f>
        <v>-1.313685802269815E-2</v>
      </c>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row>
    <row r="18" spans="1:52" ht="29.25" customHeight="1">
      <c r="A18" s="1" t="s">
        <v>94</v>
      </c>
      <c r="B18" s="1" t="s">
        <v>88</v>
      </c>
      <c r="C18" s="1" t="s">
        <v>89</v>
      </c>
      <c r="D18" s="1" t="s">
        <v>90</v>
      </c>
      <c r="E18" s="1" t="s">
        <v>91</v>
      </c>
      <c r="F18" s="5"/>
      <c r="G18" s="14">
        <v>45717</v>
      </c>
      <c r="H18" s="16">
        <f>$B$4*'Monthly Returns'!$B19+$B$5*'Monthly Returns'!$C19+$B$6*'Monthly Returns'!$D19+$B$7*'Monthly Returns'!$E19+$B$8*'Monthly Returns'!$F19</f>
        <v>1.3790525418990686E-2</v>
      </c>
      <c r="I18" s="16">
        <f>$C$4*'Monthly Returns'!$B19+$C$5*'Monthly Returns'!$C19+$C$6*'Monthly Returns'!$D19+$C$7*'Monthly Returns'!$E19+$C$8*'Monthly Returns'!$F19</f>
        <v>1.4969334019354266E-2</v>
      </c>
      <c r="J18" s="16">
        <f>$D$4*'Monthly Returns'!$B19+$D$5*'Monthly Returns'!$C19+$D$6*'Monthly Returns'!$D19+$D$7*'Monthly Returns'!$E19+$D$8*'Monthly Returns'!$F19</f>
        <v>2.0966216716843775E-2</v>
      </c>
      <c r="K18" s="16">
        <f>$E$4*'Monthly Returns'!$B19+$E$5*'Monthly Returns'!$C19+$E$6*'Monthly Returns'!$D19+$E$7*'Monthly Returns'!$E19+$E$8*'Monthly Returns'!$F19</f>
        <v>1.4986458366035561E-2</v>
      </c>
      <c r="L18" s="16">
        <f>'Monthly Returns'!G19</f>
        <v>4.4963009664573006E-2</v>
      </c>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row>
    <row r="19" spans="1:52">
      <c r="A19" s="5" t="s">
        <v>8</v>
      </c>
      <c r="B19" s="23">
        <f>$B$4*Correlation!$B$13+$B$5*Correlation!$C$13+$B$6*Correlation!$D$13+$B$7*Correlation!$E$13+$B$8*Correlation!$F$13</f>
        <v>2.3864461528601808E-2</v>
      </c>
      <c r="C19" s="23">
        <f>$C$4*Correlation!$B$13+$C$5*Correlation!$C$13+$C$6*Correlation!$D$13+$C$7*Correlation!$E$13+$C$8*Correlation!$F$13</f>
        <v>2.341031628967661E-2</v>
      </c>
      <c r="D19" s="23">
        <f>$D$4*Correlation!$B$13+$D$5*Correlation!$C$13+$D$6*Correlation!$D$13+$D$7*Correlation!$E$13+$D$8*Correlation!$F$13</f>
        <v>2.29004989576077E-2</v>
      </c>
      <c r="E19" s="23">
        <f>$E$4*Correlation!$B$13+$E$5*Correlation!$C$13+$E$6*Correlation!$D$13+$E$7*Correlation!$E$13+$E$8*Correlation!$F$13</f>
        <v>2.2613687067433216E-2</v>
      </c>
      <c r="F19" s="5"/>
      <c r="G19" s="14">
        <v>45748</v>
      </c>
      <c r="H19" s="16">
        <f>$B$4*'Monthly Returns'!$B20+$B$5*'Monthly Returns'!$C20+$B$6*'Monthly Returns'!$D20+$B$7*'Monthly Returns'!$E20+$B$8*'Monthly Returns'!$F20</f>
        <v>-2.9464772335373705E-2</v>
      </c>
      <c r="I19" s="16">
        <f>$C$4*'Monthly Returns'!$B20+$C$5*'Monthly Returns'!$C20+$C$6*'Monthly Returns'!$D20+$C$7*'Monthly Returns'!$E20+$C$8*'Monthly Returns'!$F20</f>
        <v>-2.9275159315617017E-2</v>
      </c>
      <c r="J19" s="16">
        <f>$D$4*'Monthly Returns'!$B20+$D$5*'Monthly Returns'!$C20+$D$6*'Monthly Returns'!$D20+$D$7*'Monthly Returns'!$E20+$D$8*'Monthly Returns'!$F20</f>
        <v>-2.8488780087460284E-2</v>
      </c>
      <c r="K19" s="16">
        <f>$E$4*'Monthly Returns'!$B20+$E$5*'Monthly Returns'!$C20+$E$6*'Monthly Returns'!$D20+$E$7*'Monthly Returns'!$E20+$E$8*'Monthly Returns'!$F20</f>
        <v>-2.8286583197891596E-2</v>
      </c>
      <c r="L19" s="16">
        <f>'Monthly Returns'!G20</f>
        <v>6.0792594912058018E-3</v>
      </c>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row>
    <row r="20" spans="1:52">
      <c r="A20" s="5" t="s">
        <v>11</v>
      </c>
      <c r="B20" s="23">
        <f>$B$4*Correlation!$B$14+$B$5*Correlation!$C$14+$B$6*Correlation!$D$14+$B$7*Correlation!$E$14+$B$8*Correlation!$F$14</f>
        <v>2.4911560353129861E-2</v>
      </c>
      <c r="C20" s="23">
        <f>$C$4*Correlation!$B$14+$C$5*Correlation!$C$14+$C$6*Correlation!$D$14+$C$7*Correlation!$E$14+$C$8*Correlation!$F$14</f>
        <v>2.4965776767998053E-2</v>
      </c>
      <c r="D20" s="23">
        <f>$D$4*Correlation!$B$14+$D$5*Correlation!$C$14+$D$6*Correlation!$D$14+$D$7*Correlation!$E$14+$D$8*Correlation!$F$14</f>
        <v>2.2900499024945245E-2</v>
      </c>
      <c r="E20" s="23">
        <f>$E$4*Correlation!$B$14+$E$5*Correlation!$C$14+$E$6*Correlation!$D$14+$E$7*Correlation!$E$14+$E$8*Correlation!$F$14</f>
        <v>2.5797539671749407E-2</v>
      </c>
      <c r="F20" s="5"/>
      <c r="G20" s="14">
        <v>45778</v>
      </c>
      <c r="H20" s="16">
        <f>$B$4*'Monthly Returns'!$B21+$B$5*'Monthly Returns'!$C21+$B$6*'Monthly Returns'!$D21+$B$7*'Monthly Returns'!$E21+$B$8*'Monthly Returns'!$F21</f>
        <v>-6.3616549632078023E-2</v>
      </c>
      <c r="I20" s="16">
        <f>$C$4*'Monthly Returns'!$B21+$C$5*'Monthly Returns'!$C21+$C$6*'Monthly Returns'!$D21+$C$7*'Monthly Returns'!$E21+$C$8*'Monthly Returns'!$F21</f>
        <v>-5.776481961421924E-2</v>
      </c>
      <c r="J20" s="16">
        <f>$D$4*'Monthly Returns'!$B21+$D$5*'Monthly Returns'!$C21+$D$6*'Monthly Returns'!$D21+$D$7*'Monthly Returns'!$E21+$D$8*'Monthly Returns'!$F21</f>
        <v>-6.3109158706529417E-2</v>
      </c>
      <c r="K20" s="16">
        <f>$E$4*'Monthly Returns'!$B21+$E$5*'Monthly Returns'!$C21+$E$6*'Monthly Returns'!$D21+$E$7*'Monthly Returns'!$E21+$E$8*'Monthly Returns'!$F21</f>
        <v>-5.0757407907740054E-2</v>
      </c>
      <c r="L20" s="16">
        <f>'Monthly Returns'!G21</f>
        <v>-5.8664116052925208E-2</v>
      </c>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row>
    <row r="21" spans="1:52">
      <c r="A21" s="5" t="s">
        <v>15</v>
      </c>
      <c r="B21" s="23">
        <f>$B$4*Correlation!$B$15+$B$5*Correlation!$C$15+$B$6*Correlation!$D$15+$B$7*Correlation!$E$15+$B$8*Correlation!$F$15</f>
        <v>2.2757862948981789E-2</v>
      </c>
      <c r="C21" s="23">
        <f>$C$4*Correlation!$B$15+$C$5*Correlation!$C$15+$C$6*Correlation!$D$15+$C$7*Correlation!$E$15+$C$8*Correlation!$F$15</f>
        <v>2.2270641210342217E-2</v>
      </c>
      <c r="D21" s="23">
        <f>$D$4*Correlation!$B$15+$D$5*Correlation!$C$15+$D$6*Correlation!$D$15+$D$7*Correlation!$E$15+$D$8*Correlation!$F$15</f>
        <v>2.2232990352126614E-2</v>
      </c>
      <c r="E21" s="23">
        <f>$E$4*Correlation!$B$15+$E$5*Correlation!$C$15+$E$6*Correlation!$D$15+$E$7*Correlation!$E$15+$E$8*Correlation!$F$15</f>
        <v>2.164061122379024E-2</v>
      </c>
      <c r="F21" s="5"/>
      <c r="G21" s="14">
        <v>45809</v>
      </c>
      <c r="H21" s="16">
        <f>$B$4*'Monthly Returns'!$B22+$B$5*'Monthly Returns'!$C22+$B$6*'Monthly Returns'!$D22+$B$7*'Monthly Returns'!$E22+$B$8*'Monthly Returns'!$F22</f>
        <v>7.2652810855853608E-2</v>
      </c>
      <c r="I21" s="16">
        <f>$C$4*'Monthly Returns'!$B22+$C$5*'Monthly Returns'!$C22+$C$6*'Monthly Returns'!$D22+$C$7*'Monthly Returns'!$E22+$C$8*'Monthly Returns'!$F22</f>
        <v>7.4868396371583587E-2</v>
      </c>
      <c r="J21" s="16">
        <f>$D$4*'Monthly Returns'!$B22+$D$5*'Monthly Returns'!$C22+$D$6*'Monthly Returns'!$D22+$D$7*'Monthly Returns'!$E22+$D$8*'Monthly Returns'!$F22</f>
        <v>6.9687249558152378E-2</v>
      </c>
      <c r="K21" s="16">
        <f>$E$4*'Monthly Returns'!$B22+$E$5*'Monthly Returns'!$C22+$E$6*'Monthly Returns'!$D22+$E$7*'Monthly Returns'!$E22+$E$8*'Monthly Returns'!$F22</f>
        <v>7.2685307134503913E-2</v>
      </c>
      <c r="L21" s="16">
        <f>'Monthly Returns'!G22</f>
        <v>7.761783799040356E-2</v>
      </c>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row>
    <row r="22" spans="1:52">
      <c r="A22" s="5" t="s">
        <v>19</v>
      </c>
      <c r="B22" s="23">
        <f>$B$4*Correlation!$B$16+$B$5*Correlation!$C$16+$B$6*Correlation!$D$16+$B$7*Correlation!$E$16+$B$8*Correlation!$F$16</f>
        <v>2.081421629512473E-2</v>
      </c>
      <c r="C22" s="23">
        <f>$C$4*Correlation!$B$16+$C$5*Correlation!$C$16+$C$6*Correlation!$D$16+$C$7*Correlation!$E$16+$C$8*Correlation!$F$16</f>
        <v>2.0763384649886668E-2</v>
      </c>
      <c r="D22" s="23">
        <f>$D$4*Correlation!$B$16+$D$5*Correlation!$C$16+$D$6*Correlation!$D$16+$D$7*Correlation!$E$16+$D$8*Correlation!$F$16</f>
        <v>2.0162741249292373E-2</v>
      </c>
      <c r="E22" s="23">
        <f>$E$4*Correlation!$B$16+$E$5*Correlation!$C$16+$E$6*Correlation!$D$16+$E$7*Correlation!$E$16+$E$8*Correlation!$F$16</f>
        <v>2.1111480669371477E-2</v>
      </c>
      <c r="F22" s="5"/>
      <c r="G22" s="14">
        <v>45839</v>
      </c>
      <c r="H22" s="16">
        <f>$B$4*'Monthly Returns'!$B23+$B$5*'Monthly Returns'!$C23+$B$6*'Monthly Returns'!$D23+$B$7*'Monthly Returns'!$E23+$B$8*'Monthly Returns'!$F23</f>
        <v>4.6975156798953144E-2</v>
      </c>
      <c r="I22" s="16">
        <f>$C$4*'Monthly Returns'!$B23+$C$5*'Monthly Returns'!$C23+$C$6*'Monthly Returns'!$D23+$C$7*'Monthly Returns'!$E23+$C$8*'Monthly Returns'!$F23</f>
        <v>4.6303460904400857E-2</v>
      </c>
      <c r="J22" s="16">
        <f>$D$4*'Monthly Returns'!$B23+$D$5*'Monthly Returns'!$C23+$D$6*'Monthly Returns'!$D23+$D$7*'Monthly Returns'!$E23+$D$8*'Monthly Returns'!$F23</f>
        <v>4.5246236326626887E-2</v>
      </c>
      <c r="K22" s="16">
        <f>$E$4*'Monthly Returns'!$B23+$E$5*'Monthly Returns'!$C23+$E$6*'Monthly Returns'!$D23+$E$7*'Monthly Returns'!$E23+$E$8*'Monthly Returns'!$F23</f>
        <v>4.6086951321204425E-2</v>
      </c>
      <c r="L22" s="16">
        <f>'Monthly Returns'!G23</f>
        <v>3.1085834019306979E-2</v>
      </c>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row>
    <row r="23" spans="1:52">
      <c r="A23" s="5" t="s">
        <v>23</v>
      </c>
      <c r="B23" s="23">
        <f>$B$4*Correlation!$B$17+$B$5*Correlation!$C$17+$B$6*Correlation!$D$17+$B$7*Correlation!$E$17+$B$8*Correlation!$F$17</f>
        <v>2.5318405110139653E-2</v>
      </c>
      <c r="C23" s="23">
        <f>$C$4*Correlation!$B$17+$C$5*Correlation!$C$17+$C$6*Correlation!$D$17+$C$7*Correlation!$E$17+$C$8*Correlation!$F$17</f>
        <v>2.5182852801893314E-2</v>
      </c>
      <c r="D23" s="23">
        <f>$D$4*Correlation!$B$17+$D$5*Correlation!$C$17+$D$6*Correlation!$D$17+$D$7*Correlation!$E$17+$D$8*Correlation!$F$17</f>
        <v>2.3515198175134991E-2</v>
      </c>
      <c r="E23" s="23">
        <f>$E$4*Correlation!$B$17+$E$5*Correlation!$C$17+$E$6*Correlation!$D$17+$E$7*Correlation!$E$17+$E$8*Correlation!$F$17</f>
        <v>2.6013484531314298E-2</v>
      </c>
      <c r="F23" s="5"/>
      <c r="G23" s="14">
        <v>45870</v>
      </c>
      <c r="H23" s="16">
        <f>$B$4*'Monthly Returns'!$B24+$B$5*'Monthly Returns'!$C24+$B$6*'Monthly Returns'!$D24+$B$7*'Monthly Returns'!$E24+$B$8*'Monthly Returns'!$F24</f>
        <v>6.8907747198500721E-2</v>
      </c>
      <c r="I23" s="16">
        <f>$C$4*'Monthly Returns'!$B24+$C$5*'Monthly Returns'!$C24+$C$6*'Monthly Returns'!$D24+$C$7*'Monthly Returns'!$E24+$C$8*'Monthly Returns'!$F24</f>
        <v>7.2056390605135717E-2</v>
      </c>
      <c r="J23" s="16">
        <f>$D$4*'Monthly Returns'!$B24+$D$5*'Monthly Returns'!$C24+$D$6*'Monthly Returns'!$D24+$D$7*'Monthly Returns'!$E24+$D$8*'Monthly Returns'!$F24</f>
        <v>5.7236195620471012E-2</v>
      </c>
      <c r="K23" s="16">
        <f>$E$4*'Monthly Returns'!$B24+$E$5*'Monthly Returns'!$C24+$E$6*'Monthly Returns'!$D24+$E$7*'Monthly Returns'!$E24+$E$8*'Monthly Returns'!$F24</f>
        <v>8.3594679792057924E-2</v>
      </c>
      <c r="L23" s="16">
        <f>'Monthly Returns'!G24</f>
        <v>8.518405620391345E-2</v>
      </c>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row>
    <row r="24" spans="1:52">
      <c r="A24" s="5"/>
      <c r="B24" s="5"/>
      <c r="C24" s="5"/>
      <c r="D24" s="5"/>
      <c r="E24" s="5"/>
      <c r="F24" s="5"/>
      <c r="G24" s="14">
        <v>45901</v>
      </c>
      <c r="H24" s="16">
        <f>$B$4*'Monthly Returns'!$B25+$B$5*'Monthly Returns'!$C25+$B$6*'Monthly Returns'!$D25+$B$7*'Monthly Returns'!$E25+$B$8*'Monthly Returns'!$F25</f>
        <v>0.1251954591403405</v>
      </c>
      <c r="I24" s="16">
        <f>$C$4*'Monthly Returns'!$B25+$C$5*'Monthly Returns'!$C25+$C$6*'Monthly Returns'!$D25+$C$7*'Monthly Returns'!$E25+$C$8*'Monthly Returns'!$F25</f>
        <v>0.12331078064331591</v>
      </c>
      <c r="J24" s="16">
        <f>$D$4*'Monthly Returns'!$B25+$D$5*'Monthly Returns'!$C25+$D$6*'Monthly Returns'!$D25+$D$7*'Monthly Returns'!$E25+$D$8*'Monthly Returns'!$F25</f>
        <v>0.11248818804198596</v>
      </c>
      <c r="K24" s="16">
        <f>$E$4*'Monthly Returns'!$B25+$E$5*'Monthly Returns'!$C25+$E$6*'Monthly Returns'!$D25+$E$7*'Monthly Returns'!$E25+$E$8*'Monthly Returns'!$F25</f>
        <v>0.12664472975189489</v>
      </c>
      <c r="L24" s="16">
        <f>'Monthly Returns'!G25</f>
        <v>0.12445743407280574</v>
      </c>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row>
    <row r="25" spans="1:52">
      <c r="A25" s="5"/>
      <c r="B25" s="5"/>
      <c r="C25" s="5"/>
      <c r="D25" s="5"/>
      <c r="E25" s="5"/>
      <c r="F25" s="5"/>
      <c r="G25" s="14">
        <v>45931</v>
      </c>
      <c r="H25" s="16">
        <f>$B$4*'Monthly Returns'!$B26+$B$5*'Monthly Returns'!$C26+$B$6*'Monthly Returns'!$D26+$B$7*'Monthly Returns'!$E26+$B$8*'Monthly Returns'!$F26</f>
        <v>-2.4585983429072079E-2</v>
      </c>
      <c r="I25" s="16">
        <f>$C$4*'Monthly Returns'!$B26+$C$5*'Monthly Returns'!$C26+$C$6*'Monthly Returns'!$D26+$C$7*'Monthly Returns'!$E26+$C$8*'Monthly Returns'!$F26</f>
        <v>-2.5320447828454586E-2</v>
      </c>
      <c r="J25" s="16">
        <f>$D$4*'Monthly Returns'!$B26+$D$5*'Monthly Returns'!$C26+$D$6*'Monthly Returns'!$D26+$D$7*'Monthly Returns'!$E26+$D$8*'Monthly Returns'!$F26</f>
        <v>-2.2262085348573921E-2</v>
      </c>
      <c r="K25" s="16">
        <f>$E$4*'Monthly Returns'!$B26+$E$5*'Monthly Returns'!$C26+$E$6*'Monthly Returns'!$D26+$E$7*'Monthly Returns'!$E26+$E$8*'Monthly Returns'!$F26</f>
        <v>-1.703541129403064E-2</v>
      </c>
      <c r="L25" s="16">
        <f>'Monthly Returns'!G26</f>
        <v>-9.6651400701838197E-3</v>
      </c>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row>
    <row r="26" spans="1:52">
      <c r="A26" s="5"/>
      <c r="B26" s="5"/>
      <c r="C26" s="5"/>
      <c r="D26" s="5"/>
      <c r="E26" s="5"/>
      <c r="F26" s="5"/>
      <c r="G26" s="14">
        <v>45962</v>
      </c>
      <c r="H26" s="16">
        <f>$B$4*'Monthly Returns'!$B27+$B$5*'Monthly Returns'!$C27+$B$6*'Monthly Returns'!$D27+$B$7*'Monthly Returns'!$E27+$B$8*'Monthly Returns'!$F27</f>
        <v>-2.2185800126227066E-2</v>
      </c>
      <c r="I26" s="16">
        <f>$C$4*'Monthly Returns'!$B27+$C$5*'Monthly Returns'!$C27+$C$6*'Monthly Returns'!$D27+$C$7*'Monthly Returns'!$E27+$C$8*'Monthly Returns'!$F27</f>
        <v>-2.2692264446397048E-2</v>
      </c>
      <c r="J26" s="16">
        <f>$D$4*'Monthly Returns'!$B27+$D$5*'Monthly Returns'!$C27+$D$6*'Monthly Returns'!$D27+$D$7*'Monthly Returns'!$E27+$D$8*'Monthly Returns'!$F27</f>
        <v>-1.5860218417400519E-2</v>
      </c>
      <c r="K26" s="16">
        <f>$E$4*'Monthly Returns'!$B27+$E$5*'Monthly Returns'!$C27+$E$6*'Monthly Returns'!$D27+$E$7*'Monthly Returns'!$E27+$E$8*'Monthly Returns'!$F27</f>
        <v>-2.4399121253049556E-2</v>
      </c>
      <c r="L26" s="16">
        <f>'Monthly Returns'!G27</f>
        <v>-2.8857992252484865E-2</v>
      </c>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row>
    <row r="27" spans="1:52">
      <c r="A27" s="5"/>
      <c r="B27" s="5"/>
      <c r="C27" s="5"/>
      <c r="D27" s="5"/>
      <c r="E27" s="5"/>
      <c r="F27" s="5"/>
      <c r="G27" s="14">
        <v>45992</v>
      </c>
      <c r="H27" s="16">
        <f>$B$4*'Monthly Returns'!$B28+$B$5*'Monthly Returns'!$C28+$B$6*'Monthly Returns'!$D28+$B$7*'Monthly Returns'!$E28+$B$8*'Monthly Returns'!$F28</f>
        <v>1.1695697887792456E-3</v>
      </c>
      <c r="I27" s="16">
        <f>$C$4*'Monthly Returns'!$B28+$C$5*'Monthly Returns'!$C28+$C$6*'Monthly Returns'!$D28+$C$7*'Monthly Returns'!$E28+$C$8*'Monthly Returns'!$F28</f>
        <v>8.6426465303017768E-4</v>
      </c>
      <c r="J27" s="16">
        <f>$D$4*'Monthly Returns'!$B28+$D$5*'Monthly Returns'!$C28+$D$6*'Monthly Returns'!$D28+$D$7*'Monthly Returns'!$E28+$D$8*'Monthly Returns'!$F28</f>
        <v>-2.6214070724841056E-4</v>
      </c>
      <c r="K27" s="16">
        <f>$E$4*'Monthly Returns'!$B28+$E$5*'Monthly Returns'!$C28+$E$6*'Monthly Returns'!$D28+$E$7*'Monthly Returns'!$E28+$E$8*'Monthly Returns'!$F28</f>
        <v>1.0629690410607306E-2</v>
      </c>
      <c r="L27" s="16">
        <f>'Monthly Returns'!G28</f>
        <v>5.2362399505256674E-2</v>
      </c>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row>
    <row r="28" spans="1:52">
      <c r="A28" s="5"/>
      <c r="B28" s="5"/>
      <c r="C28" s="5"/>
      <c r="D28" s="5"/>
      <c r="E28" s="5"/>
      <c r="F28" s="5"/>
      <c r="G28" s="14">
        <v>46023</v>
      </c>
      <c r="H28" s="16">
        <f>$B$4*'Monthly Returns'!$B29+$B$5*'Monthly Returns'!$C29+$B$6*'Monthly Returns'!$D29+$B$7*'Monthly Returns'!$E29+$B$8*'Monthly Returns'!$F29</f>
        <v>1.7989263715205907E-2</v>
      </c>
      <c r="I28" s="16">
        <f>$C$4*'Monthly Returns'!$B29+$C$5*'Monthly Returns'!$C29+$C$6*'Monthly Returns'!$D29+$C$7*'Monthly Returns'!$E29+$C$8*'Monthly Returns'!$F29</f>
        <v>2.3036681508609224E-2</v>
      </c>
      <c r="J28" s="16">
        <f>$D$4*'Monthly Returns'!$B29+$D$5*'Monthly Returns'!$C29+$D$6*'Monthly Returns'!$D29+$D$7*'Monthly Returns'!$E29+$D$8*'Monthly Returns'!$F29</f>
        <v>9.1926140543478196E-3</v>
      </c>
      <c r="K28" s="16">
        <f>$E$4*'Monthly Returns'!$B29+$E$5*'Monthly Returns'!$C29+$E$6*'Monthly Returns'!$D29+$E$7*'Monthly Returns'!$E29+$E$8*'Monthly Returns'!$F29</f>
        <v>3.8651135636982303E-2</v>
      </c>
      <c r="L28" s="16">
        <f>'Monthly Returns'!G29</f>
        <v>5.096757890777881E-2</v>
      </c>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row>
    <row r="29" spans="1:52">
      <c r="A29" s="5"/>
      <c r="B29" s="5"/>
      <c r="C29" s="5"/>
      <c r="D29" s="5"/>
      <c r="E29" s="5"/>
      <c r="F29" s="5"/>
      <c r="G29" s="14">
        <v>46054</v>
      </c>
      <c r="H29" s="16">
        <f>$B$4*'Monthly Returns'!$B30+$B$5*'Monthly Returns'!$C30+$B$6*'Monthly Returns'!$D30+$B$7*'Monthly Returns'!$E30+$B$8*'Monthly Returns'!$F30</f>
        <v>6.4576401970268468E-2</v>
      </c>
      <c r="I29" s="16">
        <f>$C$4*'Monthly Returns'!$B30+$C$5*'Monthly Returns'!$C30+$C$6*'Monthly Returns'!$D30+$C$7*'Monthly Returns'!$E30+$C$8*'Monthly Returns'!$F30</f>
        <v>6.132927869657151E-2</v>
      </c>
      <c r="J29" s="16">
        <f>$D$4*'Monthly Returns'!$B30+$D$5*'Monthly Returns'!$C30+$D$6*'Monthly Returns'!$D30+$D$7*'Monthly Returns'!$E30+$D$8*'Monthly Returns'!$F30</f>
        <v>7.3451035776217616E-2</v>
      </c>
      <c r="K29" s="16">
        <f>$E$4*'Monthly Returns'!$B30+$E$5*'Monthly Returns'!$C30+$E$6*'Monthly Returns'!$D30+$E$7*'Monthly Returns'!$E30+$E$8*'Monthly Returns'!$F30</f>
        <v>5.1410080223883985E-2</v>
      </c>
      <c r="L29" s="16">
        <f>'Monthly Returns'!G30</f>
        <v>1.0120778349362425E-2</v>
      </c>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row>
    <row r="30" spans="1:52">
      <c r="A30" s="5"/>
      <c r="B30" s="5"/>
      <c r="C30" s="5"/>
      <c r="D30" s="5"/>
      <c r="E30" s="5"/>
      <c r="F30" s="5"/>
      <c r="G30" s="14">
        <v>46082</v>
      </c>
      <c r="H30" s="16">
        <f>$B$4*'Monthly Returns'!$B31+$B$5*'Monthly Returns'!$C31+$B$6*'Monthly Returns'!$D31+$B$7*'Monthly Returns'!$E31+$B$8*'Monthly Returns'!$F31</f>
        <v>1.3461661533760185E-2</v>
      </c>
      <c r="I30" s="16">
        <f>$C$4*'Monthly Returns'!$B31+$C$5*'Monthly Returns'!$C31+$C$6*'Monthly Returns'!$D31+$C$7*'Monthly Returns'!$E31+$C$8*'Monthly Returns'!$F31</f>
        <v>1.2027478437682338E-2</v>
      </c>
      <c r="J30" s="16">
        <f>$D$4*'Monthly Returns'!$B31+$D$5*'Monthly Returns'!$C31+$D$6*'Monthly Returns'!$D31+$D$7*'Monthly Returns'!$E31+$D$8*'Monthly Returns'!$F31</f>
        <v>4.0967941532132901E-3</v>
      </c>
      <c r="K30" s="16">
        <f>$E$4*'Monthly Returns'!$B31+$E$5*'Monthly Returns'!$C31+$E$6*'Monthly Returns'!$D31+$E$7*'Monthly Returns'!$E31+$E$8*'Monthly Returns'!$F31</f>
        <v>7.9233507165135143E-3</v>
      </c>
      <c r="L30" s="16">
        <f>'Monthly Returns'!G31</f>
        <v>2.1920841406033675E-2</v>
      </c>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row>
    <row r="31" spans="1:52">
      <c r="A31" s="5"/>
      <c r="B31" s="5"/>
      <c r="C31" s="5"/>
      <c r="D31" s="5"/>
      <c r="E31" s="5"/>
      <c r="F31" s="5"/>
      <c r="G31" s="14">
        <v>46113</v>
      </c>
      <c r="H31" s="16">
        <f>$B$4*'Monthly Returns'!$B32+$B$5*'Monthly Returns'!$C32+$B$6*'Monthly Returns'!$D32+$B$7*'Monthly Returns'!$E32+$B$8*'Monthly Returns'!$F32</f>
        <v>-6.9449865873182276E-2</v>
      </c>
      <c r="I31" s="16">
        <f>$C$4*'Monthly Returns'!$B32+$C$5*'Monthly Returns'!$C32+$C$6*'Monthly Returns'!$D32+$C$7*'Monthly Returns'!$E32+$C$8*'Monthly Returns'!$F32</f>
        <v>-6.8055062356573548E-2</v>
      </c>
      <c r="J31" s="16">
        <f>$D$4*'Monthly Returns'!$B32+$D$5*'Monthly Returns'!$C32+$D$6*'Monthly Returns'!$D32+$D$7*'Monthly Returns'!$E32+$D$8*'Monthly Returns'!$F32</f>
        <v>-6.2033769909878432E-2</v>
      </c>
      <c r="K31" s="16">
        <f>$E$4*'Monthly Returns'!$B32+$E$5*'Monthly Returns'!$C32+$E$6*'Monthly Returns'!$D32+$E$7*'Monthly Returns'!$E32+$E$8*'Monthly Returns'!$F32</f>
        <v>-7.090875753948736E-2</v>
      </c>
      <c r="L31" s="16">
        <f>'Monthly Returns'!G32</f>
        <v>-7.7552678619792981E-2</v>
      </c>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row>
    <row r="32" spans="1:52">
      <c r="A32" s="5"/>
      <c r="B32" s="5"/>
      <c r="C32" s="5"/>
      <c r="D32" s="5"/>
      <c r="E32" s="5"/>
      <c r="F32" s="5"/>
      <c r="G32" s="14">
        <v>46143</v>
      </c>
      <c r="H32" s="16">
        <f>$B$4*'Monthly Returns'!$B33+$B$5*'Monthly Returns'!$C33+$B$6*'Monthly Returns'!$D33+$B$7*'Monthly Returns'!$E33+$B$8*'Monthly Returns'!$F33</f>
        <v>-2.0833877336588376E-3</v>
      </c>
      <c r="I32" s="16">
        <f>$C$4*'Monthly Returns'!$B33+$C$5*'Monthly Returns'!$C33+$C$6*'Monthly Returns'!$D33+$C$7*'Monthly Returns'!$E33+$C$8*'Monthly Returns'!$F33</f>
        <v>-9.1035098945755396E-4</v>
      </c>
      <c r="J32" s="16">
        <f>$D$4*'Monthly Returns'!$B33+$D$5*'Monthly Returns'!$C33+$D$6*'Monthly Returns'!$D33+$D$7*'Monthly Returns'!$E33+$D$8*'Monthly Returns'!$F33</f>
        <v>-3.7932877275632477E-3</v>
      </c>
      <c r="K32" s="16">
        <f>$E$4*'Monthly Returns'!$B33+$E$5*'Monthly Returns'!$C33+$E$6*'Monthly Returns'!$D33+$E$7*'Monthly Returns'!$E33+$E$8*'Monthly Returns'!$F33</f>
        <v>1.0023919668587533E-2</v>
      </c>
      <c r="L32" s="16">
        <f>'Monthly Returns'!G33</f>
        <v>8.8747041863141751E-2</v>
      </c>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row>
    <row r="33" spans="1:52">
      <c r="A33" s="5"/>
      <c r="B33" s="5"/>
      <c r="C33" s="5"/>
      <c r="D33" s="5"/>
      <c r="E33" s="5"/>
      <c r="F33" s="5"/>
      <c r="G33" s="14">
        <v>46174</v>
      </c>
      <c r="H33" s="16">
        <f>$B$4*'Monthly Returns'!$B34+$B$5*'Monthly Returns'!$C34+$B$6*'Monthly Returns'!$D34+$B$7*'Monthly Returns'!$E34+$B$8*'Monthly Returns'!$F34</f>
        <v>-2.0591247751146406E-2</v>
      </c>
      <c r="I33" s="16">
        <f>$C$4*'Monthly Returns'!$B34+$C$5*'Monthly Returns'!$C34+$C$6*'Monthly Returns'!$D34+$C$7*'Monthly Returns'!$E34+$C$8*'Monthly Returns'!$F34</f>
        <v>-2.0149403670127009E-2</v>
      </c>
      <c r="J33" s="16">
        <f>$D$4*'Monthly Returns'!$B34+$D$5*'Monthly Returns'!$C34+$D$6*'Monthly Returns'!$D34+$D$7*'Monthly Returns'!$E34+$D$8*'Monthly Returns'!$F34</f>
        <v>-2.1349861717334224E-2</v>
      </c>
      <c r="K33" s="16">
        <f>$E$4*'Monthly Returns'!$B34+$E$5*'Monthly Returns'!$C34+$E$6*'Monthly Returns'!$D34+$E$7*'Monthly Returns'!$E34+$E$8*'Monthly Returns'!$F34</f>
        <v>-1.9749417057358248E-2</v>
      </c>
      <c r="L33" s="16">
        <f>'Monthly Returns'!G34</f>
        <v>-5.1346774106555415E-3</v>
      </c>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row>
    <row r="34" spans="1:52">
      <c r="A34" s="5"/>
      <c r="B34" s="5"/>
      <c r="C34" s="5"/>
      <c r="D34" s="5"/>
      <c r="E34" s="5"/>
      <c r="F34" s="5"/>
      <c r="G34" s="14">
        <v>46204</v>
      </c>
      <c r="H34" s="16">
        <f>$B$4*'Monthly Returns'!$B35+$B$5*'Monthly Returns'!$C35+$B$6*'Monthly Returns'!$D35+$B$7*'Monthly Returns'!$E35+$B$8*'Monthly Returns'!$F35</f>
        <v>-6.8285137765196962E-3</v>
      </c>
      <c r="I34" s="16">
        <f>$C$4*'Monthly Returns'!$B35+$C$5*'Monthly Returns'!$C35+$C$6*'Monthly Returns'!$D35+$C$7*'Monthly Returns'!$E35+$C$8*'Monthly Returns'!$F35</f>
        <v>-6.5948483474696689E-3</v>
      </c>
      <c r="J34" s="16">
        <f>$D$4*'Monthly Returns'!$B35+$D$5*'Monthly Returns'!$C35+$D$6*'Monthly Returns'!$D35+$D$7*'Monthly Returns'!$E35+$D$8*'Monthly Returns'!$F35</f>
        <v>-7.1740220762083369E-3</v>
      </c>
      <c r="K34" s="16">
        <f>$E$4*'Monthly Returns'!$B35+$E$5*'Monthly Returns'!$C35+$E$6*'Monthly Returns'!$D35+$E$7*'Monthly Returns'!$E35+$E$8*'Monthly Returns'!$F35</f>
        <v>-2.0639493426209978E-3</v>
      </c>
      <c r="L34" s="16">
        <f>'Monthly Returns'!G35</f>
        <v>1.2290327127630674E-2</v>
      </c>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row>
    <row r="35" spans="1:52">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row>
    <row r="36" spans="1:52">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row>
    <row r="37" spans="1:52" ht="29.25" customHeight="1">
      <c r="A37" s="5"/>
      <c r="B37" s="5"/>
      <c r="C37" s="5"/>
      <c r="D37" s="5"/>
      <c r="E37" s="5"/>
      <c r="F37" s="5"/>
      <c r="G37" s="1" t="s">
        <v>48</v>
      </c>
      <c r="H37" s="1" t="s">
        <v>88</v>
      </c>
      <c r="I37" s="1" t="s">
        <v>89</v>
      </c>
      <c r="J37" s="1" t="s">
        <v>90</v>
      </c>
      <c r="K37" s="1" t="s">
        <v>91</v>
      </c>
      <c r="L37" s="1" t="s">
        <v>49</v>
      </c>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row>
    <row r="38" spans="1:52">
      <c r="A38" s="5"/>
      <c r="B38" s="5"/>
      <c r="C38" s="5"/>
      <c r="D38" s="5"/>
      <c r="E38" s="5"/>
      <c r="F38" s="5"/>
      <c r="G38" s="14">
        <v>45292</v>
      </c>
      <c r="H38" s="15">
        <v>100</v>
      </c>
      <c r="I38" s="15">
        <v>100</v>
      </c>
      <c r="J38" s="15">
        <v>100</v>
      </c>
      <c r="K38" s="15">
        <v>100</v>
      </c>
      <c r="L38" s="15">
        <v>100</v>
      </c>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row>
    <row r="39" spans="1:52">
      <c r="A39" s="5"/>
      <c r="B39" s="5"/>
      <c r="C39" s="5"/>
      <c r="D39" s="5"/>
      <c r="E39" s="5"/>
      <c r="F39" s="5"/>
      <c r="G39" s="14">
        <v>45323</v>
      </c>
      <c r="H39" s="15">
        <f t="shared" ref="H39:H68" si="0">H38*(1+H5)</f>
        <v>104.57326084758736</v>
      </c>
      <c r="I39" s="15">
        <f t="shared" ref="I39:I68" si="1">I38*(1+I5)</f>
        <v>104.3430019970762</v>
      </c>
      <c r="J39" s="15">
        <f t="shared" ref="J39:J68" si="2">J38*(1+J5)</f>
        <v>105.17565750154647</v>
      </c>
      <c r="K39" s="15">
        <f t="shared" ref="K39:K68" si="3">K38*(1+K5)</f>
        <v>104.34515522679975</v>
      </c>
      <c r="L39" s="15">
        <f t="shared" ref="L39:L68" si="4">L38*(1+L5)</f>
        <v>103.64931255080762</v>
      </c>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row>
    <row r="40" spans="1:52">
      <c r="A40" s="5"/>
      <c r="B40" s="5"/>
      <c r="C40" s="5"/>
      <c r="D40" s="5"/>
      <c r="E40" s="5"/>
      <c r="F40" s="5"/>
      <c r="G40" s="14">
        <v>45352</v>
      </c>
      <c r="H40" s="15">
        <f t="shared" si="0"/>
        <v>111.49959429332782</v>
      </c>
      <c r="I40" s="15">
        <f t="shared" si="1"/>
        <v>111.49606712476414</v>
      </c>
      <c r="J40" s="15">
        <f t="shared" si="2"/>
        <v>112.70777364161452</v>
      </c>
      <c r="K40" s="15">
        <f t="shared" si="3"/>
        <v>112.60172494362722</v>
      </c>
      <c r="L40" s="15">
        <f t="shared" si="4"/>
        <v>111.18297812179691</v>
      </c>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row>
    <row r="41" spans="1:52">
      <c r="A41" s="5"/>
      <c r="B41" s="5"/>
      <c r="C41" s="5"/>
      <c r="D41" s="5"/>
      <c r="E41" s="5"/>
      <c r="F41" s="5"/>
      <c r="G41" s="14">
        <v>45383</v>
      </c>
      <c r="H41" s="15">
        <f t="shared" si="0"/>
        <v>116.73588051953961</v>
      </c>
      <c r="I41" s="15">
        <f t="shared" si="1"/>
        <v>116.42532153524229</v>
      </c>
      <c r="J41" s="15">
        <f t="shared" si="2"/>
        <v>117.50774115559385</v>
      </c>
      <c r="K41" s="15">
        <f t="shared" si="3"/>
        <v>117.13604742088849</v>
      </c>
      <c r="L41" s="15">
        <f t="shared" si="4"/>
        <v>113.23648959106491</v>
      </c>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row>
    <row r="42" spans="1:52">
      <c r="A42" s="5"/>
      <c r="B42" s="5"/>
      <c r="C42" s="5"/>
      <c r="D42" s="5"/>
      <c r="E42" s="5"/>
      <c r="F42" s="5"/>
      <c r="G42" s="14">
        <v>45413</v>
      </c>
      <c r="H42" s="15">
        <f t="shared" si="0"/>
        <v>111.79234038156181</v>
      </c>
      <c r="I42" s="15">
        <f t="shared" si="1"/>
        <v>111.29081728710769</v>
      </c>
      <c r="J42" s="15">
        <f t="shared" si="2"/>
        <v>112.77452299948733</v>
      </c>
      <c r="K42" s="15">
        <f t="shared" si="3"/>
        <v>111.55532761782968</v>
      </c>
      <c r="L42" s="15">
        <f t="shared" si="4"/>
        <v>107.47888170218779</v>
      </c>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row>
    <row r="43" spans="1:52">
      <c r="A43" s="5"/>
      <c r="B43" s="5"/>
      <c r="C43" s="5"/>
      <c r="D43" s="5"/>
      <c r="E43" s="5"/>
      <c r="F43" s="5"/>
      <c r="G43" s="14">
        <v>45444</v>
      </c>
      <c r="H43" s="15">
        <f t="shared" si="0"/>
        <v>120.27643738927978</v>
      </c>
      <c r="I43" s="15">
        <f t="shared" si="1"/>
        <v>119.70367155181997</v>
      </c>
      <c r="J43" s="15">
        <f t="shared" si="2"/>
        <v>121.45791772920438</v>
      </c>
      <c r="K43" s="15">
        <f t="shared" si="3"/>
        <v>119.84381078297456</v>
      </c>
      <c r="L43" s="15">
        <f t="shared" si="4"/>
        <v>113.10218075142259</v>
      </c>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row>
    <row r="44" spans="1:52">
      <c r="A44" s="5"/>
      <c r="B44" s="5"/>
      <c r="C44" s="5"/>
      <c r="D44" s="5"/>
      <c r="E44" s="5"/>
      <c r="F44" s="5"/>
      <c r="G44" s="14">
        <v>45474</v>
      </c>
      <c r="H44" s="15">
        <f t="shared" si="0"/>
        <v>120.91140738303102</v>
      </c>
      <c r="I44" s="15">
        <f t="shared" si="1"/>
        <v>120.14172075576548</v>
      </c>
      <c r="J44" s="15">
        <f t="shared" si="2"/>
        <v>122.30260773950064</v>
      </c>
      <c r="K44" s="15">
        <f t="shared" si="3"/>
        <v>119.75561963075832</v>
      </c>
      <c r="L44" s="15">
        <f t="shared" si="4"/>
        <v>110.85427490898806</v>
      </c>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row>
    <row r="45" spans="1:52">
      <c r="A45" s="5"/>
      <c r="B45" s="5"/>
      <c r="C45" s="5"/>
      <c r="D45" s="5"/>
      <c r="E45" s="5"/>
      <c r="F45" s="5"/>
      <c r="G45" s="14">
        <v>45505</v>
      </c>
      <c r="H45" s="15">
        <f t="shared" si="0"/>
        <v>119.47253560103914</v>
      </c>
      <c r="I45" s="15">
        <f t="shared" si="1"/>
        <v>118.55281118670096</v>
      </c>
      <c r="J45" s="15">
        <f t="shared" si="2"/>
        <v>121.62773252567021</v>
      </c>
      <c r="K45" s="15">
        <f t="shared" si="3"/>
        <v>117.64020880085155</v>
      </c>
      <c r="L45" s="15">
        <f t="shared" si="4"/>
        <v>108.41550913653552</v>
      </c>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spans="1:52">
      <c r="A46" s="5"/>
      <c r="B46" s="5"/>
      <c r="C46" s="5"/>
      <c r="D46" s="5"/>
      <c r="E46" s="5"/>
      <c r="F46" s="5"/>
      <c r="G46" s="14">
        <v>45536</v>
      </c>
      <c r="H46" s="15">
        <f t="shared" si="0"/>
        <v>123.47878425680408</v>
      </c>
      <c r="I46" s="15">
        <f t="shared" si="1"/>
        <v>122.61134201665041</v>
      </c>
      <c r="J46" s="15">
        <f t="shared" si="2"/>
        <v>125.02208157732966</v>
      </c>
      <c r="K46" s="15">
        <f t="shared" si="3"/>
        <v>122.37387277661711</v>
      </c>
      <c r="L46" s="15">
        <f t="shared" si="4"/>
        <v>112.73106422083198</v>
      </c>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row>
    <row r="47" spans="1:52">
      <c r="A47" s="5"/>
      <c r="B47" s="5"/>
      <c r="C47" s="5"/>
      <c r="D47" s="5"/>
      <c r="E47" s="5"/>
      <c r="F47" s="5"/>
      <c r="G47" s="14">
        <v>45566</v>
      </c>
      <c r="H47" s="15">
        <f t="shared" si="0"/>
        <v>124.51265465254936</v>
      </c>
      <c r="I47" s="15">
        <f t="shared" si="1"/>
        <v>123.81759043095705</v>
      </c>
      <c r="J47" s="15">
        <f t="shared" si="2"/>
        <v>126.68169539085956</v>
      </c>
      <c r="K47" s="15">
        <f t="shared" si="3"/>
        <v>123.8269196135784</v>
      </c>
      <c r="L47" s="15">
        <f t="shared" si="4"/>
        <v>114.18018591170959</v>
      </c>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row>
    <row r="48" spans="1:52">
      <c r="A48" s="5"/>
      <c r="B48" s="5"/>
      <c r="C48" s="5"/>
      <c r="D48" s="5"/>
      <c r="E48" s="5"/>
      <c r="F48" s="5"/>
      <c r="G48" s="14">
        <v>45597</v>
      </c>
      <c r="H48" s="15">
        <f t="shared" si="0"/>
        <v>122.61114343130258</v>
      </c>
      <c r="I48" s="15">
        <f t="shared" si="1"/>
        <v>121.87207868256098</v>
      </c>
      <c r="J48" s="15">
        <f t="shared" si="2"/>
        <v>124.70580021363671</v>
      </c>
      <c r="K48" s="15">
        <f t="shared" si="3"/>
        <v>121.71275518579172</v>
      </c>
      <c r="L48" s="15">
        <f t="shared" si="4"/>
        <v>110.88343406496304</v>
      </c>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row>
    <row r="49" spans="1:52">
      <c r="A49" s="5"/>
      <c r="B49" s="5"/>
      <c r="C49" s="5"/>
      <c r="D49" s="5"/>
      <c r="E49" s="5"/>
      <c r="F49" s="5"/>
      <c r="G49" s="14">
        <v>45627</v>
      </c>
      <c r="H49" s="15">
        <f t="shared" si="0"/>
        <v>122.60749761158755</v>
      </c>
      <c r="I49" s="15">
        <f t="shared" si="1"/>
        <v>122.02018880667707</v>
      </c>
      <c r="J49" s="15">
        <f t="shared" si="2"/>
        <v>125.40964724019676</v>
      </c>
      <c r="K49" s="15">
        <f t="shared" si="3"/>
        <v>121.62957155597202</v>
      </c>
      <c r="L49" s="15">
        <f t="shared" si="4"/>
        <v>110.55826529530269</v>
      </c>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row>
    <row r="50" spans="1:52">
      <c r="A50" s="5"/>
      <c r="B50" s="5"/>
      <c r="C50" s="5"/>
      <c r="D50" s="5"/>
      <c r="E50" s="5"/>
      <c r="F50" s="5"/>
      <c r="G50" s="14">
        <v>45658</v>
      </c>
      <c r="H50" s="15">
        <f t="shared" si="0"/>
        <v>125.88319518887583</v>
      </c>
      <c r="I50" s="15">
        <f t="shared" si="1"/>
        <v>125.28703620397758</v>
      </c>
      <c r="J50" s="15">
        <f t="shared" si="2"/>
        <v>128.83582783968805</v>
      </c>
      <c r="K50" s="15">
        <f t="shared" si="3"/>
        <v>124.79360251376046</v>
      </c>
      <c r="L50" s="15">
        <f t="shared" si="4"/>
        <v>112.19294525147559</v>
      </c>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row>
    <row r="51" spans="1:52">
      <c r="A51" s="5"/>
      <c r="B51" s="5"/>
      <c r="C51" s="5"/>
      <c r="D51" s="5"/>
      <c r="E51" s="5"/>
      <c r="F51" s="5"/>
      <c r="G51" s="14">
        <v>45689</v>
      </c>
      <c r="H51" s="15">
        <f t="shared" si="0"/>
        <v>124.94883389380121</v>
      </c>
      <c r="I51" s="15">
        <f t="shared" si="1"/>
        <v>124.16620355148365</v>
      </c>
      <c r="J51" s="15">
        <f t="shared" si="2"/>
        <v>127.70579454986402</v>
      </c>
      <c r="K51" s="15">
        <f t="shared" si="3"/>
        <v>123.65381235057781</v>
      </c>
      <c r="L51" s="15">
        <f t="shared" si="4"/>
        <v>110.71908245855862</v>
      </c>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row>
    <row r="52" spans="1:52">
      <c r="A52" s="5"/>
      <c r="B52" s="5"/>
      <c r="C52" s="5"/>
      <c r="D52" s="5"/>
      <c r="E52" s="5"/>
      <c r="F52" s="5"/>
      <c r="G52" s="14">
        <v>45717</v>
      </c>
      <c r="H52" s="15">
        <f t="shared" si="0"/>
        <v>126.67194396368693</v>
      </c>
      <c r="I52" s="15">
        <f t="shared" si="1"/>
        <v>126.02488892636093</v>
      </c>
      <c r="J52" s="15">
        <f t="shared" si="2"/>
        <v>130.3833019143932</v>
      </c>
      <c r="K52" s="15">
        <f t="shared" si="3"/>
        <v>125.50694506117131</v>
      </c>
      <c r="L52" s="15">
        <f t="shared" si="4"/>
        <v>115.69734563319544</v>
      </c>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row>
    <row r="53" spans="1:52">
      <c r="A53" s="5"/>
      <c r="B53" s="5"/>
      <c r="C53" s="5"/>
      <c r="D53" s="5"/>
      <c r="E53" s="5"/>
      <c r="F53" s="5"/>
      <c r="G53" s="14">
        <v>45748</v>
      </c>
      <c r="H53" s="15">
        <f t="shared" si="0"/>
        <v>122.93958397351768</v>
      </c>
      <c r="I53" s="15">
        <f t="shared" si="1"/>
        <v>122.33549022530877</v>
      </c>
      <c r="J53" s="15">
        <f t="shared" si="2"/>
        <v>126.66884069907712</v>
      </c>
      <c r="K53" s="15">
        <f t="shared" si="3"/>
        <v>121.95678241778528</v>
      </c>
      <c r="L53" s="15">
        <f t="shared" si="4"/>
        <v>116.40069981974337</v>
      </c>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row>
    <row r="54" spans="1:52">
      <c r="A54" s="5"/>
      <c r="B54" s="5"/>
      <c r="C54" s="5"/>
      <c r="D54" s="5"/>
      <c r="E54" s="5"/>
      <c r="F54" s="5"/>
      <c r="G54" s="14">
        <v>45778</v>
      </c>
      <c r="H54" s="15">
        <f t="shared" si="0"/>
        <v>115.11859182791937</v>
      </c>
      <c r="I54" s="15">
        <f t="shared" si="1"/>
        <v>115.26880270002674</v>
      </c>
      <c r="J54" s="15">
        <f t="shared" si="2"/>
        <v>118.67487672822696</v>
      </c>
      <c r="K54" s="15">
        <f t="shared" si="3"/>
        <v>115.76657226549024</v>
      </c>
      <c r="L54" s="15">
        <f t="shared" si="4"/>
        <v>109.57215565687623</v>
      </c>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row>
    <row r="55" spans="1:52">
      <c r="A55" s="5"/>
      <c r="B55" s="5"/>
      <c r="C55" s="5"/>
      <c r="D55" s="5"/>
      <c r="E55" s="5"/>
      <c r="F55" s="5"/>
      <c r="G55" s="14">
        <v>45809</v>
      </c>
      <c r="H55" s="15">
        <f t="shared" si="0"/>
        <v>123.48228110598541</v>
      </c>
      <c r="I55" s="15">
        <f t="shared" si="1"/>
        <v>123.89879310985019</v>
      </c>
      <c r="J55" s="15">
        <f t="shared" si="2"/>
        <v>126.94500247906988</v>
      </c>
      <c r="K55" s="15">
        <f t="shared" si="3"/>
        <v>124.18110112651614</v>
      </c>
      <c r="L55" s="15">
        <f t="shared" si="4"/>
        <v>118.07690948291093</v>
      </c>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row>
    <row r="56" spans="1:52">
      <c r="A56" s="5"/>
      <c r="B56" s="5"/>
      <c r="C56" s="5"/>
      <c r="D56" s="5"/>
      <c r="E56" s="5"/>
      <c r="F56" s="5"/>
      <c r="G56" s="14">
        <v>45839</v>
      </c>
      <c r="H56" s="15">
        <f t="shared" si="0"/>
        <v>129.28288062283147</v>
      </c>
      <c r="I56" s="15">
        <f t="shared" si="1"/>
        <v>129.63573603271459</v>
      </c>
      <c r="J56" s="15">
        <f t="shared" si="2"/>
        <v>132.68878606172211</v>
      </c>
      <c r="K56" s="15">
        <f t="shared" si="3"/>
        <v>129.90422948914744</v>
      </c>
      <c r="L56" s="15">
        <f t="shared" si="4"/>
        <v>121.74742869260943</v>
      </c>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row>
    <row r="57" spans="1:52">
      <c r="A57" s="5"/>
      <c r="B57" s="5"/>
      <c r="C57" s="5"/>
      <c r="D57" s="5"/>
      <c r="E57" s="5"/>
      <c r="F57" s="5"/>
      <c r="G57" s="14">
        <v>45870</v>
      </c>
      <c r="H57" s="15">
        <f t="shared" si="0"/>
        <v>138.1914726778835</v>
      </c>
      <c r="I57" s="15">
        <f t="shared" si="1"/>
        <v>138.97681926467214</v>
      </c>
      <c r="J57" s="15">
        <f t="shared" si="2"/>
        <v>140.28338737739367</v>
      </c>
      <c r="K57" s="15">
        <f t="shared" si="3"/>
        <v>140.76353195692673</v>
      </c>
      <c r="L57" s="15">
        <f t="shared" si="4"/>
        <v>132.11836850104262</v>
      </c>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row>
    <row r="58" spans="1:52">
      <c r="A58" s="5"/>
      <c r="B58" s="5"/>
      <c r="C58" s="5"/>
      <c r="D58" s="5"/>
      <c r="E58" s="5"/>
      <c r="F58" s="5"/>
      <c r="G58" s="14">
        <v>45901</v>
      </c>
      <c r="H58" s="15">
        <f t="shared" si="0"/>
        <v>155.49241754907095</v>
      </c>
      <c r="I58" s="15">
        <f t="shared" si="1"/>
        <v>156.11415933952387</v>
      </c>
      <c r="J58" s="15">
        <f t="shared" si="2"/>
        <v>156.06361143586867</v>
      </c>
      <c r="K58" s="15">
        <f t="shared" si="3"/>
        <v>158.59049142053394</v>
      </c>
      <c r="L58" s="15">
        <f t="shared" si="4"/>
        <v>148.56148163856778</v>
      </c>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row>
    <row r="59" spans="1:52">
      <c r="A59" s="5"/>
      <c r="B59" s="5"/>
      <c r="C59" s="5"/>
      <c r="D59" s="5"/>
      <c r="E59" s="5"/>
      <c r="F59" s="5"/>
      <c r="G59" s="14">
        <v>45931</v>
      </c>
      <c r="H59" s="15">
        <f t="shared" si="0"/>
        <v>151.66948354786314</v>
      </c>
      <c r="I59" s="15">
        <f t="shared" si="1"/>
        <v>152.16127891268442</v>
      </c>
      <c r="J59" s="15">
        <f t="shared" si="2"/>
        <v>152.58930999827669</v>
      </c>
      <c r="K59" s="15">
        <f t="shared" si="3"/>
        <v>155.88883717186272</v>
      </c>
      <c r="L59" s="15">
        <f t="shared" si="4"/>
        <v>147.12561410949698</v>
      </c>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row>
    <row r="60" spans="1:52">
      <c r="A60" s="5"/>
      <c r="B60" s="5"/>
      <c r="C60" s="5"/>
      <c r="D60" s="5"/>
      <c r="E60" s="5"/>
      <c r="F60" s="5"/>
      <c r="G60" s="14">
        <v>45962</v>
      </c>
      <c r="H60" s="15">
        <f t="shared" si="0"/>
        <v>148.30457470062217</v>
      </c>
      <c r="I60" s="15">
        <f t="shared" si="1"/>
        <v>148.7083949330958</v>
      </c>
      <c r="J60" s="15">
        <f t="shared" si="2"/>
        <v>150.16921021354358</v>
      </c>
      <c r="K60" s="15">
        <f t="shared" si="3"/>
        <v>152.08528653170953</v>
      </c>
      <c r="L60" s="15">
        <f t="shared" si="4"/>
        <v>142.87986427738304</v>
      </c>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row>
    <row r="61" spans="1:52">
      <c r="A61" s="5"/>
      <c r="B61" s="5"/>
      <c r="C61" s="5"/>
      <c r="D61" s="5"/>
      <c r="E61" s="5"/>
      <c r="F61" s="5"/>
      <c r="G61" s="14">
        <v>45992</v>
      </c>
      <c r="H61" s="15">
        <f t="shared" si="0"/>
        <v>148.47802725072978</v>
      </c>
      <c r="I61" s="15">
        <f t="shared" si="1"/>
        <v>148.83691834244533</v>
      </c>
      <c r="J61" s="15">
        <f t="shared" si="2"/>
        <v>150.12984475057127</v>
      </c>
      <c r="K61" s="15">
        <f t="shared" si="3"/>
        <v>153.70190604355011</v>
      </c>
      <c r="L61" s="15">
        <f t="shared" si="4"/>
        <v>150.36139681193222</v>
      </c>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row>
    <row r="62" spans="1:52">
      <c r="A62" s="5"/>
      <c r="B62" s="5"/>
      <c r="C62" s="5"/>
      <c r="D62" s="5"/>
      <c r="E62" s="5"/>
      <c r="F62" s="5"/>
      <c r="G62" s="14">
        <v>46023</v>
      </c>
      <c r="H62" s="15">
        <f t="shared" si="0"/>
        <v>151.1490376388567</v>
      </c>
      <c r="I62" s="15">
        <f t="shared" si="1"/>
        <v>152.2656270270231</v>
      </c>
      <c r="J62" s="15">
        <f t="shared" si="2"/>
        <v>151.50993047140244</v>
      </c>
      <c r="K62" s="15">
        <f t="shared" si="3"/>
        <v>159.64265926170208</v>
      </c>
      <c r="L62" s="15">
        <f t="shared" si="4"/>
        <v>158.02495316862823</v>
      </c>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row>
    <row r="63" spans="1:52">
      <c r="A63" s="5"/>
      <c r="B63" s="5"/>
      <c r="C63" s="5"/>
      <c r="D63" s="5"/>
      <c r="E63" s="5"/>
      <c r="F63" s="5"/>
      <c r="G63" s="14">
        <v>46054</v>
      </c>
      <c r="H63" s="15">
        <f t="shared" si="0"/>
        <v>160.90969865084273</v>
      </c>
      <c r="I63" s="15">
        <f t="shared" si="1"/>
        <v>161.60396810287162</v>
      </c>
      <c r="J63" s="15">
        <f t="shared" si="2"/>
        <v>162.63849179490967</v>
      </c>
      <c r="K63" s="15">
        <f t="shared" si="3"/>
        <v>167.84990118150034</v>
      </c>
      <c r="L63" s="15">
        <f t="shared" si="4"/>
        <v>159.62428869331629</v>
      </c>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row>
    <row r="64" spans="1:52">
      <c r="A64" s="5"/>
      <c r="B64" s="5"/>
      <c r="C64" s="5"/>
      <c r="D64" s="5"/>
      <c r="E64" s="5"/>
      <c r="F64" s="5"/>
      <c r="G64" s="14">
        <v>46082</v>
      </c>
      <c r="H64" s="15">
        <f t="shared" si="0"/>
        <v>163.07581055157971</v>
      </c>
      <c r="I64" s="15">
        <f t="shared" si="1"/>
        <v>163.54765634467282</v>
      </c>
      <c r="J64" s="15">
        <f t="shared" si="2"/>
        <v>163.30478821718248</v>
      </c>
      <c r="K64" s="15">
        <f t="shared" si="3"/>
        <v>169.17983481629349</v>
      </c>
      <c r="L64" s="15">
        <f t="shared" si="4"/>
        <v>163.1233874103134</v>
      </c>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row>
    <row r="65" spans="1:52">
      <c r="A65" s="5"/>
      <c r="B65" s="5"/>
      <c r="C65" s="5"/>
      <c r="D65" s="5"/>
      <c r="E65" s="5"/>
      <c r="F65" s="5"/>
      <c r="G65" s="14">
        <v>46113</v>
      </c>
      <c r="H65" s="15">
        <f t="shared" si="0"/>
        <v>151.75021738161203</v>
      </c>
      <c r="I65" s="15">
        <f t="shared" si="1"/>
        <v>152.41741039386466</v>
      </c>
      <c r="J65" s="15">
        <f t="shared" si="2"/>
        <v>153.17437655973634</v>
      </c>
      <c r="K65" s="15">
        <f t="shared" si="3"/>
        <v>157.18350292873441</v>
      </c>
      <c r="L65" s="15">
        <f t="shared" si="4"/>
        <v>150.47273177110938</v>
      </c>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row>
    <row r="66" spans="1:52">
      <c r="A66" s="5"/>
      <c r="B66" s="5"/>
      <c r="C66" s="5"/>
      <c r="D66" s="5"/>
      <c r="E66" s="5"/>
      <c r="F66" s="5"/>
      <c r="G66" s="14">
        <v>46143</v>
      </c>
      <c r="H66" s="15">
        <f t="shared" si="0"/>
        <v>151.43406284013912</v>
      </c>
      <c r="I66" s="15">
        <f t="shared" si="1"/>
        <v>152.27865705350203</v>
      </c>
      <c r="J66" s="15">
        <f t="shared" si="2"/>
        <v>152.59334207695514</v>
      </c>
      <c r="K66" s="15">
        <f t="shared" si="3"/>
        <v>158.75909773531924</v>
      </c>
      <c r="L66" s="15">
        <f t="shared" si="4"/>
        <v>163.82674159686132</v>
      </c>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row>
    <row r="67" spans="1:52">
      <c r="A67" s="5"/>
      <c r="B67" s="5"/>
      <c r="C67" s="5"/>
      <c r="D67" s="5"/>
      <c r="E67" s="5"/>
      <c r="F67" s="5"/>
      <c r="G67" s="14">
        <v>46174</v>
      </c>
      <c r="H67" s="15">
        <f t="shared" si="0"/>
        <v>148.31584653423513</v>
      </c>
      <c r="I67" s="15">
        <f t="shared" si="1"/>
        <v>149.21033292218618</v>
      </c>
      <c r="J67" s="15">
        <f t="shared" si="2"/>
        <v>149.33549532462627</v>
      </c>
      <c r="K67" s="15">
        <f t="shared" si="3"/>
        <v>155.62369810249453</v>
      </c>
      <c r="L67" s="15">
        <f t="shared" si="4"/>
        <v>162.98554412752262</v>
      </c>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row>
    <row r="68" spans="1:52">
      <c r="A68" s="5"/>
      <c r="B68" s="5"/>
      <c r="C68" s="5"/>
      <c r="D68" s="5"/>
      <c r="E68" s="5"/>
      <c r="F68" s="5"/>
      <c r="G68" s="14">
        <v>46204</v>
      </c>
      <c r="H68" s="15">
        <f t="shared" si="0"/>
        <v>147.30306973289993</v>
      </c>
      <c r="I68" s="15">
        <f t="shared" si="1"/>
        <v>148.22631340468891</v>
      </c>
      <c r="J68" s="15">
        <f t="shared" si="2"/>
        <v>148.26415918440588</v>
      </c>
      <c r="K68" s="15">
        <f t="shared" si="3"/>
        <v>155.30249867309965</v>
      </c>
      <c r="L68" s="15">
        <f t="shared" si="4"/>
        <v>164.98868978192476</v>
      </c>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row>
    <row r="69" spans="1:5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row>
    <row r="70" spans="1:5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row>
    <row r="71" spans="1:5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row>
    <row r="72" spans="1:5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row>
    <row r="73" spans="1:5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row>
    <row r="74" spans="1:5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row>
    <row r="75" spans="1:5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row>
    <row r="76" spans="1:5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row>
    <row r="77" spans="1:5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row>
    <row r="78" spans="1:5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row>
    <row r="79" spans="1:5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row>
    <row r="80" spans="1:5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row>
    <row r="81" spans="1:5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row>
    <row r="82" spans="1:5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row>
    <row r="83" spans="1:5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row>
    <row r="84" spans="1:5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row>
    <row r="85" spans="1:5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row>
    <row r="86" spans="1:5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row>
    <row r="87" spans="1:5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row>
    <row r="88" spans="1:5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row>
    <row r="89" spans="1:5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row>
    <row r="90" spans="1:5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row>
    <row r="91" spans="1:5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row>
    <row r="92" spans="1:5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row>
    <row r="93" spans="1:5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row>
    <row r="94" spans="1:5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row>
    <row r="95" spans="1:5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row>
    <row r="96" spans="1:5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row>
    <row r="97" spans="1:5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row>
    <row r="98" spans="1:5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row>
    <row r="99" spans="1:5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row>
    <row r="100" spans="1:5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row>
    <row r="101" spans="1:5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row>
    <row r="102" spans="1:5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row>
    <row r="103" spans="1:5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row>
    <row r="104" spans="1:5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row>
    <row r="105" spans="1:5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row>
    <row r="106" spans="1:5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row>
    <row r="107" spans="1:5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row>
    <row r="108" spans="1:5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row>
    <row r="109" spans="1:5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row>
    <row r="110" spans="1:5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row>
    <row r="111" spans="1:5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row>
    <row r="112" spans="1:5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row>
    <row r="113" spans="1:5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row>
    <row r="114" spans="1:5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row>
    <row r="115" spans="1:5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row>
    <row r="116" spans="1:5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row>
    <row r="117" spans="1:5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row>
    <row r="118" spans="1:5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row>
    <row r="119" spans="1:5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row>
    <row r="120" spans="1:5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row>
    <row r="121" spans="1:5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row>
    <row r="122" spans="1:5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row>
    <row r="123" spans="1:5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row>
    <row r="124" spans="1:5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row>
    <row r="125" spans="1:5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row>
    <row r="126" spans="1:5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row>
    <row r="127" spans="1:5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row>
    <row r="128" spans="1:5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row>
    <row r="129" spans="1:5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row>
    <row r="130" spans="1:5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row>
    <row r="131" spans="1:5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row>
    <row r="132" spans="1:5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row>
    <row r="133" spans="1:5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row>
    <row r="134" spans="1:5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row>
    <row r="135" spans="1:5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row>
    <row r="136" spans="1:5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row>
    <row r="137" spans="1:5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row>
    <row r="138" spans="1:5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row>
    <row r="139" spans="1:5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row>
    <row r="140" spans="1:5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row>
    <row r="141" spans="1:5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row>
    <row r="142" spans="1:5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row>
    <row r="143" spans="1:5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row>
    <row r="144" spans="1:5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row>
    <row r="145" spans="1:5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row>
    <row r="146" spans="1:5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row>
    <row r="147" spans="1:5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row>
    <row r="148" spans="1:5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row>
    <row r="149" spans="1:5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row>
    <row r="150" spans="1:5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row>
    <row r="151" spans="1:5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row>
    <row r="152" spans="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row>
    <row r="153" spans="1:5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row>
    <row r="154" spans="1:5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row>
    <row r="155" spans="1:5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row>
    <row r="156" spans="1:5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row>
    <row r="157" spans="1:5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row>
    <row r="158" spans="1:5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row>
    <row r="159" spans="1:5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row>
    <row r="160" spans="1:5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row>
    <row r="161" spans="1:5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row>
    <row r="162" spans="1:5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row>
    <row r="163" spans="1:5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row>
    <row r="164" spans="1:5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row>
    <row r="165" spans="1:5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row>
    <row r="166" spans="1:5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row>
    <row r="167" spans="1:5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row>
    <row r="168" spans="1:5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row>
    <row r="169" spans="1:5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row>
    <row r="170" spans="1:5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row>
    <row r="171" spans="1:5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row>
    <row r="172" spans="1:5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row>
    <row r="173" spans="1:5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row>
    <row r="174" spans="1:5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row>
    <row r="175" spans="1:5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row>
    <row r="176" spans="1:5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row>
    <row r="177" spans="1:5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row>
    <row r="178" spans="1:5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row>
    <row r="179" spans="1:5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row>
    <row r="180" spans="1:5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row>
    <row r="181" spans="1:5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row>
    <row r="182" spans="1:5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row>
    <row r="183" spans="1:5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row>
    <row r="184" spans="1:5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row>
    <row r="185" spans="1:5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row>
    <row r="186" spans="1:5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row>
    <row r="187" spans="1:5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row>
    <row r="188" spans="1:5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row>
    <row r="189" spans="1:5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row>
    <row r="190" spans="1:5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row>
    <row r="191" spans="1:5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row>
    <row r="192" spans="1:5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row>
    <row r="193" spans="1:5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row>
    <row r="194" spans="1:5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row>
    <row r="195" spans="1:5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row>
    <row r="196" spans="1:5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row>
    <row r="197" spans="1:5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row>
    <row r="198" spans="1:5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row>
    <row r="199" spans="1:5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row>
  </sheetData>
  <mergeCells count="1">
    <mergeCell ref="A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Z199"/>
  <sheetViews>
    <sheetView topLeftCell="A2" workbookViewId="0">
      <selection activeCell="J33" sqref="J33"/>
    </sheetView>
  </sheetViews>
  <sheetFormatPr baseColWidth="10" defaultColWidth="8.83203125" defaultRowHeight="14"/>
  <cols>
    <col min="1" max="8" width="16" customWidth="1"/>
    <col min="10" max="10" width="20" customWidth="1"/>
    <col min="11" max="12" width="15" customWidth="1"/>
  </cols>
  <sheetData>
    <row r="1" spans="1:52" ht="40" customHeight="1">
      <c r="A1" s="34" t="s">
        <v>95</v>
      </c>
      <c r="B1" s="34"/>
      <c r="C1" s="34"/>
      <c r="D1" s="34"/>
      <c r="E1" s="34"/>
      <c r="F1" s="34"/>
      <c r="G1" s="34"/>
      <c r="H1" s="34"/>
      <c r="I1" s="34"/>
      <c r="J1" s="34"/>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row>
    <row r="2" spans="1:52">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row>
    <row r="3" spans="1:52" ht="29.25" customHeight="1">
      <c r="A3" s="1" t="s">
        <v>62</v>
      </c>
      <c r="B3" s="1" t="s">
        <v>96</v>
      </c>
      <c r="C3" s="1" t="s">
        <v>97</v>
      </c>
      <c r="D3" s="1" t="s">
        <v>8</v>
      </c>
      <c r="E3" s="1" t="s">
        <v>11</v>
      </c>
      <c r="F3" s="1" t="s">
        <v>15</v>
      </c>
      <c r="G3" s="1" t="s">
        <v>19</v>
      </c>
      <c r="H3" s="1" t="s">
        <v>23</v>
      </c>
      <c r="I3" s="5"/>
      <c r="J3" s="1" t="s">
        <v>98</v>
      </c>
      <c r="K3" s="1" t="s">
        <v>99</v>
      </c>
      <c r="L3" s="1" t="s">
        <v>100</v>
      </c>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row>
    <row r="4" spans="1:52">
      <c r="A4" s="16">
        <v>0.14675964173142048</v>
      </c>
      <c r="B4" s="16">
        <v>0.16979195762745389</v>
      </c>
      <c r="C4" s="26">
        <v>0.850315223962124</v>
      </c>
      <c r="D4" s="16">
        <v>6.5665450897803943E-2</v>
      </c>
      <c r="E4" s="16">
        <v>0.13433454910219611</v>
      </c>
      <c r="F4" s="16">
        <v>0.4</v>
      </c>
      <c r="G4" s="16">
        <v>0.39999999999999997</v>
      </c>
      <c r="H4" s="16">
        <v>0</v>
      </c>
      <c r="I4" s="5"/>
      <c r="J4" s="5" t="s">
        <v>90</v>
      </c>
      <c r="K4" s="16">
        <v>0.16979195762745389</v>
      </c>
      <c r="L4" s="16">
        <v>0.14675964173142048</v>
      </c>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row>
    <row r="5" spans="1:52">
      <c r="A5" s="16">
        <v>0.14676116674444964</v>
      </c>
      <c r="B5" s="16">
        <v>0.17029068095188274</v>
      </c>
      <c r="C5" s="26">
        <v>0.85370458501496682</v>
      </c>
      <c r="D5" s="16">
        <v>5.9208783917484666E-2</v>
      </c>
      <c r="E5" s="16">
        <v>0.1407912160825153</v>
      </c>
      <c r="F5" s="16">
        <v>0.4</v>
      </c>
      <c r="G5" s="16">
        <v>0.4</v>
      </c>
      <c r="H5" s="16">
        <v>4.7433845046240819E-18</v>
      </c>
      <c r="I5" s="5"/>
      <c r="J5" s="5" t="s">
        <v>91</v>
      </c>
      <c r="K5" s="16">
        <v>0.1917357839014579</v>
      </c>
      <c r="L5" s="16">
        <v>0.15494997261898499</v>
      </c>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row>
    <row r="6" spans="1:52">
      <c r="A6" s="16">
        <v>0.14676574168253642</v>
      </c>
      <c r="B6" s="16">
        <v>0.17078940427636191</v>
      </c>
      <c r="C6" s="26">
        <v>0.85707606444324291</v>
      </c>
      <c r="D6" s="16">
        <v>5.2752116936513542E-2</v>
      </c>
      <c r="E6" s="16">
        <v>0.14724788306348638</v>
      </c>
      <c r="F6" s="16">
        <v>0.4</v>
      </c>
      <c r="G6" s="16">
        <v>0.4</v>
      </c>
      <c r="H6" s="16">
        <v>2.0057740190981832E-18</v>
      </c>
      <c r="I6" s="5"/>
      <c r="J6" s="5" t="s">
        <v>49</v>
      </c>
      <c r="K6" s="16">
        <v>0.22174809205145851</v>
      </c>
      <c r="L6" s="16">
        <v>0.16111178311759972</v>
      </c>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row>
    <row r="7" spans="1:52">
      <c r="A7" s="16">
        <v>0.14677336626048154</v>
      </c>
      <c r="B7" s="16">
        <v>0.17128812760084083</v>
      </c>
      <c r="C7" s="26">
        <v>0.86042945541437577</v>
      </c>
      <c r="D7" s="16">
        <v>4.6295449955545687E-2</v>
      </c>
      <c r="E7" s="16">
        <v>0.15370455004445421</v>
      </c>
      <c r="F7" s="16">
        <v>0.4</v>
      </c>
      <c r="G7" s="16">
        <v>0.4</v>
      </c>
      <c r="H7" s="16">
        <v>1.1926223897340549E-18</v>
      </c>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row>
    <row r="8" spans="1:52">
      <c r="A8" s="16">
        <v>0.14678404000305181</v>
      </c>
      <c r="B8" s="16">
        <v>0.17178685092531967</v>
      </c>
      <c r="C8" s="26">
        <v>0.86376455452979506</v>
      </c>
      <c r="D8" s="16">
        <v>3.9838782974579448E-2</v>
      </c>
      <c r="E8" s="16">
        <v>0.16016121702542055</v>
      </c>
      <c r="F8" s="16">
        <v>0.4</v>
      </c>
      <c r="G8" s="16">
        <v>0.4</v>
      </c>
      <c r="H8" s="16">
        <v>2.3852447794681098E-18</v>
      </c>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row>
    <row r="9" spans="1:52">
      <c r="A9" s="16">
        <v>0.14679776224512026</v>
      </c>
      <c r="B9" s="16">
        <v>0.17228557424954224</v>
      </c>
      <c r="C9" s="26">
        <v>0.86708116188449169</v>
      </c>
      <c r="D9" s="16">
        <v>3.3382115996930438E-2</v>
      </c>
      <c r="E9" s="16">
        <v>0.16661788400306951</v>
      </c>
      <c r="F9" s="16">
        <v>0.4</v>
      </c>
      <c r="G9" s="16">
        <v>0.4</v>
      </c>
      <c r="H9" s="16">
        <v>5.6378512969246231E-18</v>
      </c>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row>
    <row r="10" spans="1:52">
      <c r="A10" s="16">
        <v>0.14681453213191259</v>
      </c>
      <c r="B10" s="16">
        <v>0.17278429757427688</v>
      </c>
      <c r="C10" s="26">
        <v>0.87037908113525808</v>
      </c>
      <c r="D10" s="16">
        <v>2.6925449012652133E-2</v>
      </c>
      <c r="E10" s="16">
        <v>0.17307455098734781</v>
      </c>
      <c r="F10" s="16">
        <v>0.4</v>
      </c>
      <c r="G10" s="16">
        <v>0.4</v>
      </c>
      <c r="H10" s="16">
        <v>0</v>
      </c>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row>
    <row r="11" spans="1:52">
      <c r="A11" s="16">
        <v>0.14683434861917607</v>
      </c>
      <c r="B11" s="16">
        <v>0.17328302089831818</v>
      </c>
      <c r="C11" s="26">
        <v>0.87365811953869243</v>
      </c>
      <c r="D11" s="16">
        <v>2.0468782037350076E-2</v>
      </c>
      <c r="E11" s="16">
        <v>0.1795312179626499</v>
      </c>
      <c r="F11" s="16">
        <v>0.4</v>
      </c>
      <c r="G11" s="16">
        <v>0.4</v>
      </c>
      <c r="H11" s="16">
        <v>9.827898234896102E-18</v>
      </c>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row>
    <row r="12" spans="1:52">
      <c r="A12" s="16">
        <v>0.14685721047367623</v>
      </c>
      <c r="B12" s="16">
        <v>0.17378174422323356</v>
      </c>
      <c r="C12" s="26">
        <v>0.87691808803843085</v>
      </c>
      <c r="D12" s="16">
        <v>1.4012115050731497E-2</v>
      </c>
      <c r="E12" s="16">
        <v>0.1859878849492683</v>
      </c>
      <c r="F12" s="16">
        <v>0.4</v>
      </c>
      <c r="G12" s="16">
        <v>0.4</v>
      </c>
      <c r="H12" s="16">
        <v>1.7347234759768071E-18</v>
      </c>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row>
    <row r="13" spans="1:52">
      <c r="A13" s="16">
        <v>0.14688311627332248</v>
      </c>
      <c r="B13" s="16">
        <v>0.17428046754713652</v>
      </c>
      <c r="C13" s="26">
        <v>0.88015880127821722</v>
      </c>
      <c r="D13" s="16">
        <v>7.5554480772207057E-3</v>
      </c>
      <c r="E13" s="16">
        <v>0.19244455192277929</v>
      </c>
      <c r="F13" s="16">
        <v>0.4</v>
      </c>
      <c r="G13" s="16">
        <v>0.4</v>
      </c>
      <c r="H13" s="16">
        <v>4.9431789422793798E-18</v>
      </c>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row>
    <row r="14" spans="1:52">
      <c r="A14" s="16">
        <v>0.14691206440796234</v>
      </c>
      <c r="B14" s="16">
        <v>0.17477919087218979</v>
      </c>
      <c r="C14" s="26">
        <v>0.88338007770283589</v>
      </c>
      <c r="D14" s="16">
        <v>1.0987810888171633E-3</v>
      </c>
      <c r="E14" s="16">
        <v>0.19890121891118279</v>
      </c>
      <c r="F14" s="16">
        <v>0.4</v>
      </c>
      <c r="G14" s="16">
        <v>0.4</v>
      </c>
      <c r="H14" s="16">
        <v>0</v>
      </c>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row>
    <row r="15" spans="1:52">
      <c r="A15" s="16">
        <v>0.14701621297021614</v>
      </c>
      <c r="B15" s="16">
        <v>0.1752779141959549</v>
      </c>
      <c r="C15" s="26">
        <v>0.88614657910109396</v>
      </c>
      <c r="D15" s="16">
        <v>9.7892216379939126E-18</v>
      </c>
      <c r="E15" s="16">
        <v>0.16681786088122569</v>
      </c>
      <c r="F15" s="16">
        <v>0.4</v>
      </c>
      <c r="G15" s="16">
        <v>0.4</v>
      </c>
      <c r="H15" s="16">
        <v>3.3182139118774254E-2</v>
      </c>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row>
    <row r="16" spans="1:52">
      <c r="A16" s="16">
        <v>0.14715276547194825</v>
      </c>
      <c r="B16" s="16">
        <v>0.17577663752036413</v>
      </c>
      <c r="C16" s="26">
        <v>0.88871342037601109</v>
      </c>
      <c r="D16" s="16">
        <v>0</v>
      </c>
      <c r="E16" s="16">
        <v>0.15686986029246847</v>
      </c>
      <c r="F16" s="16">
        <v>0.39111766649191732</v>
      </c>
      <c r="G16" s="16">
        <v>0.4</v>
      </c>
      <c r="H16" s="16">
        <v>5.2012473215614197E-2</v>
      </c>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row>
    <row r="17" spans="1:52">
      <c r="A17" s="16">
        <v>0.14729415074783186</v>
      </c>
      <c r="B17" s="16">
        <v>0.17627536084477324</v>
      </c>
      <c r="C17" s="26">
        <v>0.89124625912346767</v>
      </c>
      <c r="D17" s="16">
        <v>5.5410531858438938E-18</v>
      </c>
      <c r="E17" s="16">
        <v>0.14925546557507885</v>
      </c>
      <c r="F17" s="16">
        <v>0.38154530218290544</v>
      </c>
      <c r="G17" s="16">
        <v>0.4</v>
      </c>
      <c r="H17" s="16">
        <v>6.9199232242015754E-2</v>
      </c>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row>
    <row r="18" spans="1:52">
      <c r="A18" s="16">
        <v>0.14744028553713751</v>
      </c>
      <c r="B18" s="16">
        <v>0.17677408416988291</v>
      </c>
      <c r="C18" s="26">
        <v>0.89374544880877504</v>
      </c>
      <c r="D18" s="16">
        <v>0</v>
      </c>
      <c r="E18" s="16">
        <v>0.14164112839958906</v>
      </c>
      <c r="F18" s="16">
        <v>0.37197292084255135</v>
      </c>
      <c r="G18" s="16">
        <v>0.4</v>
      </c>
      <c r="H18" s="16">
        <v>8.6385950757859653E-2</v>
      </c>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row>
    <row r="19" spans="1:52">
      <c r="A19" s="16">
        <v>0.147591155731299</v>
      </c>
      <c r="B19" s="16">
        <v>0.17727280749359164</v>
      </c>
      <c r="C19" s="26">
        <v>0.89621093376627825</v>
      </c>
      <c r="D19" s="16">
        <v>3.3496428952165351E-18</v>
      </c>
      <c r="E19" s="16">
        <v>0.13402672761136175</v>
      </c>
      <c r="F19" s="16">
        <v>0.36240055834524842</v>
      </c>
      <c r="G19" s="16">
        <v>0.4</v>
      </c>
      <c r="H19" s="16">
        <v>0.10357271404338986</v>
      </c>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row>
    <row r="20" spans="1:52">
      <c r="A20" s="16">
        <v>0.1477467468243997</v>
      </c>
      <c r="B20" s="16">
        <v>0.17777153081800082</v>
      </c>
      <c r="C20" s="26">
        <v>0.89864266842912444</v>
      </c>
      <c r="D20" s="16">
        <v>0</v>
      </c>
      <c r="E20" s="16">
        <v>0.12641234347026734</v>
      </c>
      <c r="F20" s="16">
        <v>0.35282819090889916</v>
      </c>
      <c r="G20" s="16">
        <v>0.4</v>
      </c>
      <c r="H20" s="16">
        <v>0.12075946562083342</v>
      </c>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row>
    <row r="21" spans="1:52">
      <c r="A21" s="16">
        <v>0.14790704391775691</v>
      </c>
      <c r="B21" s="16">
        <v>0.17827025414240999</v>
      </c>
      <c r="C21" s="26">
        <v>0.90104061721708373</v>
      </c>
      <c r="D21" s="16">
        <v>0</v>
      </c>
      <c r="E21" s="16">
        <v>0.11879799420664337</v>
      </c>
      <c r="F21" s="16">
        <v>0.34325581315952897</v>
      </c>
      <c r="G21" s="16">
        <v>0.4</v>
      </c>
      <c r="H21" s="16">
        <v>0.13794619263382771</v>
      </c>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row>
    <row r="22" spans="1:52">
      <c r="A22" s="16">
        <v>0.14807203172776615</v>
      </c>
      <c r="B22" s="16">
        <v>0.17876897746681919</v>
      </c>
      <c r="C22" s="26">
        <v>0.9034047544694771</v>
      </c>
      <c r="D22" s="16">
        <v>3.7069586630660523E-18</v>
      </c>
      <c r="E22" s="16">
        <v>0.11118358937830966</v>
      </c>
      <c r="F22" s="16">
        <v>0.33368345184025033</v>
      </c>
      <c r="G22" s="16">
        <v>0.4</v>
      </c>
      <c r="H22" s="16">
        <v>0.15513295878143998</v>
      </c>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row>
    <row r="23" spans="1:52">
      <c r="A23" s="16">
        <v>0.14824169459261857</v>
      </c>
      <c r="B23" s="16">
        <v>0.17926770079122839</v>
      </c>
      <c r="C23" s="26">
        <v>0.90573506435020223</v>
      </c>
      <c r="D23" s="16">
        <v>2.7296421260000832E-19</v>
      </c>
      <c r="E23" s="16">
        <v>0.1035692078020103</v>
      </c>
      <c r="F23" s="16">
        <v>0.32411108364550878</v>
      </c>
      <c r="G23" s="16">
        <v>0.4</v>
      </c>
      <c r="H23" s="16">
        <v>0.17231970855248094</v>
      </c>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row>
    <row r="24" spans="1:52">
      <c r="A24" s="16">
        <v>0.14841601647959274</v>
      </c>
      <c r="B24" s="16">
        <v>0.17976642411633803</v>
      </c>
      <c r="C24" s="26">
        <v>0.90803154075266856</v>
      </c>
      <c r="D24" s="16">
        <v>0</v>
      </c>
      <c r="E24" s="16">
        <v>9.5954850282259627E-2</v>
      </c>
      <c r="F24" s="16">
        <v>0.31453870832081016</v>
      </c>
      <c r="G24" s="16">
        <v>0.4</v>
      </c>
      <c r="H24" s="16">
        <v>0.18950644139693029</v>
      </c>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row>
    <row r="25" spans="1:52">
      <c r="A25" s="16">
        <v>0.14859498099122312</v>
      </c>
      <c r="B25" s="16">
        <v>0.1802651474407472</v>
      </c>
      <c r="C25" s="26">
        <v>0.91029418718211441</v>
      </c>
      <c r="D25" s="16">
        <v>1.9249147419640306E-17</v>
      </c>
      <c r="E25" s="16">
        <v>8.8340470955857134E-2</v>
      </c>
      <c r="F25" s="16">
        <v>0.30496633946079033</v>
      </c>
      <c r="G25" s="16">
        <v>0.4</v>
      </c>
      <c r="H25" s="16">
        <v>0.20669318958335253</v>
      </c>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row>
    <row r="26" spans="1:52">
      <c r="A26" s="16">
        <v>0.14877857137402717</v>
      </c>
      <c r="B26" s="16">
        <v>0.18076387076515635</v>
      </c>
      <c r="C26" s="26">
        <v>0.91252301666379043</v>
      </c>
      <c r="D26" s="16">
        <v>2.7356226991903978E-18</v>
      </c>
      <c r="E26" s="16">
        <v>8.0726134480244419E-2</v>
      </c>
      <c r="F26" s="16">
        <v>0.29539395793009493</v>
      </c>
      <c r="G26" s="16">
        <v>0.4</v>
      </c>
      <c r="H26" s="16">
        <v>0.2238799075896607</v>
      </c>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row>
    <row r="27" spans="1:52">
      <c r="A27" s="16">
        <v>0.14896677052461932</v>
      </c>
      <c r="B27" s="16">
        <v>0.18126259408886511</v>
      </c>
      <c r="C27" s="26">
        <v>0.91471805160967334</v>
      </c>
      <c r="D27" s="16">
        <v>1.3000582661563712E-17</v>
      </c>
      <c r="E27" s="16">
        <v>7.3111718081011356E-2</v>
      </c>
      <c r="F27" s="16">
        <v>0.28582160004885659</v>
      </c>
      <c r="G27" s="16">
        <v>0.4</v>
      </c>
      <c r="H27" s="16">
        <v>0.24106668187013205</v>
      </c>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row>
    <row r="28" spans="1:52">
      <c r="A28" s="16">
        <v>0.14915956099846128</v>
      </c>
      <c r="B28" s="16">
        <v>0.18176131741327428</v>
      </c>
      <c r="C28" s="26">
        <v>0.91687932371083547</v>
      </c>
      <c r="D28" s="16">
        <v>9.0503755002141261E-18</v>
      </c>
      <c r="E28" s="16">
        <v>6.5497349479911274E-2</v>
      </c>
      <c r="F28" s="16">
        <v>0.27624922801744078</v>
      </c>
      <c r="G28" s="16">
        <v>0.4</v>
      </c>
      <c r="H28" s="16">
        <v>0.25825342250264799</v>
      </c>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row>
    <row r="29" spans="1:52">
      <c r="A29" s="16">
        <v>0.14935692501580261</v>
      </c>
      <c r="B29" s="16">
        <v>0.18226004073768343</v>
      </c>
      <c r="C29" s="26">
        <v>0.91900687379015555</v>
      </c>
      <c r="D29" s="16">
        <v>0</v>
      </c>
      <c r="E29" s="16">
        <v>5.7882959544044439E-2</v>
      </c>
      <c r="F29" s="16">
        <v>0.26667686229456572</v>
      </c>
      <c r="G29" s="16">
        <v>0.4</v>
      </c>
      <c r="H29" s="16">
        <v>0.27544017816138988</v>
      </c>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row>
    <row r="30" spans="1:52">
      <c r="A30" s="16">
        <v>0.14955884447033468</v>
      </c>
      <c r="B30" s="16">
        <v>0.18275876406209249</v>
      </c>
      <c r="C30" s="26">
        <v>0.92110075168050143</v>
      </c>
      <c r="D30" s="16">
        <v>0</v>
      </c>
      <c r="E30" s="16">
        <v>5.0268611366460582E-2</v>
      </c>
      <c r="F30" s="16">
        <v>0.25710448422406357</v>
      </c>
      <c r="G30" s="16">
        <v>0.4</v>
      </c>
      <c r="H30" s="16">
        <v>0.29262690440947586</v>
      </c>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row>
    <row r="31" spans="1:52">
      <c r="A31" s="16">
        <v>0.14976530093689452</v>
      </c>
      <c r="B31" s="16">
        <v>0.18325748738720229</v>
      </c>
      <c r="C31" s="26">
        <v>0.92316101608515311</v>
      </c>
      <c r="D31" s="16">
        <v>0</v>
      </c>
      <c r="E31" s="16">
        <v>4.2654191158073805E-2</v>
      </c>
      <c r="F31" s="16">
        <v>0.24753212743594769</v>
      </c>
      <c r="G31" s="16">
        <v>0.4</v>
      </c>
      <c r="H31" s="16">
        <v>0.30981368140597854</v>
      </c>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row>
    <row r="32" spans="1:52">
      <c r="A32" s="16">
        <v>0.14997627567773197</v>
      </c>
      <c r="B32" s="16">
        <v>0.183756210710911</v>
      </c>
      <c r="C32" s="26">
        <v>0.92518773441920521</v>
      </c>
      <c r="D32" s="16">
        <v>1.3956686012820207E-17</v>
      </c>
      <c r="E32" s="16">
        <v>3.5039814697613615E-2</v>
      </c>
      <c r="F32" s="16">
        <v>0.23795975774509678</v>
      </c>
      <c r="G32" s="16">
        <v>0.4</v>
      </c>
      <c r="H32" s="16">
        <v>0.32700042755728964</v>
      </c>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row>
    <row r="33" spans="1:52">
      <c r="A33" s="16">
        <v>0.15019174965353624</v>
      </c>
      <c r="B33" s="16">
        <v>0.18425493403602067</v>
      </c>
      <c r="C33" s="26">
        <v>0.92718098269216054</v>
      </c>
      <c r="D33" s="16">
        <v>0</v>
      </c>
      <c r="E33" s="16">
        <v>2.7425491851444855E-2</v>
      </c>
      <c r="F33" s="16">
        <v>0.22838737216766331</v>
      </c>
      <c r="G33" s="16">
        <v>0.4</v>
      </c>
      <c r="H33" s="16">
        <v>0.3441871359808919</v>
      </c>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row>
    <row r="34" spans="1:52">
      <c r="A34" s="16">
        <v>0.1504117035268118</v>
      </c>
      <c r="B34" s="16">
        <v>0.18475365735972937</v>
      </c>
      <c r="C34" s="26">
        <v>0.92914084531206342</v>
      </c>
      <c r="D34" s="16">
        <v>0</v>
      </c>
      <c r="E34" s="16">
        <v>1.9811072885541441E-2</v>
      </c>
      <c r="F34" s="16">
        <v>0.21881501504537118</v>
      </c>
      <c r="G34" s="16">
        <v>0.4</v>
      </c>
      <c r="H34" s="16">
        <v>0.36137391206908731</v>
      </c>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row>
    <row r="35" spans="1:52">
      <c r="A35" s="16">
        <v>0.15063611767428062</v>
      </c>
      <c r="B35" s="16">
        <v>0.18525238068413852</v>
      </c>
      <c r="C35" s="26">
        <v>0.93106741497019485</v>
      </c>
      <c r="D35" s="16">
        <v>1.8004734780245459E-17</v>
      </c>
      <c r="E35" s="16">
        <v>1.2196655615215508E-2</v>
      </c>
      <c r="F35" s="16">
        <v>0.20924265740510309</v>
      </c>
      <c r="G35" s="16">
        <v>0.4</v>
      </c>
      <c r="H35" s="16">
        <v>0.37856068697968132</v>
      </c>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row>
    <row r="36" spans="1:52">
      <c r="A36" s="16">
        <v>0.15086497219144407</v>
      </c>
      <c r="B36" s="16">
        <v>0.18575110400854772</v>
      </c>
      <c r="C36" s="26">
        <v>0.93296079244914398</v>
      </c>
      <c r="D36" s="16">
        <v>1.9337729798184713E-19</v>
      </c>
      <c r="E36" s="16">
        <v>4.5823412185668835E-3</v>
      </c>
      <c r="F36" s="16">
        <v>0.19967026934581306</v>
      </c>
      <c r="G36" s="16">
        <v>0.4</v>
      </c>
      <c r="H36" s="16">
        <v>0.3957473894356201</v>
      </c>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row>
    <row r="37" spans="1:52">
      <c r="A37" s="16">
        <v>0.1511024381283925</v>
      </c>
      <c r="B37" s="16">
        <v>0.18624982733295689</v>
      </c>
      <c r="C37" s="26">
        <v>0.93479515673291913</v>
      </c>
      <c r="D37" s="16">
        <v>0</v>
      </c>
      <c r="E37" s="16">
        <v>1.5332306812445864E-2</v>
      </c>
      <c r="F37" s="16">
        <v>0.18466769318755408</v>
      </c>
      <c r="G37" s="16">
        <v>0.4</v>
      </c>
      <c r="H37" s="16">
        <v>0.4</v>
      </c>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row>
    <row r="38" spans="1:52">
      <c r="A38" s="16">
        <v>0.15135861436924103</v>
      </c>
      <c r="B38" s="16">
        <v>0.18674855065736609</v>
      </c>
      <c r="C38" s="26">
        <v>0.93650798303140448</v>
      </c>
      <c r="D38" s="16">
        <v>1.0034336155563003E-18</v>
      </c>
      <c r="E38" s="16">
        <v>3.2120278920405546E-2</v>
      </c>
      <c r="F38" s="16">
        <v>0.16787972107959445</v>
      </c>
      <c r="G38" s="16">
        <v>0.4</v>
      </c>
      <c r="H38" s="16">
        <v>0.4</v>
      </c>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row>
    <row r="39" spans="1:52">
      <c r="A39" s="16">
        <v>0.15163385756923561</v>
      </c>
      <c r="B39" s="16">
        <v>0.18724727398177526</v>
      </c>
      <c r="C39" s="26">
        <v>0.93809704680780515</v>
      </c>
      <c r="D39" s="16">
        <v>2.8511807691188303E-18</v>
      </c>
      <c r="E39" s="16">
        <v>4.8908251028365171E-2</v>
      </c>
      <c r="F39" s="16">
        <v>0.1510917489716348</v>
      </c>
      <c r="G39" s="16">
        <v>0.4</v>
      </c>
      <c r="H39" s="16">
        <v>0.4</v>
      </c>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row>
    <row r="40" spans="1:52">
      <c r="A40" s="16">
        <v>0.15192806409941698</v>
      </c>
      <c r="B40" s="16">
        <v>0.18774599730618446</v>
      </c>
      <c r="C40" s="26">
        <v>0.93956306329800898</v>
      </c>
      <c r="D40" s="16">
        <v>6.3007592588382141E-18</v>
      </c>
      <c r="E40" s="16">
        <v>6.5696223136325158E-2</v>
      </c>
      <c r="F40" s="16">
        <v>0.13430377686367487</v>
      </c>
      <c r="G40" s="16">
        <v>0.4</v>
      </c>
      <c r="H40" s="16">
        <v>0.39999999999999997</v>
      </c>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row>
    <row r="41" spans="1:52">
      <c r="A41" s="16">
        <v>0.15224112401970949</v>
      </c>
      <c r="B41" s="16">
        <v>0.18824472063059364</v>
      </c>
      <c r="C41" s="26">
        <v>0.94090687751391555</v>
      </c>
      <c r="D41" s="16">
        <v>0</v>
      </c>
      <c r="E41" s="16">
        <v>8.2484195244284755E-2</v>
      </c>
      <c r="F41" s="16">
        <v>0.11751580475571527</v>
      </c>
      <c r="G41" s="16">
        <v>0.4</v>
      </c>
      <c r="H41" s="16">
        <v>0.39999999999999997</v>
      </c>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row>
    <row r="42" spans="1:52">
      <c r="A42" s="16">
        <v>0.15257292127599603</v>
      </c>
      <c r="B42" s="16">
        <v>0.18874344395500284</v>
      </c>
      <c r="C42" s="26">
        <v>0.94212946014829746</v>
      </c>
      <c r="D42" s="16">
        <v>0</v>
      </c>
      <c r="E42" s="16">
        <v>9.9272167352244534E-2</v>
      </c>
      <c r="F42" s="16">
        <v>0.10072783264775546</v>
      </c>
      <c r="G42" s="16">
        <v>0.4</v>
      </c>
      <c r="H42" s="16">
        <v>0.4</v>
      </c>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row>
    <row r="43" spans="1:52">
      <c r="A43" s="16">
        <v>0.15292333390531573</v>
      </c>
      <c r="B43" s="16">
        <v>0.18924216727941201</v>
      </c>
      <c r="C43" s="26">
        <v>0.94323190317522931</v>
      </c>
      <c r="D43" s="16">
        <v>0</v>
      </c>
      <c r="E43" s="16">
        <v>0.11606013946020324</v>
      </c>
      <c r="F43" s="16">
        <v>8.393986053979674E-2</v>
      </c>
      <c r="G43" s="16">
        <v>0.4</v>
      </c>
      <c r="H43" s="16">
        <v>0.4</v>
      </c>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row>
    <row r="44" spans="1:52">
      <c r="A44" s="16">
        <v>0.15329223424838195</v>
      </c>
      <c r="B44" s="16">
        <v>0.18974089060382121</v>
      </c>
      <c r="C44" s="26">
        <v>0.94421541517422958</v>
      </c>
      <c r="D44" s="16">
        <v>7.2365705548897062E-18</v>
      </c>
      <c r="E44" s="16">
        <v>0.13284811156816401</v>
      </c>
      <c r="F44" s="16">
        <v>6.7151888431835893E-2</v>
      </c>
      <c r="G44" s="16">
        <v>0.4</v>
      </c>
      <c r="H44" s="16">
        <v>0.4</v>
      </c>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row>
    <row r="45" spans="1:52">
      <c r="A45" s="16">
        <v>0.15367948916860574</v>
      </c>
      <c r="B45" s="16">
        <v>0.19023961392823038</v>
      </c>
      <c r="C45" s="26">
        <v>0.94508131640705961</v>
      </c>
      <c r="D45" s="16">
        <v>1.4372828831330598E-18</v>
      </c>
      <c r="E45" s="16">
        <v>0.14963608367612302</v>
      </c>
      <c r="F45" s="16">
        <v>5.0363916323876969E-2</v>
      </c>
      <c r="G45" s="16">
        <v>0.4</v>
      </c>
      <c r="H45" s="16">
        <v>0.4</v>
      </c>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spans="1:52">
      <c r="A46" s="16">
        <v>0.15408496027680671</v>
      </c>
      <c r="B46" s="16">
        <v>0.19073833725263956</v>
      </c>
      <c r="C46" s="26">
        <v>0.94583103367666255</v>
      </c>
      <c r="D46" s="16">
        <v>2.6499088766475554E-18</v>
      </c>
      <c r="E46" s="16">
        <v>0.16642405578408176</v>
      </c>
      <c r="F46" s="16">
        <v>3.3575944215918245E-2</v>
      </c>
      <c r="G46" s="16">
        <v>0.4</v>
      </c>
      <c r="H46" s="16">
        <v>0.4</v>
      </c>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row>
    <row r="47" spans="1:52">
      <c r="A47" s="16">
        <v>0.15450850416079145</v>
      </c>
      <c r="B47" s="16">
        <v>0.19123706057704876</v>
      </c>
      <c r="C47" s="26">
        <v>0.9464660949980146</v>
      </c>
      <c r="D47" s="16">
        <v>0</v>
      </c>
      <c r="E47" s="16">
        <v>0.18321202789204261</v>
      </c>
      <c r="F47" s="16">
        <v>1.6787972107957412E-2</v>
      </c>
      <c r="G47" s="16">
        <v>0.4</v>
      </c>
      <c r="H47" s="16">
        <v>0.4</v>
      </c>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row>
    <row r="48" spans="1:52">
      <c r="A48" s="16">
        <v>0.15494997261898513</v>
      </c>
      <c r="B48" s="16">
        <v>0.19173578390145807</v>
      </c>
      <c r="C48" s="26">
        <v>0.94698812411070665</v>
      </c>
      <c r="D48" s="16">
        <v>0</v>
      </c>
      <c r="E48" s="16">
        <v>0.20000000000000101</v>
      </c>
      <c r="F48" s="16">
        <v>0</v>
      </c>
      <c r="G48" s="16">
        <v>0.4</v>
      </c>
      <c r="H48" s="16">
        <v>0.4</v>
      </c>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row>
    <row r="49" spans="1:5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row>
    <row r="50" spans="1:52">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row>
    <row r="51" spans="1:52">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row>
    <row r="52" spans="1: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row>
    <row r="53" spans="1:52">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row>
    <row r="54" spans="1:52">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row>
    <row r="55" spans="1:52">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row>
    <row r="56" spans="1:52">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row>
    <row r="57" spans="1:52">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row>
    <row r="58" spans="1:52">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row>
    <row r="59" spans="1:52">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row>
    <row r="60" spans="1:52">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row>
    <row r="61" spans="1:52">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row>
    <row r="62" spans="1:5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row>
    <row r="63" spans="1:5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row>
    <row r="64" spans="1:5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row>
    <row r="65" spans="1:5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row>
    <row r="66" spans="1:5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row>
    <row r="67" spans="1:5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row>
    <row r="68" spans="1:5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row>
    <row r="69" spans="1:5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row>
    <row r="70" spans="1:5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row>
    <row r="71" spans="1:5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row>
    <row r="72" spans="1:5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row>
    <row r="73" spans="1:5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row>
    <row r="74" spans="1:5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row>
    <row r="75" spans="1:5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row>
    <row r="76" spans="1:5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row>
    <row r="77" spans="1:5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row>
    <row r="78" spans="1:5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row>
    <row r="79" spans="1:5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row>
    <row r="80" spans="1:5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row>
    <row r="81" spans="1:5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row>
    <row r="82" spans="1:5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row>
    <row r="83" spans="1:5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row>
    <row r="84" spans="1:5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row>
    <row r="85" spans="1:5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row>
    <row r="86" spans="1:5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row>
    <row r="87" spans="1:5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row>
    <row r="88" spans="1:5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row>
    <row r="89" spans="1:5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row>
    <row r="90" spans="1:5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row>
    <row r="91" spans="1:5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row>
    <row r="92" spans="1:5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row>
    <row r="93" spans="1:5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row>
    <row r="94" spans="1:5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row>
    <row r="95" spans="1:5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row>
    <row r="96" spans="1:5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row>
    <row r="97" spans="1:5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row>
    <row r="98" spans="1:5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row>
    <row r="99" spans="1:5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row>
    <row r="100" spans="1:5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row>
    <row r="101" spans="1:5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row>
    <row r="102" spans="1:5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row>
    <row r="103" spans="1:5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row>
    <row r="104" spans="1:5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row>
    <row r="105" spans="1:5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row>
    <row r="106" spans="1:5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row>
    <row r="107" spans="1:5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row>
    <row r="108" spans="1:5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row>
    <row r="109" spans="1:5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row>
    <row r="110" spans="1:5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row>
    <row r="111" spans="1:5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row>
    <row r="112" spans="1:5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row>
    <row r="113" spans="1:5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row>
    <row r="114" spans="1:5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row>
    <row r="115" spans="1:5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row>
    <row r="116" spans="1:5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row>
    <row r="117" spans="1:5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row>
    <row r="118" spans="1:5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row>
    <row r="119" spans="1:5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row>
    <row r="120" spans="1:5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row>
    <row r="121" spans="1:5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row>
    <row r="122" spans="1:5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row>
    <row r="123" spans="1:5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row>
    <row r="124" spans="1:5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row>
    <row r="125" spans="1:5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row>
    <row r="126" spans="1:5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row>
    <row r="127" spans="1:5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row>
    <row r="128" spans="1:5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row>
    <row r="129" spans="1:5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row>
    <row r="130" spans="1:5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row>
    <row r="131" spans="1:5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row>
    <row r="132" spans="1:5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row>
    <row r="133" spans="1:5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row>
    <row r="134" spans="1:5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row>
    <row r="135" spans="1:5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row>
    <row r="136" spans="1:5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row>
    <row r="137" spans="1:5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row>
    <row r="138" spans="1:5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row>
    <row r="139" spans="1:5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row>
    <row r="140" spans="1:5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row>
    <row r="141" spans="1:5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row>
    <row r="142" spans="1:5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row>
    <row r="143" spans="1:5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row>
    <row r="144" spans="1:5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row>
    <row r="145" spans="1:5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row>
    <row r="146" spans="1:5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row>
    <row r="147" spans="1:5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row>
    <row r="148" spans="1:5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row>
    <row r="149" spans="1:5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row>
    <row r="150" spans="1:5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row>
    <row r="151" spans="1:5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row>
    <row r="152" spans="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row>
    <row r="153" spans="1:5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row>
    <row r="154" spans="1:5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row>
    <row r="155" spans="1:5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row>
    <row r="156" spans="1:5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row>
    <row r="157" spans="1:5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row>
    <row r="158" spans="1:5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row>
    <row r="159" spans="1:5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row>
    <row r="160" spans="1:5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row>
    <row r="161" spans="1:5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row>
    <row r="162" spans="1:5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row>
    <row r="163" spans="1:5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row>
    <row r="164" spans="1:5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row>
    <row r="165" spans="1:5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row>
    <row r="166" spans="1:5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row>
    <row r="167" spans="1:5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row>
    <row r="168" spans="1:5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row>
    <row r="169" spans="1:5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row>
    <row r="170" spans="1:5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row>
    <row r="171" spans="1:5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row>
    <row r="172" spans="1:5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row>
    <row r="173" spans="1:5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row>
    <row r="174" spans="1:5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row>
    <row r="175" spans="1:5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row>
    <row r="176" spans="1:5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row>
    <row r="177" spans="1:5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row>
    <row r="178" spans="1:5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row>
    <row r="179" spans="1:5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row>
    <row r="180" spans="1:5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row>
    <row r="181" spans="1:5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row>
    <row r="182" spans="1:5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row>
    <row r="183" spans="1:5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row>
    <row r="184" spans="1:5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row>
    <row r="185" spans="1:5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row>
    <row r="186" spans="1:5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row>
    <row r="187" spans="1:5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row>
    <row r="188" spans="1:5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row>
    <row r="189" spans="1:5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row>
    <row r="190" spans="1:5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row>
    <row r="191" spans="1:5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row>
    <row r="192" spans="1:5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row>
    <row r="193" spans="1:5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row>
    <row r="194" spans="1:5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row>
    <row r="195" spans="1:5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row>
    <row r="196" spans="1:5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row>
    <row r="197" spans="1:5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row>
    <row r="198" spans="1:5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row>
    <row r="199" spans="1:5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row>
  </sheetData>
  <mergeCells count="1">
    <mergeCell ref="A1:J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Z5004"/>
  <sheetViews>
    <sheetView topLeftCell="A85" workbookViewId="0">
      <selection activeCell="N6" sqref="N6"/>
    </sheetView>
  </sheetViews>
  <sheetFormatPr baseColWidth="10" defaultColWidth="8.83203125" defaultRowHeight="14"/>
  <cols>
    <col min="1" max="1" width="24" customWidth="1"/>
    <col min="2" max="2" width="18" customWidth="1"/>
    <col min="3" max="3" width="17.33203125" bestFit="1" customWidth="1"/>
    <col min="4" max="4" width="30" customWidth="1"/>
    <col min="5" max="6" width="18" customWidth="1"/>
    <col min="7" max="7" width="12" customWidth="1"/>
    <col min="14" max="14" width="18" customWidth="1"/>
  </cols>
  <sheetData>
    <row r="1" spans="1:52" ht="40" customHeight="1">
      <c r="A1" s="34" t="s">
        <v>101</v>
      </c>
      <c r="B1" s="34"/>
      <c r="C1" s="34"/>
      <c r="D1" s="34"/>
      <c r="E1" s="34"/>
      <c r="F1" s="34"/>
      <c r="G1" s="34"/>
      <c r="H1" s="34"/>
      <c r="I1" s="34"/>
      <c r="J1" s="34"/>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row>
    <row r="2" spans="1:52" ht="32" customHeight="1">
      <c r="A2" s="35" t="s">
        <v>102</v>
      </c>
      <c r="B2" s="35"/>
      <c r="C2" s="35"/>
      <c r="D2" s="35"/>
      <c r="E2" s="35"/>
      <c r="F2" s="35"/>
      <c r="G2" s="35"/>
      <c r="H2" s="35"/>
      <c r="I2" s="35"/>
      <c r="J2" s="3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row>
    <row r="3" spans="1:52">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row>
    <row r="4" spans="1:52" ht="29.25" customHeight="1">
      <c r="A4" s="1" t="s">
        <v>103</v>
      </c>
      <c r="B4" s="1" t="s">
        <v>3</v>
      </c>
      <c r="C4" s="5"/>
      <c r="D4" s="1" t="s">
        <v>104</v>
      </c>
      <c r="E4" s="1" t="s">
        <v>3</v>
      </c>
      <c r="F4" s="1" t="s">
        <v>105</v>
      </c>
      <c r="G4" s="1" t="s">
        <v>106</v>
      </c>
      <c r="H4" s="5"/>
      <c r="I4" s="5"/>
      <c r="J4" s="5"/>
      <c r="K4" s="5"/>
      <c r="L4" s="5"/>
      <c r="M4" s="5"/>
      <c r="N4" s="1" t="s">
        <v>107</v>
      </c>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row>
    <row r="5" spans="1:52">
      <c r="A5" s="5" t="s">
        <v>108</v>
      </c>
      <c r="B5" s="16">
        <v>0.1917357839014579</v>
      </c>
      <c r="C5" s="5"/>
      <c r="D5" s="5" t="s">
        <v>109</v>
      </c>
      <c r="E5" s="27">
        <f>AVERAGE(N5:N5004)</f>
        <v>2202827359.8002558</v>
      </c>
      <c r="F5" s="27">
        <v>734108033.88108301</v>
      </c>
      <c r="G5" s="5">
        <v>38</v>
      </c>
      <c r="H5" s="5"/>
      <c r="I5" s="5"/>
      <c r="J5" s="5"/>
      <c r="K5" s="5"/>
      <c r="L5" s="5"/>
      <c r="M5" s="5"/>
      <c r="N5" s="27">
        <v>1560571086.263221</v>
      </c>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row>
    <row r="6" spans="1:52">
      <c r="A6" s="5" t="s">
        <v>110</v>
      </c>
      <c r="B6" s="16">
        <v>0.15494997261898499</v>
      </c>
      <c r="C6" s="5"/>
      <c r="D6" s="5" t="s">
        <v>111</v>
      </c>
      <c r="E6" s="27">
        <f>MEDIAN(N5:N5004)</f>
        <v>2048146359.4394596</v>
      </c>
      <c r="F6" s="27">
        <v>996651836.70148802</v>
      </c>
      <c r="G6" s="5">
        <v>200</v>
      </c>
      <c r="H6" s="5"/>
      <c r="I6" s="5"/>
      <c r="J6" s="5"/>
      <c r="K6" s="5"/>
      <c r="L6" s="5"/>
      <c r="M6" s="5"/>
      <c r="N6" s="27">
        <v>3140536602.5765953</v>
      </c>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row>
    <row r="7" spans="1:52">
      <c r="A7" s="5" t="s">
        <v>112</v>
      </c>
      <c r="B7" s="26">
        <v>0.94698812411070643</v>
      </c>
      <c r="C7" s="5"/>
      <c r="D7" s="5" t="s">
        <v>113</v>
      </c>
      <c r="E7" s="27" t="e">
        <f ca="1">_xludf.PERCENTILE.INC(N5:N5004,0.1)</f>
        <v>#NAME?</v>
      </c>
      <c r="F7" s="27">
        <v>1259195639.521893</v>
      </c>
      <c r="G7" s="5">
        <v>430</v>
      </c>
      <c r="H7" s="5"/>
      <c r="I7" s="5"/>
      <c r="J7" s="5"/>
      <c r="K7" s="5"/>
      <c r="L7" s="5"/>
      <c r="M7" s="5"/>
      <c r="N7" s="27">
        <v>1731116115.5226376</v>
      </c>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row>
    <row r="8" spans="1:52">
      <c r="A8" s="5" t="s">
        <v>10</v>
      </c>
      <c r="B8" s="27">
        <v>100000000</v>
      </c>
      <c r="C8" s="5"/>
      <c r="D8" s="5" t="s">
        <v>114</v>
      </c>
      <c r="E8" s="27" t="e">
        <f ca="1">_xludf.PERCENTILE.INC(N5:N5004,0.9)</f>
        <v>#NAME?</v>
      </c>
      <c r="F8" s="27">
        <v>1521739442.342298</v>
      </c>
      <c r="G8" s="5">
        <v>717</v>
      </c>
      <c r="H8" s="5"/>
      <c r="I8" s="5"/>
      <c r="J8" s="5"/>
      <c r="K8" s="5"/>
      <c r="L8" s="5"/>
      <c r="M8" s="5"/>
      <c r="N8" s="27">
        <v>2880286961.9623466</v>
      </c>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row>
    <row r="9" spans="1:52">
      <c r="A9" s="5" t="s">
        <v>115</v>
      </c>
      <c r="B9" s="27">
        <v>5000000</v>
      </c>
      <c r="C9" s="5"/>
      <c r="D9" s="5" t="s">
        <v>116</v>
      </c>
      <c r="E9" s="16">
        <f>COUNTIF(N5:N5004,"&lt;"&amp;$B$12)/COUNT(N5:N5004)</f>
        <v>1.1999999999999999E-3</v>
      </c>
      <c r="F9" s="27">
        <v>1784283245.162703</v>
      </c>
      <c r="G9" s="5">
        <v>775</v>
      </c>
      <c r="H9" s="5"/>
      <c r="I9" s="5"/>
      <c r="J9" s="5"/>
      <c r="K9" s="5"/>
      <c r="L9" s="5"/>
      <c r="M9" s="5"/>
      <c r="N9" s="27">
        <v>3417472191.1263609</v>
      </c>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row>
    <row r="10" spans="1:52">
      <c r="A10" s="5" t="s">
        <v>117</v>
      </c>
      <c r="B10" s="28">
        <v>120</v>
      </c>
      <c r="C10" s="5"/>
      <c r="D10" s="5" t="s">
        <v>118</v>
      </c>
      <c r="E10" s="16">
        <f>COUNTIF(N5:N5004,"&gt;"&amp;2*$B$12)/COUNT(N5:N5004)</f>
        <v>0.86140000000000005</v>
      </c>
      <c r="F10" s="27">
        <v>2046827047.983108</v>
      </c>
      <c r="G10" s="5">
        <v>683</v>
      </c>
      <c r="H10" s="5"/>
      <c r="I10" s="5"/>
      <c r="J10" s="5"/>
      <c r="K10" s="5"/>
      <c r="L10" s="5"/>
      <c r="M10" s="5"/>
      <c r="N10" s="27">
        <v>1027073737.9479241</v>
      </c>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row>
    <row r="11" spans="1:52">
      <c r="A11" s="5" t="s">
        <v>119</v>
      </c>
      <c r="B11" s="28">
        <v>5000</v>
      </c>
      <c r="C11" s="5"/>
      <c r="D11" s="5"/>
      <c r="E11" s="5"/>
      <c r="F11" s="27">
        <v>2309370850.8035131</v>
      </c>
      <c r="G11" s="5">
        <v>577</v>
      </c>
      <c r="H11" s="5"/>
      <c r="I11" s="5"/>
      <c r="J11" s="5"/>
      <c r="K11" s="5"/>
      <c r="L11" s="5"/>
      <c r="M11" s="5"/>
      <c r="N11" s="27">
        <v>1752005128.6214499</v>
      </c>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row>
    <row r="12" spans="1:52">
      <c r="A12" s="5" t="s">
        <v>120</v>
      </c>
      <c r="B12" s="27">
        <v>700000000</v>
      </c>
      <c r="C12" s="5"/>
      <c r="D12" s="5"/>
      <c r="E12" s="5"/>
      <c r="F12" s="27">
        <v>2571914653.6239181</v>
      </c>
      <c r="G12" s="5">
        <v>481</v>
      </c>
      <c r="H12" s="5"/>
      <c r="I12" s="5"/>
      <c r="J12" s="5"/>
      <c r="K12" s="5"/>
      <c r="L12" s="5"/>
      <c r="M12" s="5"/>
      <c r="N12" s="27">
        <v>3056728511.7841182</v>
      </c>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row>
    <row r="13" spans="1:52">
      <c r="A13" s="5"/>
      <c r="B13" s="5"/>
      <c r="C13" s="5"/>
      <c r="D13" s="5"/>
      <c r="E13" s="5"/>
      <c r="F13" s="27">
        <v>2834458456.4443231</v>
      </c>
      <c r="G13" s="5">
        <v>319</v>
      </c>
      <c r="H13" s="5"/>
      <c r="I13" s="5"/>
      <c r="J13" s="5"/>
      <c r="K13" s="5"/>
      <c r="L13" s="5"/>
      <c r="M13" s="5"/>
      <c r="N13" s="27">
        <v>3251644772.0760107</v>
      </c>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row>
    <row r="14" spans="1:52">
      <c r="A14" s="5"/>
      <c r="B14" s="5"/>
      <c r="C14" s="5"/>
      <c r="D14" s="5"/>
      <c r="E14" s="5"/>
      <c r="F14" s="27">
        <v>3097002259.2647281</v>
      </c>
      <c r="G14" s="5">
        <v>212</v>
      </c>
      <c r="H14" s="5"/>
      <c r="I14" s="5"/>
      <c r="J14" s="5"/>
      <c r="K14" s="5"/>
      <c r="L14" s="5"/>
      <c r="M14" s="5"/>
      <c r="N14" s="27">
        <v>1359292734.8354554</v>
      </c>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row>
    <row r="15" spans="1:52" ht="29.25" customHeight="1">
      <c r="A15" s="1" t="s">
        <v>121</v>
      </c>
      <c r="B15" s="1" t="s">
        <v>122</v>
      </c>
      <c r="C15" s="1" t="s">
        <v>123</v>
      </c>
      <c r="D15" s="1" t="s">
        <v>124</v>
      </c>
      <c r="E15" s="5"/>
      <c r="F15" s="27">
        <v>3359546062.0851331</v>
      </c>
      <c r="G15" s="5">
        <v>163</v>
      </c>
      <c r="H15" s="5"/>
      <c r="I15" s="5"/>
      <c r="J15" s="5"/>
      <c r="K15" s="5"/>
      <c r="L15" s="5"/>
      <c r="M15" s="5"/>
      <c r="N15" s="27">
        <v>2816859409.2583232</v>
      </c>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row>
    <row r="16" spans="1:52">
      <c r="A16" s="5">
        <v>0</v>
      </c>
      <c r="B16" s="27">
        <v>100000000</v>
      </c>
      <c r="C16" s="27">
        <v>100000000</v>
      </c>
      <c r="D16" s="27">
        <v>100000000</v>
      </c>
      <c r="E16" s="5"/>
      <c r="F16" s="27">
        <v>3622089864.9055381</v>
      </c>
      <c r="G16" s="5">
        <v>138</v>
      </c>
      <c r="H16" s="5"/>
      <c r="I16" s="5"/>
      <c r="J16" s="5"/>
      <c r="K16" s="5"/>
      <c r="L16" s="5"/>
      <c r="M16" s="5"/>
      <c r="N16" s="27">
        <v>1263827993.4465764</v>
      </c>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row>
    <row r="17" spans="1:52">
      <c r="A17" s="5">
        <v>1</v>
      </c>
      <c r="B17" s="27">
        <v>100738174.35874459</v>
      </c>
      <c r="C17" s="27">
        <v>106328960.68299082</v>
      </c>
      <c r="D17" s="27">
        <v>112392497.86740495</v>
      </c>
      <c r="E17" s="5"/>
      <c r="F17" s="27">
        <v>3884633667.7259431</v>
      </c>
      <c r="G17" s="5">
        <v>88</v>
      </c>
      <c r="H17" s="5"/>
      <c r="I17" s="5"/>
      <c r="J17" s="5"/>
      <c r="K17" s="5"/>
      <c r="L17" s="5"/>
      <c r="M17" s="5"/>
      <c r="N17" s="27">
        <v>3441727668.7077947</v>
      </c>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row>
    <row r="18" spans="1:52">
      <c r="A18" s="5">
        <v>2</v>
      </c>
      <c r="B18" s="27">
        <v>104575646.03004257</v>
      </c>
      <c r="C18" s="27">
        <v>112631393.65665954</v>
      </c>
      <c r="D18" s="27">
        <v>121685661.67449577</v>
      </c>
      <c r="E18" s="5"/>
      <c r="F18" s="27">
        <v>4147177470.5463481</v>
      </c>
      <c r="G18" s="5">
        <v>49</v>
      </c>
      <c r="H18" s="5"/>
      <c r="I18" s="5"/>
      <c r="J18" s="5"/>
      <c r="K18" s="5"/>
      <c r="L18" s="5"/>
      <c r="M18" s="5"/>
      <c r="N18" s="27">
        <v>2425782173.5497613</v>
      </c>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row>
    <row r="19" spans="1:52">
      <c r="A19" s="5">
        <v>3</v>
      </c>
      <c r="B19" s="27">
        <v>108749109.82627361</v>
      </c>
      <c r="C19" s="27">
        <v>119198489.27287973</v>
      </c>
      <c r="D19" s="27">
        <v>130412253.54565573</v>
      </c>
      <c r="E19" s="5"/>
      <c r="F19" s="27">
        <v>4409721273.3667526</v>
      </c>
      <c r="G19" s="5">
        <v>42</v>
      </c>
      <c r="H19" s="5"/>
      <c r="I19" s="5"/>
      <c r="J19" s="5"/>
      <c r="K19" s="5"/>
      <c r="L19" s="5"/>
      <c r="M19" s="5"/>
      <c r="N19" s="27">
        <v>4428578109.5622816</v>
      </c>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row>
    <row r="20" spans="1:52">
      <c r="A20" s="5">
        <v>4</v>
      </c>
      <c r="B20" s="27">
        <v>113616895.66693777</v>
      </c>
      <c r="C20" s="27">
        <v>125988124.61446367</v>
      </c>
      <c r="D20" s="27">
        <v>139399908.70558184</v>
      </c>
      <c r="E20" s="5"/>
      <c r="F20" s="27">
        <v>4672265076.1871586</v>
      </c>
      <c r="G20" s="5">
        <v>30</v>
      </c>
      <c r="H20" s="5"/>
      <c r="I20" s="5"/>
      <c r="J20" s="5"/>
      <c r="K20" s="5"/>
      <c r="L20" s="5"/>
      <c r="M20" s="5"/>
      <c r="N20" s="27">
        <v>3654961314.1251926</v>
      </c>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row>
    <row r="21" spans="1:52">
      <c r="A21" s="5">
        <v>5</v>
      </c>
      <c r="B21" s="27">
        <v>118626538.08376138</v>
      </c>
      <c r="C21" s="27">
        <v>132805790.16649176</v>
      </c>
      <c r="D21" s="27">
        <v>148698053.58454567</v>
      </c>
      <c r="E21" s="5"/>
      <c r="F21" s="27">
        <v>4934808879.0075626</v>
      </c>
      <c r="G21" s="5">
        <v>19</v>
      </c>
      <c r="H21" s="5"/>
      <c r="I21" s="5"/>
      <c r="J21" s="5"/>
      <c r="K21" s="5"/>
      <c r="L21" s="5"/>
      <c r="M21" s="5"/>
      <c r="N21" s="27">
        <v>1723166016.9322875</v>
      </c>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row>
    <row r="22" spans="1:52">
      <c r="A22" s="5">
        <v>6</v>
      </c>
      <c r="B22" s="27">
        <v>123741776.85329498</v>
      </c>
      <c r="C22" s="27">
        <v>139695738.27087718</v>
      </c>
      <c r="D22" s="27">
        <v>157872645.7615473</v>
      </c>
      <c r="E22" s="5"/>
      <c r="F22" s="27">
        <v>5197352681.8279686</v>
      </c>
      <c r="G22" s="5">
        <v>12</v>
      </c>
      <c r="H22" s="5"/>
      <c r="I22" s="5"/>
      <c r="J22" s="5"/>
      <c r="K22" s="5"/>
      <c r="L22" s="5"/>
      <c r="M22" s="5"/>
      <c r="N22" s="27">
        <v>2639492481.3968601</v>
      </c>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row>
    <row r="23" spans="1:52">
      <c r="A23" s="5">
        <v>7</v>
      </c>
      <c r="B23" s="27">
        <v>128946115.46995696</v>
      </c>
      <c r="C23" s="27">
        <v>146490651.6520628</v>
      </c>
      <c r="D23" s="27">
        <v>167339795.60484719</v>
      </c>
      <c r="E23" s="5"/>
      <c r="F23" s="27">
        <v>5459896484.6483727</v>
      </c>
      <c r="G23" s="5">
        <v>7</v>
      </c>
      <c r="H23" s="5"/>
      <c r="I23" s="5"/>
      <c r="J23" s="5"/>
      <c r="K23" s="5"/>
      <c r="L23" s="5"/>
      <c r="M23" s="5"/>
      <c r="N23" s="27">
        <v>2987424257.5461922</v>
      </c>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row>
    <row r="24" spans="1:52">
      <c r="A24" s="5">
        <v>8</v>
      </c>
      <c r="B24" s="27">
        <v>133943825.45187627</v>
      </c>
      <c r="C24" s="27">
        <v>153429791.95984977</v>
      </c>
      <c r="D24" s="27">
        <v>176785860.97433087</v>
      </c>
      <c r="E24" s="5"/>
      <c r="F24" s="27">
        <v>5722440287.4687786</v>
      </c>
      <c r="G24" s="5">
        <v>6</v>
      </c>
      <c r="H24" s="5"/>
      <c r="I24" s="5"/>
      <c r="J24" s="5"/>
      <c r="K24" s="5"/>
      <c r="L24" s="5"/>
      <c r="M24" s="5"/>
      <c r="N24" s="27">
        <v>1820003419.8747814</v>
      </c>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row>
    <row r="25" spans="1:52">
      <c r="A25" s="5">
        <v>9</v>
      </c>
      <c r="B25" s="27">
        <v>139048967.50712547</v>
      </c>
      <c r="C25" s="27">
        <v>160697380.24087304</v>
      </c>
      <c r="D25" s="27">
        <v>185930592.0628477</v>
      </c>
      <c r="E25" s="5"/>
      <c r="F25" s="27">
        <v>5984984090.2891827</v>
      </c>
      <c r="G25" s="5">
        <v>7</v>
      </c>
      <c r="H25" s="5"/>
      <c r="I25" s="5"/>
      <c r="J25" s="5"/>
      <c r="K25" s="5"/>
      <c r="L25" s="5"/>
      <c r="M25" s="5"/>
      <c r="N25" s="27">
        <v>3962136370.8986139</v>
      </c>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row>
    <row r="26" spans="1:52">
      <c r="A26" s="5">
        <v>10</v>
      </c>
      <c r="B26" s="27">
        <v>144083762.02317289</v>
      </c>
      <c r="C26" s="27">
        <v>167829098.39569446</v>
      </c>
      <c r="D26" s="27">
        <v>195655260.11825404</v>
      </c>
      <c r="E26" s="5"/>
      <c r="F26" s="27">
        <v>6247527893.1095886</v>
      </c>
      <c r="G26" s="5">
        <v>1</v>
      </c>
      <c r="H26" s="5"/>
      <c r="I26" s="5"/>
      <c r="J26" s="5"/>
      <c r="K26" s="5"/>
      <c r="L26" s="5"/>
      <c r="M26" s="5"/>
      <c r="N26" s="27">
        <v>2310915341.7872157</v>
      </c>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row>
    <row r="27" spans="1:52">
      <c r="A27" s="5">
        <v>11</v>
      </c>
      <c r="B27" s="27">
        <v>149577300.17577025</v>
      </c>
      <c r="C27" s="27">
        <v>175346024.76709816</v>
      </c>
      <c r="D27" s="27">
        <v>205464140.98043132</v>
      </c>
      <c r="E27" s="5"/>
      <c r="F27" s="27">
        <v>6510071695.9299927</v>
      </c>
      <c r="G27" s="5">
        <v>2</v>
      </c>
      <c r="H27" s="5"/>
      <c r="I27" s="5"/>
      <c r="J27" s="5"/>
      <c r="K27" s="5"/>
      <c r="L27" s="5"/>
      <c r="M27" s="5"/>
      <c r="N27" s="27">
        <v>1125537230.1701169</v>
      </c>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row>
    <row r="28" spans="1:52">
      <c r="A28" s="5">
        <v>12</v>
      </c>
      <c r="B28" s="27">
        <v>155000695.81387585</v>
      </c>
      <c r="C28" s="27">
        <v>183008591.25000167</v>
      </c>
      <c r="D28" s="27">
        <v>215357375.90063763</v>
      </c>
      <c r="E28" s="5"/>
      <c r="F28" s="27">
        <v>6772615498.7503986</v>
      </c>
      <c r="G28" s="5">
        <v>0</v>
      </c>
      <c r="H28" s="5"/>
      <c r="I28" s="5"/>
      <c r="J28" s="5"/>
      <c r="K28" s="5"/>
      <c r="L28" s="5"/>
      <c r="M28" s="5"/>
      <c r="N28" s="27">
        <v>1668141267.1452532</v>
      </c>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row>
    <row r="29" spans="1:52">
      <c r="A29" s="5">
        <v>13</v>
      </c>
      <c r="B29" s="27">
        <v>160128467.63305008</v>
      </c>
      <c r="C29" s="27">
        <v>189758961.25640893</v>
      </c>
      <c r="D29" s="27">
        <v>225259533.82637918</v>
      </c>
      <c r="E29" s="5"/>
      <c r="F29" s="27">
        <v>7035159301.5708027</v>
      </c>
      <c r="G29" s="5">
        <v>2</v>
      </c>
      <c r="H29" s="5"/>
      <c r="I29" s="5"/>
      <c r="J29" s="5"/>
      <c r="K29" s="5"/>
      <c r="L29" s="5"/>
      <c r="M29" s="5"/>
      <c r="N29" s="27">
        <v>2891232181.0326724</v>
      </c>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row>
    <row r="30" spans="1:52">
      <c r="A30" s="5">
        <v>14</v>
      </c>
      <c r="B30" s="27">
        <v>166165367.30993876</v>
      </c>
      <c r="C30" s="27">
        <v>197810125.16476989</v>
      </c>
      <c r="D30" s="27">
        <v>235587140.71307951</v>
      </c>
      <c r="E30" s="5"/>
      <c r="F30" s="27">
        <v>7297703104.3912086</v>
      </c>
      <c r="G30" s="5">
        <v>0</v>
      </c>
      <c r="H30" s="5"/>
      <c r="I30" s="5"/>
      <c r="J30" s="5"/>
      <c r="K30" s="5"/>
      <c r="L30" s="5"/>
      <c r="M30" s="5"/>
      <c r="N30" s="27">
        <v>2843977605.501709</v>
      </c>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row>
    <row r="31" spans="1:52">
      <c r="A31" s="5">
        <v>15</v>
      </c>
      <c r="B31" s="27">
        <v>171487214.8067759</v>
      </c>
      <c r="C31" s="27">
        <v>205303820.70825198</v>
      </c>
      <c r="D31" s="27">
        <v>245569840.18064994</v>
      </c>
      <c r="E31" s="5"/>
      <c r="F31" s="27">
        <v>7560246907.2116127</v>
      </c>
      <c r="G31" s="5">
        <v>0</v>
      </c>
      <c r="H31" s="5"/>
      <c r="I31" s="5"/>
      <c r="J31" s="5"/>
      <c r="K31" s="5"/>
      <c r="L31" s="5"/>
      <c r="M31" s="5"/>
      <c r="N31" s="27">
        <v>2396874945.0107913</v>
      </c>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row>
    <row r="32" spans="1:52">
      <c r="A32" s="5">
        <v>16</v>
      </c>
      <c r="B32" s="27">
        <v>177355937.00725558</v>
      </c>
      <c r="C32" s="27">
        <v>213149711.30167609</v>
      </c>
      <c r="D32" s="27">
        <v>257356798.74459139</v>
      </c>
      <c r="E32" s="5"/>
      <c r="F32" s="27">
        <v>7822790710.0320187</v>
      </c>
      <c r="G32" s="5">
        <v>0</v>
      </c>
      <c r="H32" s="5"/>
      <c r="I32" s="5"/>
      <c r="J32" s="5"/>
      <c r="K32" s="5"/>
      <c r="L32" s="5"/>
      <c r="M32" s="5"/>
      <c r="N32" s="27">
        <v>1939571121.2221303</v>
      </c>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row>
    <row r="33" spans="1:52">
      <c r="A33" s="5">
        <v>17</v>
      </c>
      <c r="B33" s="27">
        <v>183679265.42311567</v>
      </c>
      <c r="C33" s="27">
        <v>221250671.77408949</v>
      </c>
      <c r="D33" s="27">
        <v>268482189.31109154</v>
      </c>
      <c r="E33" s="5"/>
      <c r="F33" s="27">
        <v>8085334512.8524227</v>
      </c>
      <c r="G33" s="5">
        <v>0</v>
      </c>
      <c r="H33" s="5"/>
      <c r="I33" s="5"/>
      <c r="J33" s="5"/>
      <c r="K33" s="5"/>
      <c r="L33" s="5"/>
      <c r="M33" s="5"/>
      <c r="N33" s="27">
        <v>1152626020.439358</v>
      </c>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row>
    <row r="34" spans="1:52">
      <c r="A34" s="5">
        <v>18</v>
      </c>
      <c r="B34" s="27">
        <v>190411139.74312383</v>
      </c>
      <c r="C34" s="27">
        <v>229580643.58031529</v>
      </c>
      <c r="D34" s="27">
        <v>278386163.19449264</v>
      </c>
      <c r="E34" s="5"/>
      <c r="F34" s="27">
        <v>8347878315.6728287</v>
      </c>
      <c r="G34" s="5">
        <v>2</v>
      </c>
      <c r="H34" s="5"/>
      <c r="I34" s="5"/>
      <c r="J34" s="5"/>
      <c r="K34" s="5"/>
      <c r="L34" s="5"/>
      <c r="M34" s="5"/>
      <c r="N34" s="27">
        <v>2982015225.1743255</v>
      </c>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row>
    <row r="35" spans="1:52">
      <c r="A35" s="5">
        <v>19</v>
      </c>
      <c r="B35" s="27">
        <v>195837981.74628863</v>
      </c>
      <c r="C35" s="27">
        <v>238093380.02595389</v>
      </c>
      <c r="D35" s="27">
        <v>289942670.76779169</v>
      </c>
      <c r="E35" s="5"/>
      <c r="F35" s="5"/>
      <c r="G35" s="5"/>
      <c r="H35" s="5"/>
      <c r="I35" s="5"/>
      <c r="J35" s="5"/>
      <c r="K35" s="5"/>
      <c r="L35" s="5"/>
      <c r="M35" s="5"/>
      <c r="N35" s="27">
        <v>2077424987.1399772</v>
      </c>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row>
    <row r="36" spans="1:52">
      <c r="A36" s="5">
        <v>20</v>
      </c>
      <c r="B36" s="27">
        <v>202755192.17087346</v>
      </c>
      <c r="C36" s="27">
        <v>245819169.68745685</v>
      </c>
      <c r="D36" s="27">
        <v>301875824.64711761</v>
      </c>
      <c r="E36" s="5"/>
      <c r="F36" s="5"/>
      <c r="G36" s="5"/>
      <c r="H36" s="5"/>
      <c r="I36" s="5"/>
      <c r="J36" s="5"/>
      <c r="K36" s="5"/>
      <c r="L36" s="5"/>
      <c r="M36" s="5"/>
      <c r="N36" s="27">
        <v>1680083246.434233</v>
      </c>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row>
    <row r="37" spans="1:52">
      <c r="A37" s="5">
        <v>21</v>
      </c>
      <c r="B37" s="27">
        <v>208471745.1517171</v>
      </c>
      <c r="C37" s="27">
        <v>254619259.6393351</v>
      </c>
      <c r="D37" s="27">
        <v>312653122.65699893</v>
      </c>
      <c r="E37" s="5"/>
      <c r="F37" s="5"/>
      <c r="G37" s="5"/>
      <c r="H37" s="5"/>
      <c r="I37" s="5"/>
      <c r="J37" s="5"/>
      <c r="K37" s="5"/>
      <c r="L37" s="5"/>
      <c r="M37" s="5"/>
      <c r="N37" s="27">
        <v>1002495160.6992624</v>
      </c>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row>
    <row r="38" spans="1:52">
      <c r="A38" s="5">
        <v>22</v>
      </c>
      <c r="B38" s="27">
        <v>214725666.7156513</v>
      </c>
      <c r="C38" s="27">
        <v>262991830.95131069</v>
      </c>
      <c r="D38" s="27">
        <v>323840263.42598331</v>
      </c>
      <c r="E38" s="5"/>
      <c r="F38" s="5"/>
      <c r="G38" s="5"/>
      <c r="H38" s="5"/>
      <c r="I38" s="5"/>
      <c r="J38" s="5"/>
      <c r="K38" s="5"/>
      <c r="L38" s="5"/>
      <c r="M38" s="5"/>
      <c r="N38" s="27">
        <v>1664251593.1368892</v>
      </c>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row>
    <row r="39" spans="1:52">
      <c r="A39" s="5">
        <v>23</v>
      </c>
      <c r="B39" s="27">
        <v>220768966.01433909</v>
      </c>
      <c r="C39" s="27">
        <v>271605738.16393328</v>
      </c>
      <c r="D39" s="27">
        <v>335313931.81508332</v>
      </c>
      <c r="E39" s="5"/>
      <c r="F39" s="5"/>
      <c r="G39" s="5"/>
      <c r="H39" s="5"/>
      <c r="I39" s="5"/>
      <c r="J39" s="5"/>
      <c r="K39" s="5"/>
      <c r="L39" s="5"/>
      <c r="M39" s="5"/>
      <c r="N39" s="27">
        <v>1444071515.8059871</v>
      </c>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row>
    <row r="40" spans="1:52">
      <c r="A40" s="5">
        <v>24</v>
      </c>
      <c r="B40" s="27">
        <v>227074026.02929434</v>
      </c>
      <c r="C40" s="27">
        <v>280206477.38753462</v>
      </c>
      <c r="D40" s="27">
        <v>349861587.1392647</v>
      </c>
      <c r="E40" s="5"/>
      <c r="F40" s="5"/>
      <c r="G40" s="5"/>
      <c r="H40" s="5"/>
      <c r="I40" s="5"/>
      <c r="J40" s="5"/>
      <c r="K40" s="5"/>
      <c r="L40" s="5"/>
      <c r="M40" s="5"/>
      <c r="N40" s="27">
        <v>2613345805.2654753</v>
      </c>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row>
    <row r="41" spans="1:52">
      <c r="A41" s="5">
        <v>25</v>
      </c>
      <c r="B41" s="27">
        <v>233481438.99527225</v>
      </c>
      <c r="C41" s="27">
        <v>289335553.50167221</v>
      </c>
      <c r="D41" s="27">
        <v>362159768.35018003</v>
      </c>
      <c r="E41" s="5"/>
      <c r="F41" s="5"/>
      <c r="G41" s="5"/>
      <c r="H41" s="5"/>
      <c r="I41" s="5"/>
      <c r="J41" s="5"/>
      <c r="K41" s="5"/>
      <c r="L41" s="5"/>
      <c r="M41" s="5"/>
      <c r="N41" s="27">
        <v>2672288851.4362421</v>
      </c>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row>
    <row r="42" spans="1:52">
      <c r="A42" s="5">
        <v>26</v>
      </c>
      <c r="B42" s="27">
        <v>240252370.57688066</v>
      </c>
      <c r="C42" s="27">
        <v>299476729.15419668</v>
      </c>
      <c r="D42" s="27">
        <v>373882744.54121548</v>
      </c>
      <c r="E42" s="5"/>
      <c r="F42" s="5"/>
      <c r="G42" s="5"/>
      <c r="H42" s="5"/>
      <c r="I42" s="5"/>
      <c r="J42" s="5"/>
      <c r="K42" s="5"/>
      <c r="L42" s="5"/>
      <c r="M42" s="5"/>
      <c r="N42" s="27">
        <v>2086199436.5656264</v>
      </c>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row>
    <row r="43" spans="1:52">
      <c r="A43" s="5">
        <v>27</v>
      </c>
      <c r="B43" s="27">
        <v>247166513.26627925</v>
      </c>
      <c r="C43" s="27">
        <v>307447462.38380915</v>
      </c>
      <c r="D43" s="27">
        <v>387387342.33332539</v>
      </c>
      <c r="E43" s="5"/>
      <c r="F43" s="5"/>
      <c r="G43" s="5"/>
      <c r="H43" s="5"/>
      <c r="I43" s="5"/>
      <c r="J43" s="5"/>
      <c r="K43" s="5"/>
      <c r="L43" s="5"/>
      <c r="M43" s="5"/>
      <c r="N43" s="27">
        <v>1280607669.6023364</v>
      </c>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row>
    <row r="44" spans="1:52">
      <c r="A44" s="5">
        <v>28</v>
      </c>
      <c r="B44" s="27">
        <v>252424296.80852759</v>
      </c>
      <c r="C44" s="27">
        <v>316039278.40215117</v>
      </c>
      <c r="D44" s="27">
        <v>400744085.40062261</v>
      </c>
      <c r="E44" s="5"/>
      <c r="F44" s="5"/>
      <c r="G44" s="5"/>
      <c r="H44" s="5"/>
      <c r="I44" s="5"/>
      <c r="J44" s="5"/>
      <c r="K44" s="5"/>
      <c r="L44" s="5"/>
      <c r="M44" s="5"/>
      <c r="N44" s="27">
        <v>2413281055.9320593</v>
      </c>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row>
    <row r="45" spans="1:52">
      <c r="A45" s="5">
        <v>29</v>
      </c>
      <c r="B45" s="27">
        <v>259073494.13295192</v>
      </c>
      <c r="C45" s="27">
        <v>325320423.70782727</v>
      </c>
      <c r="D45" s="27">
        <v>415176827.88039273</v>
      </c>
      <c r="E45" s="5"/>
      <c r="F45" s="5"/>
      <c r="G45" s="5"/>
      <c r="H45" s="5"/>
      <c r="I45" s="5"/>
      <c r="J45" s="5"/>
      <c r="K45" s="5"/>
      <c r="L45" s="5"/>
      <c r="M45" s="5"/>
      <c r="N45" s="27">
        <v>2435814941.7540975</v>
      </c>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spans="1:52">
      <c r="A46" s="5">
        <v>30</v>
      </c>
      <c r="B46" s="27">
        <v>266414205.07838666</v>
      </c>
      <c r="C46" s="27">
        <v>334998505.89392161</v>
      </c>
      <c r="D46" s="27">
        <v>430491686.2077747</v>
      </c>
      <c r="E46" s="5"/>
      <c r="F46" s="5"/>
      <c r="G46" s="5"/>
      <c r="H46" s="5"/>
      <c r="I46" s="5"/>
      <c r="J46" s="5"/>
      <c r="K46" s="5"/>
      <c r="L46" s="5"/>
      <c r="M46" s="5"/>
      <c r="N46" s="27">
        <v>2276130095.8910365</v>
      </c>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row>
    <row r="47" spans="1:52">
      <c r="A47" s="5">
        <v>31</v>
      </c>
      <c r="B47" s="27">
        <v>272783190.59326822</v>
      </c>
      <c r="C47" s="27">
        <v>345098426.2118659</v>
      </c>
      <c r="D47" s="27">
        <v>442098772.82816964</v>
      </c>
      <c r="E47" s="5"/>
      <c r="F47" s="5"/>
      <c r="G47" s="5"/>
      <c r="H47" s="5"/>
      <c r="I47" s="5"/>
      <c r="J47" s="5"/>
      <c r="K47" s="5"/>
      <c r="L47" s="5"/>
      <c r="M47" s="5"/>
      <c r="N47" s="27">
        <v>1431513270.8244519</v>
      </c>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row>
    <row r="48" spans="1:52">
      <c r="A48" s="5">
        <v>32</v>
      </c>
      <c r="B48" s="27">
        <v>279789036.16406476</v>
      </c>
      <c r="C48" s="27">
        <v>354271390.72028846</v>
      </c>
      <c r="D48" s="27">
        <v>458004583.08445376</v>
      </c>
      <c r="E48" s="5"/>
      <c r="F48" s="5"/>
      <c r="G48" s="5"/>
      <c r="H48" s="5"/>
      <c r="I48" s="5"/>
      <c r="J48" s="5"/>
      <c r="K48" s="5"/>
      <c r="L48" s="5"/>
      <c r="M48" s="5"/>
      <c r="N48" s="27">
        <v>1793638916.8605132</v>
      </c>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row>
    <row r="49" spans="1:52">
      <c r="A49" s="5">
        <v>33</v>
      </c>
      <c r="B49" s="27">
        <v>287906522.16776311</v>
      </c>
      <c r="C49" s="27">
        <v>364517093.62422836</v>
      </c>
      <c r="D49" s="27">
        <v>470278179.80444539</v>
      </c>
      <c r="E49" s="5"/>
      <c r="F49" s="5"/>
      <c r="G49" s="5"/>
      <c r="H49" s="5"/>
      <c r="I49" s="5"/>
      <c r="J49" s="5"/>
      <c r="K49" s="5"/>
      <c r="L49" s="5"/>
      <c r="M49" s="5"/>
      <c r="N49" s="27">
        <v>1387929255.2288797</v>
      </c>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row>
    <row r="50" spans="1:52">
      <c r="A50" s="5">
        <v>34</v>
      </c>
      <c r="B50" s="27">
        <v>294401607.54452014</v>
      </c>
      <c r="C50" s="27">
        <v>374576054.72600031</v>
      </c>
      <c r="D50" s="27">
        <v>486718293.92215961</v>
      </c>
      <c r="E50" s="5"/>
      <c r="F50" s="5"/>
      <c r="G50" s="5"/>
      <c r="H50" s="5"/>
      <c r="I50" s="5"/>
      <c r="J50" s="5"/>
      <c r="K50" s="5"/>
      <c r="L50" s="5"/>
      <c r="M50" s="5"/>
      <c r="N50" s="27">
        <v>1391638460.5423596</v>
      </c>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row>
    <row r="51" spans="1:52">
      <c r="A51" s="5">
        <v>35</v>
      </c>
      <c r="B51" s="27">
        <v>302266172.14856732</v>
      </c>
      <c r="C51" s="27">
        <v>385081054.77040875</v>
      </c>
      <c r="D51" s="27">
        <v>497832726.32452899</v>
      </c>
      <c r="E51" s="5"/>
      <c r="F51" s="5"/>
      <c r="G51" s="5"/>
      <c r="H51" s="5"/>
      <c r="I51" s="5"/>
      <c r="J51" s="5"/>
      <c r="K51" s="5"/>
      <c r="L51" s="5"/>
      <c r="M51" s="5"/>
      <c r="N51" s="27">
        <v>1942093336.350019</v>
      </c>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row>
    <row r="52" spans="1:52">
      <c r="A52" s="5">
        <v>36</v>
      </c>
      <c r="B52" s="27">
        <v>308412078.46958977</v>
      </c>
      <c r="C52" s="27">
        <v>395323570.41311324</v>
      </c>
      <c r="D52" s="27">
        <v>514966632.05756021</v>
      </c>
      <c r="E52" s="5"/>
      <c r="F52" s="5"/>
      <c r="G52" s="5"/>
      <c r="H52" s="5"/>
      <c r="I52" s="5"/>
      <c r="J52" s="5"/>
      <c r="K52" s="5"/>
      <c r="L52" s="5"/>
      <c r="M52" s="5"/>
      <c r="N52" s="27">
        <v>2211808558.4479885</v>
      </c>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row>
    <row r="53" spans="1:52">
      <c r="A53" s="5">
        <v>37</v>
      </c>
      <c r="B53" s="27">
        <v>315997627.53234273</v>
      </c>
      <c r="C53" s="27">
        <v>405943334.98072851</v>
      </c>
      <c r="D53" s="27">
        <v>530895314.87814462</v>
      </c>
      <c r="E53" s="5"/>
      <c r="F53" s="5"/>
      <c r="G53" s="5"/>
      <c r="H53" s="5"/>
      <c r="I53" s="5"/>
      <c r="J53" s="5"/>
      <c r="K53" s="5"/>
      <c r="L53" s="5"/>
      <c r="M53" s="5"/>
      <c r="N53" s="27">
        <v>1514796633.1961153</v>
      </c>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row>
    <row r="54" spans="1:52">
      <c r="A54" s="5">
        <v>38</v>
      </c>
      <c r="B54" s="27">
        <v>323891935.81443447</v>
      </c>
      <c r="C54" s="27">
        <v>415350175.26708055</v>
      </c>
      <c r="D54" s="27">
        <v>547524558.91849041</v>
      </c>
      <c r="E54" s="5"/>
      <c r="F54" s="5"/>
      <c r="G54" s="5"/>
      <c r="H54" s="5"/>
      <c r="I54" s="5"/>
      <c r="J54" s="5"/>
      <c r="K54" s="5"/>
      <c r="L54" s="5"/>
      <c r="M54" s="5"/>
      <c r="N54" s="27">
        <v>2838315697.5985088</v>
      </c>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row>
    <row r="55" spans="1:52">
      <c r="A55" s="5">
        <v>39</v>
      </c>
      <c r="B55" s="27">
        <v>331227050.20101863</v>
      </c>
      <c r="C55" s="27">
        <v>427423269.42449975</v>
      </c>
      <c r="D55" s="27">
        <v>563020459.43605793</v>
      </c>
      <c r="E55" s="5"/>
      <c r="F55" s="5"/>
      <c r="G55" s="5"/>
      <c r="H55" s="5"/>
      <c r="I55" s="5"/>
      <c r="J55" s="5"/>
      <c r="K55" s="5"/>
      <c r="L55" s="5"/>
      <c r="M55" s="5"/>
      <c r="N55" s="27">
        <v>1952593972.8882208</v>
      </c>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row>
    <row r="56" spans="1:52">
      <c r="A56" s="5">
        <v>40</v>
      </c>
      <c r="B56" s="27">
        <v>339316919.22062266</v>
      </c>
      <c r="C56" s="27">
        <v>437268496.39297569</v>
      </c>
      <c r="D56" s="27">
        <v>578372370.14578342</v>
      </c>
      <c r="E56" s="5"/>
      <c r="F56" s="5"/>
      <c r="G56" s="5"/>
      <c r="H56" s="5"/>
      <c r="I56" s="5"/>
      <c r="J56" s="5"/>
      <c r="K56" s="5"/>
      <c r="L56" s="5"/>
      <c r="M56" s="5"/>
      <c r="N56" s="27">
        <v>1333267597.9648538</v>
      </c>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row>
    <row r="57" spans="1:52">
      <c r="A57" s="5">
        <v>41</v>
      </c>
      <c r="B57" s="27">
        <v>347320433.36448926</v>
      </c>
      <c r="C57" s="27">
        <v>450349833.59948242</v>
      </c>
      <c r="D57" s="27">
        <v>595366229.11821532</v>
      </c>
      <c r="E57" s="5"/>
      <c r="F57" s="5"/>
      <c r="G57" s="5"/>
      <c r="H57" s="5"/>
      <c r="I57" s="5"/>
      <c r="J57" s="5"/>
      <c r="K57" s="5"/>
      <c r="L57" s="5"/>
      <c r="M57" s="5"/>
      <c r="N57" s="27">
        <v>1428811779.2665093</v>
      </c>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row>
    <row r="58" spans="1:52">
      <c r="A58" s="5">
        <v>42</v>
      </c>
      <c r="B58" s="27">
        <v>355415448.25921553</v>
      </c>
      <c r="C58" s="27">
        <v>461549356.51066089</v>
      </c>
      <c r="D58" s="27">
        <v>609315087.02436316</v>
      </c>
      <c r="E58" s="5"/>
      <c r="F58" s="5"/>
      <c r="G58" s="5"/>
      <c r="H58" s="5"/>
      <c r="I58" s="5"/>
      <c r="J58" s="5"/>
      <c r="K58" s="5"/>
      <c r="L58" s="5"/>
      <c r="M58" s="5"/>
      <c r="N58" s="27">
        <v>2587674740.0752673</v>
      </c>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row>
    <row r="59" spans="1:52">
      <c r="A59" s="5">
        <v>43</v>
      </c>
      <c r="B59" s="27">
        <v>361575426.60483956</v>
      </c>
      <c r="C59" s="27">
        <v>473400010.11417258</v>
      </c>
      <c r="D59" s="27">
        <v>626282612.63267303</v>
      </c>
      <c r="E59" s="5"/>
      <c r="F59" s="5"/>
      <c r="G59" s="5"/>
      <c r="H59" s="5"/>
      <c r="I59" s="5"/>
      <c r="J59" s="5"/>
      <c r="K59" s="5"/>
      <c r="L59" s="5"/>
      <c r="M59" s="5"/>
      <c r="N59" s="27">
        <v>2286224252.1710157</v>
      </c>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row>
    <row r="60" spans="1:52">
      <c r="A60" s="5">
        <v>44</v>
      </c>
      <c r="B60" s="27">
        <v>369820749.39184314</v>
      </c>
      <c r="C60" s="27">
        <v>485134921.14309657</v>
      </c>
      <c r="D60" s="27">
        <v>643435727.96105492</v>
      </c>
      <c r="E60" s="5"/>
      <c r="F60" s="5"/>
      <c r="G60" s="5"/>
      <c r="H60" s="5"/>
      <c r="I60" s="5"/>
      <c r="J60" s="5"/>
      <c r="K60" s="5"/>
      <c r="L60" s="5"/>
      <c r="M60" s="5"/>
      <c r="N60" s="27">
        <v>2240462160.1246567</v>
      </c>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row>
    <row r="61" spans="1:52">
      <c r="A61" s="5">
        <v>45</v>
      </c>
      <c r="B61" s="27">
        <v>378095125.19496888</v>
      </c>
      <c r="C61" s="27">
        <v>496323091.02702677</v>
      </c>
      <c r="D61" s="27">
        <v>660890058.91119015</v>
      </c>
      <c r="E61" s="5"/>
      <c r="F61" s="5"/>
      <c r="G61" s="5"/>
      <c r="H61" s="5"/>
      <c r="I61" s="5"/>
      <c r="J61" s="5"/>
      <c r="K61" s="5"/>
      <c r="L61" s="5"/>
      <c r="M61" s="5"/>
      <c r="N61" s="27">
        <v>1426682154.4433558</v>
      </c>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row>
    <row r="62" spans="1:52">
      <c r="A62" s="5">
        <v>46</v>
      </c>
      <c r="B62" s="27">
        <v>386276660.95084387</v>
      </c>
      <c r="C62" s="27">
        <v>507424438.38910866</v>
      </c>
      <c r="D62" s="27">
        <v>680728023.22293246</v>
      </c>
      <c r="E62" s="5"/>
      <c r="F62" s="5"/>
      <c r="G62" s="5"/>
      <c r="H62" s="5"/>
      <c r="I62" s="5"/>
      <c r="J62" s="5"/>
      <c r="K62" s="5"/>
      <c r="L62" s="5"/>
      <c r="M62" s="5"/>
      <c r="N62" s="27">
        <v>2471450108.7013674</v>
      </c>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row>
    <row r="63" spans="1:52">
      <c r="A63" s="5">
        <v>47</v>
      </c>
      <c r="B63" s="27">
        <v>395614107.03823477</v>
      </c>
      <c r="C63" s="27">
        <v>519564275.04465568</v>
      </c>
      <c r="D63" s="27">
        <v>699291911.33993876</v>
      </c>
      <c r="E63" s="5"/>
      <c r="F63" s="5"/>
      <c r="G63" s="5"/>
      <c r="H63" s="5"/>
      <c r="I63" s="5"/>
      <c r="J63" s="5"/>
      <c r="K63" s="5"/>
      <c r="L63" s="5"/>
      <c r="M63" s="5"/>
      <c r="N63" s="27">
        <v>5067987112.4792995</v>
      </c>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row>
    <row r="64" spans="1:52">
      <c r="A64" s="5">
        <v>48</v>
      </c>
      <c r="B64" s="27">
        <v>403255559.18319756</v>
      </c>
      <c r="C64" s="27">
        <v>532673508.20122856</v>
      </c>
      <c r="D64" s="27">
        <v>716906256.82117963</v>
      </c>
      <c r="E64" s="5"/>
      <c r="F64" s="5"/>
      <c r="G64" s="5"/>
      <c r="H64" s="5"/>
      <c r="I64" s="5"/>
      <c r="J64" s="5"/>
      <c r="K64" s="5"/>
      <c r="L64" s="5"/>
      <c r="M64" s="5"/>
      <c r="N64" s="27">
        <v>2243873705.4599304</v>
      </c>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row>
    <row r="65" spans="1:52">
      <c r="A65" s="5">
        <v>49</v>
      </c>
      <c r="B65" s="27">
        <v>409561064.19576818</v>
      </c>
      <c r="C65" s="27">
        <v>545701265.2264123</v>
      </c>
      <c r="D65" s="27">
        <v>733215297.17133856</v>
      </c>
      <c r="E65" s="5"/>
      <c r="F65" s="5"/>
      <c r="G65" s="5"/>
      <c r="H65" s="5"/>
      <c r="I65" s="5"/>
      <c r="J65" s="5"/>
      <c r="K65" s="5"/>
      <c r="L65" s="5"/>
      <c r="M65" s="5"/>
      <c r="N65" s="27">
        <v>5933576243.2212162</v>
      </c>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row>
    <row r="66" spans="1:52">
      <c r="A66" s="5">
        <v>50</v>
      </c>
      <c r="B66" s="27">
        <v>418190003.04533881</v>
      </c>
      <c r="C66" s="27">
        <v>557517032.1569376</v>
      </c>
      <c r="D66" s="27">
        <v>753384518.23905349</v>
      </c>
      <c r="E66" s="5"/>
      <c r="F66" s="5"/>
      <c r="G66" s="5"/>
      <c r="H66" s="5"/>
      <c r="I66" s="5"/>
      <c r="J66" s="5"/>
      <c r="K66" s="5"/>
      <c r="L66" s="5"/>
      <c r="M66" s="5"/>
      <c r="N66" s="27">
        <v>1843919480.6415396</v>
      </c>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row>
    <row r="67" spans="1:52">
      <c r="A67" s="5">
        <v>51</v>
      </c>
      <c r="B67" s="27">
        <v>427786284.15041268</v>
      </c>
      <c r="C67" s="27">
        <v>571102581.06580663</v>
      </c>
      <c r="D67" s="27">
        <v>772537250.43975818</v>
      </c>
      <c r="E67" s="5"/>
      <c r="F67" s="5"/>
      <c r="G67" s="5"/>
      <c r="H67" s="5"/>
      <c r="I67" s="5"/>
      <c r="J67" s="5"/>
      <c r="K67" s="5"/>
      <c r="L67" s="5"/>
      <c r="M67" s="5"/>
      <c r="N67" s="27">
        <v>1796094487.9257298</v>
      </c>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row>
    <row r="68" spans="1:52">
      <c r="A68" s="5">
        <v>52</v>
      </c>
      <c r="B68" s="27">
        <v>436277922.33498698</v>
      </c>
      <c r="C68" s="27">
        <v>584712536.38193011</v>
      </c>
      <c r="D68" s="27">
        <v>793862559.06758618</v>
      </c>
      <c r="E68" s="5"/>
      <c r="F68" s="5"/>
      <c r="G68" s="5"/>
      <c r="H68" s="5"/>
      <c r="I68" s="5"/>
      <c r="J68" s="5"/>
      <c r="K68" s="5"/>
      <c r="L68" s="5"/>
      <c r="M68" s="5"/>
      <c r="N68" s="27">
        <v>2143708996.9971685</v>
      </c>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row>
    <row r="69" spans="1:52">
      <c r="A69" s="5">
        <v>53</v>
      </c>
      <c r="B69" s="27">
        <v>446371964.92418545</v>
      </c>
      <c r="C69" s="27">
        <v>599970124.35794485</v>
      </c>
      <c r="D69" s="27">
        <v>814129918.16386104</v>
      </c>
      <c r="E69" s="5"/>
      <c r="F69" s="5"/>
      <c r="G69" s="5"/>
      <c r="H69" s="5"/>
      <c r="I69" s="5"/>
      <c r="J69" s="5"/>
      <c r="K69" s="5"/>
      <c r="L69" s="5"/>
      <c r="M69" s="5"/>
      <c r="N69" s="27">
        <v>905499981.39564514</v>
      </c>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row>
    <row r="70" spans="1:52">
      <c r="A70" s="5">
        <v>54</v>
      </c>
      <c r="B70" s="27">
        <v>454363863.66683167</v>
      </c>
      <c r="C70" s="27">
        <v>612993148.75157976</v>
      </c>
      <c r="D70" s="27">
        <v>837059575.02538228</v>
      </c>
      <c r="E70" s="5"/>
      <c r="F70" s="5"/>
      <c r="G70" s="5"/>
      <c r="H70" s="5"/>
      <c r="I70" s="5"/>
      <c r="J70" s="5"/>
      <c r="K70" s="5"/>
      <c r="L70" s="5"/>
      <c r="M70" s="5"/>
      <c r="N70" s="27">
        <v>2555223759.5932193</v>
      </c>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row>
    <row r="71" spans="1:52">
      <c r="A71" s="5">
        <v>55</v>
      </c>
      <c r="B71" s="27">
        <v>463411871.27405894</v>
      </c>
      <c r="C71" s="27">
        <v>625598347.05747271</v>
      </c>
      <c r="D71" s="27">
        <v>856833552.25861251</v>
      </c>
      <c r="E71" s="5"/>
      <c r="F71" s="5"/>
      <c r="G71" s="5"/>
      <c r="H71" s="5"/>
      <c r="I71" s="5"/>
      <c r="J71" s="5"/>
      <c r="K71" s="5"/>
      <c r="L71" s="5"/>
      <c r="M71" s="5"/>
      <c r="N71" s="27">
        <v>1876566693.4078145</v>
      </c>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row>
    <row r="72" spans="1:52">
      <c r="A72" s="5">
        <v>56</v>
      </c>
      <c r="B72" s="27">
        <v>472478547.25219691</v>
      </c>
      <c r="C72" s="27">
        <v>638661289.66705811</v>
      </c>
      <c r="D72" s="27">
        <v>879172105.36703694</v>
      </c>
      <c r="E72" s="5"/>
      <c r="F72" s="5"/>
      <c r="G72" s="5"/>
      <c r="H72" s="5"/>
      <c r="I72" s="5"/>
      <c r="J72" s="5"/>
      <c r="K72" s="5"/>
      <c r="L72" s="5"/>
      <c r="M72" s="5"/>
      <c r="N72" s="27">
        <v>1293381389.3276606</v>
      </c>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row>
    <row r="73" spans="1:52">
      <c r="A73" s="5">
        <v>57</v>
      </c>
      <c r="B73" s="27">
        <v>483303707.53042185</v>
      </c>
      <c r="C73" s="27">
        <v>653198285.75163257</v>
      </c>
      <c r="D73" s="27">
        <v>899763051.41461301</v>
      </c>
      <c r="E73" s="5"/>
      <c r="F73" s="5"/>
      <c r="G73" s="5"/>
      <c r="H73" s="5"/>
      <c r="I73" s="5"/>
      <c r="J73" s="5"/>
      <c r="K73" s="5"/>
      <c r="L73" s="5"/>
      <c r="M73" s="5"/>
      <c r="N73" s="27">
        <v>1662712016.5182319</v>
      </c>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row>
    <row r="74" spans="1:52">
      <c r="A74" s="5">
        <v>58</v>
      </c>
      <c r="B74" s="27">
        <v>492496644.07277244</v>
      </c>
      <c r="C74" s="27">
        <v>667650998.44544315</v>
      </c>
      <c r="D74" s="27">
        <v>923907165.73143554</v>
      </c>
      <c r="E74" s="5"/>
      <c r="F74" s="5"/>
      <c r="G74" s="5"/>
      <c r="H74" s="5"/>
      <c r="I74" s="5"/>
      <c r="J74" s="5"/>
      <c r="K74" s="5"/>
      <c r="L74" s="5"/>
      <c r="M74" s="5"/>
      <c r="N74" s="27">
        <v>1667682461.3639791</v>
      </c>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row>
    <row r="75" spans="1:52">
      <c r="A75" s="5">
        <v>59</v>
      </c>
      <c r="B75" s="27">
        <v>503101746.40002215</v>
      </c>
      <c r="C75" s="27">
        <v>682465756.85246992</v>
      </c>
      <c r="D75" s="27">
        <v>945216633.16321886</v>
      </c>
      <c r="E75" s="5"/>
      <c r="F75" s="5"/>
      <c r="G75" s="5"/>
      <c r="H75" s="5"/>
      <c r="I75" s="5"/>
      <c r="J75" s="5"/>
      <c r="K75" s="5"/>
      <c r="L75" s="5"/>
      <c r="M75" s="5"/>
      <c r="N75" s="27">
        <v>2869370147.3066058</v>
      </c>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row>
    <row r="76" spans="1:52">
      <c r="A76" s="5">
        <v>60</v>
      </c>
      <c r="B76" s="27">
        <v>513864118.41808224</v>
      </c>
      <c r="C76" s="27">
        <v>693108794.27886033</v>
      </c>
      <c r="D76" s="27">
        <v>973552048.01511574</v>
      </c>
      <c r="E76" s="5"/>
      <c r="F76" s="5"/>
      <c r="G76" s="5"/>
      <c r="H76" s="5"/>
      <c r="I76" s="5"/>
      <c r="J76" s="5"/>
      <c r="K76" s="5"/>
      <c r="L76" s="5"/>
      <c r="M76" s="5"/>
      <c r="N76" s="27">
        <v>1913803217.3687942</v>
      </c>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row>
    <row r="77" spans="1:52">
      <c r="A77" s="5">
        <v>61</v>
      </c>
      <c r="B77" s="27">
        <v>523151413.72674191</v>
      </c>
      <c r="C77" s="27">
        <v>708839013.9299953</v>
      </c>
      <c r="D77" s="27">
        <v>992655770.06765997</v>
      </c>
      <c r="E77" s="5"/>
      <c r="F77" s="5"/>
      <c r="G77" s="5"/>
      <c r="H77" s="5"/>
      <c r="I77" s="5"/>
      <c r="J77" s="5"/>
      <c r="K77" s="5"/>
      <c r="L77" s="5"/>
      <c r="M77" s="5"/>
      <c r="N77" s="27">
        <v>2270781578.1254144</v>
      </c>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row>
    <row r="78" spans="1:52">
      <c r="A78" s="5">
        <v>62</v>
      </c>
      <c r="B78" s="27">
        <v>533083758.74748957</v>
      </c>
      <c r="C78" s="27">
        <v>721070309.44753134</v>
      </c>
      <c r="D78" s="27">
        <v>1015219833.0342056</v>
      </c>
      <c r="E78" s="5"/>
      <c r="F78" s="5"/>
      <c r="G78" s="5"/>
      <c r="H78" s="5"/>
      <c r="I78" s="5"/>
      <c r="J78" s="5"/>
      <c r="K78" s="5"/>
      <c r="L78" s="5"/>
      <c r="M78" s="5"/>
      <c r="N78" s="27">
        <v>2051939269.5793138</v>
      </c>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row>
    <row r="79" spans="1:52">
      <c r="A79" s="5">
        <v>63</v>
      </c>
      <c r="B79" s="27">
        <v>541400028.02472484</v>
      </c>
      <c r="C79" s="27">
        <v>737797399.09971452</v>
      </c>
      <c r="D79" s="27">
        <v>1034127991.8062325</v>
      </c>
      <c r="E79" s="5"/>
      <c r="F79" s="5"/>
      <c r="G79" s="5"/>
      <c r="H79" s="5"/>
      <c r="I79" s="5"/>
      <c r="J79" s="5"/>
      <c r="K79" s="5"/>
      <c r="L79" s="5"/>
      <c r="M79" s="5"/>
      <c r="N79" s="27">
        <v>2051800405.6880767</v>
      </c>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row>
    <row r="80" spans="1:52">
      <c r="A80" s="5">
        <v>64</v>
      </c>
      <c r="B80" s="27">
        <v>553328693.56360722</v>
      </c>
      <c r="C80" s="27">
        <v>754934185.52070713</v>
      </c>
      <c r="D80" s="27">
        <v>1064777302.3183674</v>
      </c>
      <c r="E80" s="5"/>
      <c r="F80" s="5"/>
      <c r="G80" s="5"/>
      <c r="H80" s="5"/>
      <c r="I80" s="5"/>
      <c r="J80" s="5"/>
      <c r="K80" s="5"/>
      <c r="L80" s="5"/>
      <c r="M80" s="5"/>
      <c r="N80" s="27">
        <v>3660033006.9940195</v>
      </c>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row>
    <row r="81" spans="1:52">
      <c r="A81" s="5">
        <v>65</v>
      </c>
      <c r="B81" s="27">
        <v>559666839.26733816</v>
      </c>
      <c r="C81" s="27">
        <v>769887637.95813239</v>
      </c>
      <c r="D81" s="27">
        <v>1088269353.3972888</v>
      </c>
      <c r="E81" s="5"/>
      <c r="F81" s="5"/>
      <c r="G81" s="5"/>
      <c r="H81" s="5"/>
      <c r="I81" s="5"/>
      <c r="J81" s="5"/>
      <c r="K81" s="5"/>
      <c r="L81" s="5"/>
      <c r="M81" s="5"/>
      <c r="N81" s="27">
        <v>1518296565.3525977</v>
      </c>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row>
    <row r="82" spans="1:52">
      <c r="A82" s="5">
        <v>66</v>
      </c>
      <c r="B82" s="27">
        <v>570474776.08165288</v>
      </c>
      <c r="C82" s="27">
        <v>786382150.2574544</v>
      </c>
      <c r="D82" s="27">
        <v>1114286965.0141571</v>
      </c>
      <c r="E82" s="5"/>
      <c r="F82" s="5"/>
      <c r="G82" s="5"/>
      <c r="H82" s="5"/>
      <c r="I82" s="5"/>
      <c r="J82" s="5"/>
      <c r="K82" s="5"/>
      <c r="L82" s="5"/>
      <c r="M82" s="5"/>
      <c r="N82" s="27">
        <v>1067576193.1047817</v>
      </c>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row>
    <row r="83" spans="1:52">
      <c r="A83" s="5">
        <v>67</v>
      </c>
      <c r="B83" s="27">
        <v>581566347.76848269</v>
      </c>
      <c r="C83" s="27">
        <v>802714136.81748033</v>
      </c>
      <c r="D83" s="27">
        <v>1137610987.7343125</v>
      </c>
      <c r="E83" s="5"/>
      <c r="F83" s="5"/>
      <c r="G83" s="5"/>
      <c r="H83" s="5"/>
      <c r="I83" s="5"/>
      <c r="J83" s="5"/>
      <c r="K83" s="5"/>
      <c r="L83" s="5"/>
      <c r="M83" s="5"/>
      <c r="N83" s="27">
        <v>2751165483.246942</v>
      </c>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row>
    <row r="84" spans="1:52">
      <c r="A84" s="5">
        <v>68</v>
      </c>
      <c r="B84" s="27">
        <v>592819967.17001152</v>
      </c>
      <c r="C84" s="27">
        <v>814584944.70312119</v>
      </c>
      <c r="D84" s="27">
        <v>1160404925.3690827</v>
      </c>
      <c r="E84" s="5"/>
      <c r="F84" s="5"/>
      <c r="G84" s="5"/>
      <c r="H84" s="5"/>
      <c r="I84" s="5"/>
      <c r="J84" s="5"/>
      <c r="K84" s="5"/>
      <c r="L84" s="5"/>
      <c r="M84" s="5"/>
      <c r="N84" s="27">
        <v>1918406073.2752204</v>
      </c>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row>
    <row r="85" spans="1:52">
      <c r="A85" s="5">
        <v>69</v>
      </c>
      <c r="B85" s="27">
        <v>600008936.01481485</v>
      </c>
      <c r="C85" s="27">
        <v>831899651.46432686</v>
      </c>
      <c r="D85" s="27">
        <v>1188416965.9542551</v>
      </c>
      <c r="E85" s="5"/>
      <c r="F85" s="5"/>
      <c r="G85" s="5"/>
      <c r="H85" s="5"/>
      <c r="I85" s="5"/>
      <c r="J85" s="5"/>
      <c r="K85" s="5"/>
      <c r="L85" s="5"/>
      <c r="M85" s="5"/>
      <c r="N85" s="27">
        <v>1520048866.4270501</v>
      </c>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row>
    <row r="86" spans="1:52">
      <c r="A86" s="5">
        <v>70</v>
      </c>
      <c r="B86" s="27">
        <v>610105005.72100604</v>
      </c>
      <c r="C86" s="27">
        <v>847624623.27331328</v>
      </c>
      <c r="D86" s="27">
        <v>1211103996.6789367</v>
      </c>
      <c r="E86" s="5"/>
      <c r="F86" s="5"/>
      <c r="G86" s="5"/>
      <c r="H86" s="5"/>
      <c r="I86" s="5"/>
      <c r="J86" s="5"/>
      <c r="K86" s="5"/>
      <c r="L86" s="5"/>
      <c r="M86" s="5"/>
      <c r="N86" s="27">
        <v>1546867000.7138305</v>
      </c>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row>
    <row r="87" spans="1:52">
      <c r="A87" s="5">
        <v>71</v>
      </c>
      <c r="B87" s="27">
        <v>621597090.85904777</v>
      </c>
      <c r="C87" s="27">
        <v>866820908.47032332</v>
      </c>
      <c r="D87" s="27">
        <v>1247194970.1016569</v>
      </c>
      <c r="E87" s="5"/>
      <c r="F87" s="5"/>
      <c r="G87" s="5"/>
      <c r="H87" s="5"/>
      <c r="I87" s="5"/>
      <c r="J87" s="5"/>
      <c r="K87" s="5"/>
      <c r="L87" s="5"/>
      <c r="M87" s="5"/>
      <c r="N87" s="27">
        <v>1570496495.5394733</v>
      </c>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row>
    <row r="88" spans="1:52">
      <c r="A88" s="5">
        <v>72</v>
      </c>
      <c r="B88" s="27">
        <v>629068294.64181983</v>
      </c>
      <c r="C88" s="27">
        <v>885030216.9551487</v>
      </c>
      <c r="D88" s="27">
        <v>1265827435.6529677</v>
      </c>
      <c r="E88" s="5"/>
      <c r="F88" s="5"/>
      <c r="G88" s="5"/>
      <c r="H88" s="5"/>
      <c r="I88" s="5"/>
      <c r="J88" s="5"/>
      <c r="K88" s="5"/>
      <c r="L88" s="5"/>
      <c r="M88" s="5"/>
      <c r="N88" s="27">
        <v>2056462592.5996213</v>
      </c>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row>
    <row r="89" spans="1:52">
      <c r="A89" s="5">
        <v>73</v>
      </c>
      <c r="B89" s="27">
        <v>643572561.5012877</v>
      </c>
      <c r="C89" s="27">
        <v>900769808.8208369</v>
      </c>
      <c r="D89" s="27">
        <v>1298076901.2403581</v>
      </c>
      <c r="E89" s="5"/>
      <c r="F89" s="5"/>
      <c r="G89" s="5"/>
      <c r="H89" s="5"/>
      <c r="I89" s="5"/>
      <c r="J89" s="5"/>
      <c r="K89" s="5"/>
      <c r="L89" s="5"/>
      <c r="M89" s="5"/>
      <c r="N89" s="27">
        <v>1510642936.596904</v>
      </c>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row>
    <row r="90" spans="1:52">
      <c r="A90" s="5">
        <v>74</v>
      </c>
      <c r="B90" s="27">
        <v>654725743.88326383</v>
      </c>
      <c r="C90" s="27">
        <v>917910792.96237016</v>
      </c>
      <c r="D90" s="27">
        <v>1330192770.3472998</v>
      </c>
      <c r="E90" s="5"/>
      <c r="F90" s="5"/>
      <c r="G90" s="5"/>
      <c r="H90" s="5"/>
      <c r="I90" s="5"/>
      <c r="J90" s="5"/>
      <c r="K90" s="5"/>
      <c r="L90" s="5"/>
      <c r="M90" s="5"/>
      <c r="N90" s="27">
        <v>1557713420.1614745</v>
      </c>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row>
    <row r="91" spans="1:52">
      <c r="A91" s="5">
        <v>75</v>
      </c>
      <c r="B91" s="27">
        <v>664947226.7557348</v>
      </c>
      <c r="C91" s="27">
        <v>936003411.82782292</v>
      </c>
      <c r="D91" s="27">
        <v>1352707330.4066513</v>
      </c>
      <c r="E91" s="5"/>
      <c r="F91" s="5"/>
      <c r="G91" s="5"/>
      <c r="H91" s="5"/>
      <c r="I91" s="5"/>
      <c r="J91" s="5"/>
      <c r="K91" s="5"/>
      <c r="L91" s="5"/>
      <c r="M91" s="5"/>
      <c r="N91" s="27">
        <v>2083585743.176996</v>
      </c>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row>
    <row r="92" spans="1:52">
      <c r="A92" s="5">
        <v>76</v>
      </c>
      <c r="B92" s="27">
        <v>676166468.40818048</v>
      </c>
      <c r="C92" s="27">
        <v>956677353.53777885</v>
      </c>
      <c r="D92" s="27">
        <v>1387956919.4099784</v>
      </c>
      <c r="E92" s="5"/>
      <c r="F92" s="5"/>
      <c r="G92" s="5"/>
      <c r="H92" s="5"/>
      <c r="I92" s="5"/>
      <c r="J92" s="5"/>
      <c r="K92" s="5"/>
      <c r="L92" s="5"/>
      <c r="M92" s="5"/>
      <c r="N92" s="27">
        <v>1417442041.2385843</v>
      </c>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row>
    <row r="93" spans="1:52">
      <c r="A93" s="5">
        <v>77</v>
      </c>
      <c r="B93" s="27">
        <v>688593241.88285959</v>
      </c>
      <c r="C93" s="27">
        <v>973881904.27301598</v>
      </c>
      <c r="D93" s="27">
        <v>1416237586.1167994</v>
      </c>
      <c r="E93" s="5"/>
      <c r="F93" s="5"/>
      <c r="G93" s="5"/>
      <c r="H93" s="5"/>
      <c r="I93" s="5"/>
      <c r="J93" s="5"/>
      <c r="K93" s="5"/>
      <c r="L93" s="5"/>
      <c r="M93" s="5"/>
      <c r="N93" s="27">
        <v>1132408167.5877881</v>
      </c>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row>
    <row r="94" spans="1:52">
      <c r="A94" s="5">
        <v>78</v>
      </c>
      <c r="B94" s="27">
        <v>699054534.74878633</v>
      </c>
      <c r="C94" s="27">
        <v>990923279.69873691</v>
      </c>
      <c r="D94" s="27">
        <v>1450136075.4040852</v>
      </c>
      <c r="E94" s="5"/>
      <c r="F94" s="5"/>
      <c r="G94" s="5"/>
      <c r="H94" s="5"/>
      <c r="I94" s="5"/>
      <c r="J94" s="5"/>
      <c r="K94" s="5"/>
      <c r="L94" s="5"/>
      <c r="M94" s="5"/>
      <c r="N94" s="27">
        <v>2260290300.6182027</v>
      </c>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row>
    <row r="95" spans="1:52">
      <c r="A95" s="5">
        <v>79</v>
      </c>
      <c r="B95" s="27">
        <v>712856923.44566882</v>
      </c>
      <c r="C95" s="27">
        <v>1013411023.4156642</v>
      </c>
      <c r="D95" s="27">
        <v>1488975751.521939</v>
      </c>
      <c r="E95" s="5"/>
      <c r="F95" s="5"/>
      <c r="G95" s="5"/>
      <c r="H95" s="5"/>
      <c r="I95" s="5"/>
      <c r="J95" s="5"/>
      <c r="K95" s="5"/>
      <c r="L95" s="5"/>
      <c r="M95" s="5"/>
      <c r="N95" s="27">
        <v>2387441231.1766677</v>
      </c>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row>
    <row r="96" spans="1:52">
      <c r="A96" s="5">
        <v>80</v>
      </c>
      <c r="B96" s="27">
        <v>726301447.75374913</v>
      </c>
      <c r="C96" s="27">
        <v>1031089559.9542406</v>
      </c>
      <c r="D96" s="27">
        <v>1514926462.2490952</v>
      </c>
      <c r="E96" s="5"/>
      <c r="F96" s="5"/>
      <c r="G96" s="5"/>
      <c r="H96" s="5"/>
      <c r="I96" s="5"/>
      <c r="J96" s="5"/>
      <c r="K96" s="5"/>
      <c r="L96" s="5"/>
      <c r="M96" s="5"/>
      <c r="N96" s="27">
        <v>1304615896.5965564</v>
      </c>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row>
    <row r="97" spans="1:52">
      <c r="A97" s="5">
        <v>81</v>
      </c>
      <c r="B97" s="27">
        <v>735638405.92626524</v>
      </c>
      <c r="C97" s="27">
        <v>1050960925.2382231</v>
      </c>
      <c r="D97" s="27">
        <v>1541778881.9941077</v>
      </c>
      <c r="E97" s="5"/>
      <c r="F97" s="5"/>
      <c r="G97" s="5"/>
      <c r="H97" s="5"/>
      <c r="I97" s="5"/>
      <c r="J97" s="5"/>
      <c r="K97" s="5"/>
      <c r="L97" s="5"/>
      <c r="M97" s="5"/>
      <c r="N97" s="27">
        <v>2022294220.7760506</v>
      </c>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row>
    <row r="98" spans="1:52">
      <c r="A98" s="5">
        <v>82</v>
      </c>
      <c r="B98" s="27">
        <v>747159892.32012498</v>
      </c>
      <c r="C98" s="27">
        <v>1067456923.2224635</v>
      </c>
      <c r="D98" s="27">
        <v>1580940441.075264</v>
      </c>
      <c r="E98" s="5"/>
      <c r="F98" s="5"/>
      <c r="G98" s="5"/>
      <c r="H98" s="5"/>
      <c r="I98" s="5"/>
      <c r="J98" s="5"/>
      <c r="K98" s="5"/>
      <c r="L98" s="5"/>
      <c r="M98" s="5"/>
      <c r="N98" s="27">
        <v>3297117501.2549596</v>
      </c>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row>
    <row r="99" spans="1:52">
      <c r="A99" s="5">
        <v>83</v>
      </c>
      <c r="B99" s="27">
        <v>761627086.8343116</v>
      </c>
      <c r="C99" s="27">
        <v>1088056098.3230968</v>
      </c>
      <c r="D99" s="27">
        <v>1610462082.7038772</v>
      </c>
      <c r="E99" s="5"/>
      <c r="F99" s="5"/>
      <c r="G99" s="5"/>
      <c r="H99" s="5"/>
      <c r="I99" s="5"/>
      <c r="J99" s="5"/>
      <c r="K99" s="5"/>
      <c r="L99" s="5"/>
      <c r="M99" s="5"/>
      <c r="N99" s="27">
        <v>2404657496.8644376</v>
      </c>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row>
    <row r="100" spans="1:52">
      <c r="A100" s="5">
        <v>84</v>
      </c>
      <c r="B100" s="27">
        <v>774755406.75112212</v>
      </c>
      <c r="C100" s="27">
        <v>1108210579.4078398</v>
      </c>
      <c r="D100" s="27">
        <v>1650937218.4928305</v>
      </c>
      <c r="E100" s="5"/>
      <c r="F100" s="5"/>
      <c r="G100" s="5"/>
      <c r="H100" s="5"/>
      <c r="I100" s="5"/>
      <c r="J100" s="5"/>
      <c r="K100" s="5"/>
      <c r="L100" s="5"/>
      <c r="M100" s="5"/>
      <c r="N100" s="27">
        <v>5002727331.0187473</v>
      </c>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row>
    <row r="101" spans="1:52">
      <c r="A101" s="5">
        <v>85</v>
      </c>
      <c r="B101" s="27">
        <v>786022283.84200191</v>
      </c>
      <c r="C101" s="27">
        <v>1129930289.8556418</v>
      </c>
      <c r="D101" s="27">
        <v>1682095480.4333894</v>
      </c>
      <c r="E101" s="5"/>
      <c r="F101" s="5"/>
      <c r="G101" s="5"/>
      <c r="H101" s="5"/>
      <c r="I101" s="5"/>
      <c r="J101" s="5"/>
      <c r="K101" s="5"/>
      <c r="L101" s="5"/>
      <c r="M101" s="5"/>
      <c r="N101" s="27">
        <v>1900867432.3584161</v>
      </c>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row>
    <row r="102" spans="1:52">
      <c r="A102" s="5">
        <v>86</v>
      </c>
      <c r="B102" s="27">
        <v>793827949.6053257</v>
      </c>
      <c r="C102" s="27">
        <v>1156174096.7455347</v>
      </c>
      <c r="D102" s="27">
        <v>1711006137.8989816</v>
      </c>
      <c r="E102" s="5"/>
      <c r="F102" s="5"/>
      <c r="G102" s="5"/>
      <c r="H102" s="5"/>
      <c r="I102" s="5"/>
      <c r="J102" s="5"/>
      <c r="K102" s="5"/>
      <c r="L102" s="5"/>
      <c r="M102" s="5"/>
      <c r="N102" s="27">
        <v>2908208420.5799956</v>
      </c>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row>
    <row r="103" spans="1:52">
      <c r="A103" s="5">
        <v>87</v>
      </c>
      <c r="B103" s="27">
        <v>806023113.41165805</v>
      </c>
      <c r="C103" s="27">
        <v>1177077277.1558306</v>
      </c>
      <c r="D103" s="27">
        <v>1751292357.2589021</v>
      </c>
      <c r="E103" s="5"/>
      <c r="F103" s="5"/>
      <c r="G103" s="5"/>
      <c r="H103" s="5"/>
      <c r="I103" s="5"/>
      <c r="J103" s="5"/>
      <c r="K103" s="5"/>
      <c r="L103" s="5"/>
      <c r="M103" s="5"/>
      <c r="N103" s="27">
        <v>2742465821.1900396</v>
      </c>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row>
    <row r="104" spans="1:52">
      <c r="A104" s="5">
        <v>88</v>
      </c>
      <c r="B104" s="27">
        <v>818138707.37151241</v>
      </c>
      <c r="C104" s="27">
        <v>1193291876.8367853</v>
      </c>
      <c r="D104" s="27">
        <v>1784639977.8780451</v>
      </c>
      <c r="E104" s="5"/>
      <c r="F104" s="5"/>
      <c r="G104" s="5"/>
      <c r="H104" s="5"/>
      <c r="I104" s="5"/>
      <c r="J104" s="5"/>
      <c r="K104" s="5"/>
      <c r="L104" s="5"/>
      <c r="M104" s="5"/>
      <c r="N104" s="27">
        <v>1445398372.0902247</v>
      </c>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row>
    <row r="105" spans="1:52">
      <c r="A105" s="5">
        <v>89</v>
      </c>
      <c r="B105" s="27">
        <v>829186104.87002838</v>
      </c>
      <c r="C105" s="27">
        <v>1216914007.5623889</v>
      </c>
      <c r="D105" s="27">
        <v>1824575519.1180801</v>
      </c>
      <c r="E105" s="5"/>
      <c r="F105" s="5"/>
      <c r="G105" s="5"/>
      <c r="H105" s="5"/>
      <c r="I105" s="5"/>
      <c r="J105" s="5"/>
      <c r="K105" s="5"/>
      <c r="L105" s="5"/>
      <c r="M105" s="5"/>
      <c r="N105" s="27">
        <v>1123894683.7279439</v>
      </c>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row>
    <row r="106" spans="1:52">
      <c r="A106" s="5">
        <v>90</v>
      </c>
      <c r="B106" s="27">
        <v>843587853.44156623</v>
      </c>
      <c r="C106" s="27">
        <v>1240296640.6980138</v>
      </c>
      <c r="D106" s="27">
        <v>1860915330.6579168</v>
      </c>
      <c r="E106" s="5"/>
      <c r="F106" s="5"/>
      <c r="G106" s="5"/>
      <c r="H106" s="5"/>
      <c r="I106" s="5"/>
      <c r="J106" s="5"/>
      <c r="K106" s="5"/>
      <c r="L106" s="5"/>
      <c r="M106" s="5"/>
      <c r="N106" s="27">
        <v>2164601004.0719972</v>
      </c>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row>
    <row r="107" spans="1:52">
      <c r="A107" s="5">
        <v>91</v>
      </c>
      <c r="B107" s="27">
        <v>860799010.23464942</v>
      </c>
      <c r="C107" s="27">
        <v>1263259721.2309861</v>
      </c>
      <c r="D107" s="27">
        <v>1898093469.2898588</v>
      </c>
      <c r="E107" s="5"/>
      <c r="F107" s="5"/>
      <c r="G107" s="5"/>
      <c r="H107" s="5"/>
      <c r="I107" s="5"/>
      <c r="J107" s="5"/>
      <c r="K107" s="5"/>
      <c r="L107" s="5"/>
      <c r="M107" s="5"/>
      <c r="N107" s="27">
        <v>1663652920.4166386</v>
      </c>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row>
    <row r="108" spans="1:52">
      <c r="A108" s="5">
        <v>92</v>
      </c>
      <c r="B108" s="27">
        <v>878314720.16560006</v>
      </c>
      <c r="C108" s="27">
        <v>1285831129.0156736</v>
      </c>
      <c r="D108" s="27">
        <v>1932774137.7951283</v>
      </c>
      <c r="E108" s="5"/>
      <c r="F108" s="5"/>
      <c r="G108" s="5"/>
      <c r="H108" s="5"/>
      <c r="I108" s="5"/>
      <c r="J108" s="5"/>
      <c r="K108" s="5"/>
      <c r="L108" s="5"/>
      <c r="M108" s="5"/>
      <c r="N108" s="27">
        <v>2738819802.0829268</v>
      </c>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row>
    <row r="109" spans="1:52">
      <c r="A109" s="5">
        <v>93</v>
      </c>
      <c r="B109" s="27">
        <v>887135705.78481567</v>
      </c>
      <c r="C109" s="27">
        <v>1303540987.5538826</v>
      </c>
      <c r="D109" s="27">
        <v>1961003657.5515606</v>
      </c>
      <c r="E109" s="5"/>
      <c r="F109" s="5"/>
      <c r="G109" s="5"/>
      <c r="H109" s="5"/>
      <c r="I109" s="5"/>
      <c r="J109" s="5"/>
      <c r="K109" s="5"/>
      <c r="L109" s="5"/>
      <c r="M109" s="5"/>
      <c r="N109" s="27">
        <v>2332618809.387332</v>
      </c>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row>
    <row r="110" spans="1:52">
      <c r="A110" s="5">
        <v>94</v>
      </c>
      <c r="B110" s="27">
        <v>900485031.01018286</v>
      </c>
      <c r="C110" s="27">
        <v>1326589377.403748</v>
      </c>
      <c r="D110" s="27">
        <v>2007744605.6033885</v>
      </c>
      <c r="E110" s="5"/>
      <c r="F110" s="5"/>
      <c r="G110" s="5"/>
      <c r="H110" s="5"/>
      <c r="I110" s="5"/>
      <c r="J110" s="5"/>
      <c r="K110" s="5"/>
      <c r="L110" s="5"/>
      <c r="M110" s="5"/>
      <c r="N110" s="27">
        <v>1755175837.6833096</v>
      </c>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row>
    <row r="111" spans="1:52">
      <c r="A111" s="5">
        <v>95</v>
      </c>
      <c r="B111" s="27">
        <v>913979292.37025344</v>
      </c>
      <c r="C111" s="27">
        <v>1348726580.1239607</v>
      </c>
      <c r="D111" s="27">
        <v>2050733427.210783</v>
      </c>
      <c r="E111" s="5"/>
      <c r="F111" s="5"/>
      <c r="G111" s="5"/>
      <c r="H111" s="5"/>
      <c r="I111" s="5"/>
      <c r="J111" s="5"/>
      <c r="K111" s="5"/>
      <c r="L111" s="5"/>
      <c r="M111" s="5"/>
      <c r="N111" s="27">
        <v>1647913168.0945508</v>
      </c>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row>
    <row r="112" spans="1:52">
      <c r="A112" s="5">
        <v>96</v>
      </c>
      <c r="B112" s="27">
        <v>924260116.50987971</v>
      </c>
      <c r="C112" s="27">
        <v>1374825117.8392758</v>
      </c>
      <c r="D112" s="27">
        <v>2101685274.2502553</v>
      </c>
      <c r="E112" s="5"/>
      <c r="F112" s="5"/>
      <c r="G112" s="5"/>
      <c r="H112" s="5"/>
      <c r="I112" s="5"/>
      <c r="J112" s="5"/>
      <c r="K112" s="5"/>
      <c r="L112" s="5"/>
      <c r="M112" s="5"/>
      <c r="N112" s="27">
        <v>2336123848.7034621</v>
      </c>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row>
    <row r="113" spans="1:52">
      <c r="A113" s="5">
        <v>97</v>
      </c>
      <c r="B113" s="27">
        <v>938753269.80597448</v>
      </c>
      <c r="C113" s="27">
        <v>1397963544.850925</v>
      </c>
      <c r="D113" s="27">
        <v>2146349113.7304475</v>
      </c>
      <c r="E113" s="5"/>
      <c r="F113" s="5"/>
      <c r="G113" s="5"/>
      <c r="H113" s="5"/>
      <c r="I113" s="5"/>
      <c r="J113" s="5"/>
      <c r="K113" s="5"/>
      <c r="L113" s="5"/>
      <c r="M113" s="5"/>
      <c r="N113" s="27">
        <v>2296558826.9409795</v>
      </c>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row>
    <row r="114" spans="1:52">
      <c r="A114" s="5">
        <v>98</v>
      </c>
      <c r="B114" s="27">
        <v>950582747.7850709</v>
      </c>
      <c r="C114" s="27">
        <v>1418853587.6512125</v>
      </c>
      <c r="D114" s="27">
        <v>2180303839.5736842</v>
      </c>
      <c r="E114" s="5"/>
      <c r="F114" s="5"/>
      <c r="G114" s="5"/>
      <c r="H114" s="5"/>
      <c r="I114" s="5"/>
      <c r="J114" s="5"/>
      <c r="K114" s="5"/>
      <c r="L114" s="5"/>
      <c r="M114" s="5"/>
      <c r="N114" s="27">
        <v>2352591312.7955956</v>
      </c>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row>
    <row r="115" spans="1:52">
      <c r="A115" s="5">
        <v>99</v>
      </c>
      <c r="B115" s="27">
        <v>966742505.91149497</v>
      </c>
      <c r="C115" s="27">
        <v>1445278901.8080716</v>
      </c>
      <c r="D115" s="27">
        <v>2229058910.7499485</v>
      </c>
      <c r="E115" s="5"/>
      <c r="F115" s="5"/>
      <c r="G115" s="5"/>
      <c r="H115" s="5"/>
      <c r="I115" s="5"/>
      <c r="J115" s="5"/>
      <c r="K115" s="5"/>
      <c r="L115" s="5"/>
      <c r="M115" s="5"/>
      <c r="N115" s="27">
        <v>2246152996.747004</v>
      </c>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row>
    <row r="116" spans="1:52">
      <c r="A116" s="5">
        <v>100</v>
      </c>
      <c r="B116" s="27">
        <v>984325909.71268499</v>
      </c>
      <c r="C116" s="27">
        <v>1462811276.7137475</v>
      </c>
      <c r="D116" s="27">
        <v>2277434291.841763</v>
      </c>
      <c r="E116" s="5"/>
      <c r="F116" s="5"/>
      <c r="G116" s="5"/>
      <c r="H116" s="5"/>
      <c r="I116" s="5"/>
      <c r="J116" s="5"/>
      <c r="K116" s="5"/>
      <c r="L116" s="5"/>
      <c r="M116" s="5"/>
      <c r="N116" s="27">
        <v>1792576808.1330254</v>
      </c>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row>
    <row r="117" spans="1:52">
      <c r="A117" s="5">
        <v>101</v>
      </c>
      <c r="B117" s="27">
        <v>994187192.8403405</v>
      </c>
      <c r="C117" s="27">
        <v>1488764830.9118946</v>
      </c>
      <c r="D117" s="27">
        <v>2321127681.0510769</v>
      </c>
      <c r="E117" s="5"/>
      <c r="F117" s="5"/>
      <c r="G117" s="5"/>
      <c r="H117" s="5"/>
      <c r="I117" s="5"/>
      <c r="J117" s="5"/>
      <c r="K117" s="5"/>
      <c r="L117" s="5"/>
      <c r="M117" s="5"/>
      <c r="N117" s="27">
        <v>1347116367.3215184</v>
      </c>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row>
    <row r="118" spans="1:52">
      <c r="A118" s="5">
        <v>102</v>
      </c>
      <c r="B118" s="27">
        <v>1010132348.9604319</v>
      </c>
      <c r="C118" s="27">
        <v>1517673205.790473</v>
      </c>
      <c r="D118" s="27">
        <v>2361176533.6014581</v>
      </c>
      <c r="E118" s="5"/>
      <c r="F118" s="5"/>
      <c r="G118" s="5"/>
      <c r="H118" s="5"/>
      <c r="I118" s="5"/>
      <c r="J118" s="5"/>
      <c r="K118" s="5"/>
      <c r="L118" s="5"/>
      <c r="M118" s="5"/>
      <c r="N118" s="27">
        <v>2291178367.1582594</v>
      </c>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row>
    <row r="119" spans="1:52">
      <c r="A119" s="5">
        <v>103</v>
      </c>
      <c r="B119" s="27">
        <v>1021173486.0808324</v>
      </c>
      <c r="C119" s="27">
        <v>1543568565.9811597</v>
      </c>
      <c r="D119" s="27">
        <v>2407992903.5139866</v>
      </c>
      <c r="E119" s="5"/>
      <c r="F119" s="5"/>
      <c r="G119" s="5"/>
      <c r="H119" s="5"/>
      <c r="I119" s="5"/>
      <c r="J119" s="5"/>
      <c r="K119" s="5"/>
      <c r="L119" s="5"/>
      <c r="M119" s="5"/>
      <c r="N119" s="27">
        <v>3554752008.9297633</v>
      </c>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row>
    <row r="120" spans="1:52">
      <c r="A120" s="5">
        <v>104</v>
      </c>
      <c r="B120" s="27">
        <v>1037746030.7407361</v>
      </c>
      <c r="C120" s="27">
        <v>1570289156.8611512</v>
      </c>
      <c r="D120" s="27">
        <v>2464538152.2105813</v>
      </c>
      <c r="E120" s="5"/>
      <c r="F120" s="5"/>
      <c r="G120" s="5"/>
      <c r="H120" s="5"/>
      <c r="I120" s="5"/>
      <c r="J120" s="5"/>
      <c r="K120" s="5"/>
      <c r="L120" s="5"/>
      <c r="M120" s="5"/>
      <c r="N120" s="27">
        <v>1970173039.3025458</v>
      </c>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row>
    <row r="121" spans="1:52">
      <c r="A121" s="5">
        <v>105</v>
      </c>
      <c r="B121" s="27">
        <v>1046562145.0259936</v>
      </c>
      <c r="C121" s="27">
        <v>1598699923.2368965</v>
      </c>
      <c r="D121" s="27">
        <v>2502329052.4736371</v>
      </c>
      <c r="E121" s="5"/>
      <c r="F121" s="5"/>
      <c r="G121" s="5"/>
      <c r="H121" s="5"/>
      <c r="I121" s="5"/>
      <c r="J121" s="5"/>
      <c r="K121" s="5"/>
      <c r="L121" s="5"/>
      <c r="M121" s="5"/>
      <c r="N121" s="27">
        <v>2736794370.6273146</v>
      </c>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row>
    <row r="122" spans="1:52">
      <c r="A122" s="5">
        <v>106</v>
      </c>
      <c r="B122" s="27">
        <v>1063252933.1699135</v>
      </c>
      <c r="C122" s="27">
        <v>1619090051.5121555</v>
      </c>
      <c r="D122" s="27">
        <v>2561369364.335691</v>
      </c>
      <c r="E122" s="5"/>
      <c r="F122" s="5"/>
      <c r="G122" s="5"/>
      <c r="H122" s="5"/>
      <c r="I122" s="5"/>
      <c r="J122" s="5"/>
      <c r="K122" s="5"/>
      <c r="L122" s="5"/>
      <c r="M122" s="5"/>
      <c r="N122" s="27">
        <v>2652507701.5551562</v>
      </c>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row>
    <row r="123" spans="1:52">
      <c r="A123" s="5">
        <v>107</v>
      </c>
      <c r="B123" s="27">
        <v>1082182984.8070223</v>
      </c>
      <c r="C123" s="27">
        <v>1645790882.5010509</v>
      </c>
      <c r="D123" s="27">
        <v>2618083604.1317716</v>
      </c>
      <c r="E123" s="5"/>
      <c r="F123" s="5"/>
      <c r="G123" s="5"/>
      <c r="H123" s="5"/>
      <c r="I123" s="5"/>
      <c r="J123" s="5"/>
      <c r="K123" s="5"/>
      <c r="L123" s="5"/>
      <c r="M123" s="5"/>
      <c r="N123" s="27">
        <v>3395997698.6141329</v>
      </c>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row>
    <row r="124" spans="1:52">
      <c r="A124" s="5">
        <v>108</v>
      </c>
      <c r="B124" s="27">
        <v>1094724670.6829658</v>
      </c>
      <c r="C124" s="27">
        <v>1673957627.4780991</v>
      </c>
      <c r="D124" s="27">
        <v>2657953966.2719002</v>
      </c>
      <c r="E124" s="5"/>
      <c r="F124" s="5"/>
      <c r="G124" s="5"/>
      <c r="H124" s="5"/>
      <c r="I124" s="5"/>
      <c r="J124" s="5"/>
      <c r="K124" s="5"/>
      <c r="L124" s="5"/>
      <c r="M124" s="5"/>
      <c r="N124" s="27">
        <v>2572891993.1572943</v>
      </c>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row>
    <row r="125" spans="1:52">
      <c r="A125" s="5">
        <v>109</v>
      </c>
      <c r="B125" s="27">
        <v>1113494835.5389941</v>
      </c>
      <c r="C125" s="27">
        <v>1698763455.3517027</v>
      </c>
      <c r="D125" s="27">
        <v>2712481284.6385937</v>
      </c>
      <c r="E125" s="5"/>
      <c r="F125" s="5"/>
      <c r="G125" s="5"/>
      <c r="H125" s="5"/>
      <c r="I125" s="5"/>
      <c r="J125" s="5"/>
      <c r="K125" s="5"/>
      <c r="L125" s="5"/>
      <c r="M125" s="5"/>
      <c r="N125" s="27">
        <v>1319313045.7782412</v>
      </c>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row>
    <row r="126" spans="1:52">
      <c r="A126" s="5">
        <v>110</v>
      </c>
      <c r="B126" s="27">
        <v>1130405444.3367572</v>
      </c>
      <c r="C126" s="27">
        <v>1722874580.9582586</v>
      </c>
      <c r="D126" s="27">
        <v>2745308828.3815742</v>
      </c>
      <c r="E126" s="5"/>
      <c r="F126" s="5"/>
      <c r="G126" s="5"/>
      <c r="H126" s="5"/>
      <c r="I126" s="5"/>
      <c r="J126" s="5"/>
      <c r="K126" s="5"/>
      <c r="L126" s="5"/>
      <c r="M126" s="5"/>
      <c r="N126" s="27">
        <v>2148595719.8393536</v>
      </c>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row>
    <row r="127" spans="1:52">
      <c r="A127" s="5">
        <v>111</v>
      </c>
      <c r="B127" s="27">
        <v>1141198793.9350693</v>
      </c>
      <c r="C127" s="27">
        <v>1753769316.9872637</v>
      </c>
      <c r="D127" s="27">
        <v>2792963275.1471772</v>
      </c>
      <c r="E127" s="5"/>
      <c r="F127" s="5"/>
      <c r="G127" s="5"/>
      <c r="H127" s="5"/>
      <c r="I127" s="5"/>
      <c r="J127" s="5"/>
      <c r="K127" s="5"/>
      <c r="L127" s="5"/>
      <c r="M127" s="5"/>
      <c r="N127" s="27">
        <v>1591227195.9185765</v>
      </c>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row>
    <row r="128" spans="1:52">
      <c r="A128" s="5">
        <v>112</v>
      </c>
      <c r="B128" s="27">
        <v>1156356291.0893359</v>
      </c>
      <c r="C128" s="27">
        <v>1788381193.554188</v>
      </c>
      <c r="D128" s="27">
        <v>2856773664.3926406</v>
      </c>
      <c r="E128" s="5"/>
      <c r="F128" s="5"/>
      <c r="G128" s="5"/>
      <c r="H128" s="5"/>
      <c r="I128" s="5"/>
      <c r="J128" s="5"/>
      <c r="K128" s="5"/>
      <c r="L128" s="5"/>
      <c r="M128" s="5"/>
      <c r="N128" s="27">
        <v>2009679730.0405726</v>
      </c>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row>
    <row r="129" spans="1:52">
      <c r="A129" s="5">
        <v>113</v>
      </c>
      <c r="B129" s="27">
        <v>1176872764.9093189</v>
      </c>
      <c r="C129" s="27">
        <v>1825454241.739181</v>
      </c>
      <c r="D129" s="27">
        <v>2905599274.2682838</v>
      </c>
      <c r="E129" s="5"/>
      <c r="F129" s="5"/>
      <c r="G129" s="5"/>
      <c r="H129" s="5"/>
      <c r="I129" s="5"/>
      <c r="J129" s="5"/>
      <c r="K129" s="5"/>
      <c r="L129" s="5"/>
      <c r="M129" s="5"/>
      <c r="N129" s="27">
        <v>1642508981.784193</v>
      </c>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row>
    <row r="130" spans="1:52">
      <c r="A130" s="5">
        <v>114</v>
      </c>
      <c r="B130" s="27">
        <v>1193145928.1102409</v>
      </c>
      <c r="C130" s="27">
        <v>1856488056.5098372</v>
      </c>
      <c r="D130" s="27">
        <v>2957025701.2843928</v>
      </c>
      <c r="E130" s="5"/>
      <c r="F130" s="5"/>
      <c r="G130" s="5"/>
      <c r="H130" s="5"/>
      <c r="I130" s="5"/>
      <c r="J130" s="5"/>
      <c r="K130" s="5"/>
      <c r="L130" s="5"/>
      <c r="M130" s="5"/>
      <c r="N130" s="27">
        <v>2619948883.6523843</v>
      </c>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row>
    <row r="131" spans="1:52">
      <c r="A131" s="5">
        <v>115</v>
      </c>
      <c r="B131" s="27">
        <v>1210335221.9230165</v>
      </c>
      <c r="C131" s="27">
        <v>1886271076.7853999</v>
      </c>
      <c r="D131" s="27">
        <v>3018790396.0448489</v>
      </c>
      <c r="E131" s="5"/>
      <c r="F131" s="5"/>
      <c r="G131" s="5"/>
      <c r="H131" s="5"/>
      <c r="I131" s="5"/>
      <c r="J131" s="5"/>
      <c r="K131" s="5"/>
      <c r="L131" s="5"/>
      <c r="M131" s="5"/>
      <c r="N131" s="27">
        <v>1727832393.2444353</v>
      </c>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row>
    <row r="132" spans="1:52">
      <c r="A132" s="5">
        <v>116</v>
      </c>
      <c r="B132" s="27">
        <v>1227124842.6166234</v>
      </c>
      <c r="C132" s="27">
        <v>1917725175.4129815</v>
      </c>
      <c r="D132" s="27">
        <v>3083159314.3517461</v>
      </c>
      <c r="E132" s="5"/>
      <c r="F132" s="5"/>
      <c r="G132" s="5"/>
      <c r="H132" s="5"/>
      <c r="I132" s="5"/>
      <c r="J132" s="5"/>
      <c r="K132" s="5"/>
      <c r="L132" s="5"/>
      <c r="M132" s="5"/>
      <c r="N132" s="27">
        <v>3280452861.8930073</v>
      </c>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row>
    <row r="133" spans="1:52">
      <c r="A133" s="5">
        <v>117</v>
      </c>
      <c r="B133" s="27">
        <v>1247626772.7902181</v>
      </c>
      <c r="C133" s="27">
        <v>1946266745.4909248</v>
      </c>
      <c r="D133" s="27">
        <v>3140742999.267766</v>
      </c>
      <c r="E133" s="5"/>
      <c r="F133" s="5"/>
      <c r="G133" s="5"/>
      <c r="H133" s="5"/>
      <c r="I133" s="5"/>
      <c r="J133" s="5"/>
      <c r="K133" s="5"/>
      <c r="L133" s="5"/>
      <c r="M133" s="5"/>
      <c r="N133" s="27">
        <v>3464142902.0556793</v>
      </c>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row>
    <row r="134" spans="1:52">
      <c r="A134" s="5">
        <v>118</v>
      </c>
      <c r="B134" s="27">
        <v>1270164282.4674151</v>
      </c>
      <c r="C134" s="27">
        <v>1984898699.9883626</v>
      </c>
      <c r="D134" s="27">
        <v>3199184391.3432527</v>
      </c>
      <c r="E134" s="5"/>
      <c r="F134" s="5"/>
      <c r="G134" s="5"/>
      <c r="H134" s="5"/>
      <c r="I134" s="5"/>
      <c r="J134" s="5"/>
      <c r="K134" s="5"/>
      <c r="L134" s="5"/>
      <c r="M134" s="5"/>
      <c r="N134" s="27">
        <v>2170054630.6993155</v>
      </c>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row>
    <row r="135" spans="1:52">
      <c r="A135" s="5">
        <v>119</v>
      </c>
      <c r="B135" s="27">
        <v>1284165689.7354767</v>
      </c>
      <c r="C135" s="27">
        <v>2011865409.7448103</v>
      </c>
      <c r="D135" s="27">
        <v>3281792074.3739314</v>
      </c>
      <c r="E135" s="5"/>
      <c r="F135" s="5"/>
      <c r="G135" s="5"/>
      <c r="H135" s="5"/>
      <c r="I135" s="5"/>
      <c r="J135" s="5"/>
      <c r="K135" s="5"/>
      <c r="L135" s="5"/>
      <c r="M135" s="5"/>
      <c r="N135" s="27">
        <v>1815213987.5204821</v>
      </c>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row>
    <row r="136" spans="1:52">
      <c r="A136" s="5">
        <v>120</v>
      </c>
      <c r="B136" s="27">
        <v>1301612954.613708</v>
      </c>
      <c r="C136" s="27">
        <v>2048146359.4394596</v>
      </c>
      <c r="D136" s="27">
        <v>3326357799.7498069</v>
      </c>
      <c r="E136" s="5"/>
      <c r="F136" s="5"/>
      <c r="G136" s="5"/>
      <c r="H136" s="5"/>
      <c r="I136" s="5"/>
      <c r="J136" s="5"/>
      <c r="K136" s="5"/>
      <c r="L136" s="5"/>
      <c r="M136" s="5"/>
      <c r="N136" s="27">
        <v>5994206072.8468122</v>
      </c>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row>
    <row r="137" spans="1:52">
      <c r="A137" s="5"/>
      <c r="B137" s="5"/>
      <c r="C137" s="5"/>
      <c r="D137" s="5"/>
      <c r="E137" s="5"/>
      <c r="F137" s="5"/>
      <c r="G137" s="5"/>
      <c r="H137" s="5"/>
      <c r="I137" s="5"/>
      <c r="J137" s="5"/>
      <c r="K137" s="5"/>
      <c r="L137" s="5"/>
      <c r="M137" s="5"/>
      <c r="N137" s="27">
        <v>957647343.60946476</v>
      </c>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row>
    <row r="138" spans="1:52">
      <c r="A138" s="5"/>
      <c r="B138" s="5"/>
      <c r="C138" s="5"/>
      <c r="D138" s="5"/>
      <c r="E138" s="5"/>
      <c r="F138" s="5"/>
      <c r="G138" s="5"/>
      <c r="H138" s="5"/>
      <c r="I138" s="5"/>
      <c r="J138" s="5"/>
      <c r="K138" s="5"/>
      <c r="L138" s="5"/>
      <c r="M138" s="5"/>
      <c r="N138" s="27">
        <v>6003196122.6088133</v>
      </c>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row>
    <row r="139" spans="1:52">
      <c r="A139" s="5"/>
      <c r="B139" s="5"/>
      <c r="C139" s="5"/>
      <c r="D139" s="5"/>
      <c r="E139" s="5"/>
      <c r="F139" s="5"/>
      <c r="G139" s="5"/>
      <c r="H139" s="5"/>
      <c r="I139" s="5"/>
      <c r="J139" s="5"/>
      <c r="K139" s="5"/>
      <c r="L139" s="5"/>
      <c r="M139" s="5"/>
      <c r="N139" s="27">
        <v>1593323433.2638421</v>
      </c>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row>
    <row r="140" spans="1:52">
      <c r="A140" s="5"/>
      <c r="B140" s="5"/>
      <c r="C140" s="5"/>
      <c r="D140" s="5"/>
      <c r="E140" s="5"/>
      <c r="F140" s="5"/>
      <c r="G140" s="5"/>
      <c r="H140" s="5"/>
      <c r="I140" s="5"/>
      <c r="J140" s="5"/>
      <c r="K140" s="5"/>
      <c r="L140" s="5"/>
      <c r="M140" s="5"/>
      <c r="N140" s="27">
        <v>2199985679.6244173</v>
      </c>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row>
    <row r="141" spans="1:52">
      <c r="A141" s="5"/>
      <c r="B141" s="5"/>
      <c r="C141" s="5"/>
      <c r="D141" s="5"/>
      <c r="E141" s="5"/>
      <c r="F141" s="5"/>
      <c r="G141" s="5"/>
      <c r="H141" s="5"/>
      <c r="I141" s="5"/>
      <c r="J141" s="5"/>
      <c r="K141" s="5"/>
      <c r="L141" s="5"/>
      <c r="M141" s="5"/>
      <c r="N141" s="27">
        <v>1638898202.9193819</v>
      </c>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row>
    <row r="142" spans="1:52">
      <c r="A142" s="5"/>
      <c r="B142" s="5"/>
      <c r="C142" s="5"/>
      <c r="D142" s="5"/>
      <c r="E142" s="5"/>
      <c r="F142" s="5"/>
      <c r="G142" s="5"/>
      <c r="H142" s="5"/>
      <c r="I142" s="5"/>
      <c r="J142" s="5"/>
      <c r="K142" s="5"/>
      <c r="L142" s="5"/>
      <c r="M142" s="5"/>
      <c r="N142" s="27">
        <v>2851758047.504015</v>
      </c>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row>
    <row r="143" spans="1:52">
      <c r="A143" s="5"/>
      <c r="B143" s="5"/>
      <c r="C143" s="5"/>
      <c r="D143" s="5"/>
      <c r="E143" s="5"/>
      <c r="F143" s="5"/>
      <c r="G143" s="5"/>
      <c r="H143" s="5"/>
      <c r="I143" s="5"/>
      <c r="J143" s="5"/>
      <c r="K143" s="5"/>
      <c r="L143" s="5"/>
      <c r="M143" s="5"/>
      <c r="N143" s="27">
        <v>2227659921.4717464</v>
      </c>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row>
    <row r="144" spans="1:52">
      <c r="A144" s="5"/>
      <c r="B144" s="5"/>
      <c r="C144" s="5"/>
      <c r="D144" s="5"/>
      <c r="E144" s="5"/>
      <c r="F144" s="5"/>
      <c r="G144" s="5"/>
      <c r="H144" s="5"/>
      <c r="I144" s="5"/>
      <c r="J144" s="5"/>
      <c r="K144" s="5"/>
      <c r="L144" s="5"/>
      <c r="M144" s="5"/>
      <c r="N144" s="27">
        <v>2122143478.1464794</v>
      </c>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row>
    <row r="145" spans="1:52">
      <c r="A145" s="5"/>
      <c r="B145" s="5"/>
      <c r="C145" s="5"/>
      <c r="D145" s="5"/>
      <c r="E145" s="5"/>
      <c r="F145" s="5"/>
      <c r="G145" s="5"/>
      <c r="H145" s="5"/>
      <c r="I145" s="5"/>
      <c r="J145" s="5"/>
      <c r="K145" s="5"/>
      <c r="L145" s="5"/>
      <c r="M145" s="5"/>
      <c r="N145" s="27">
        <v>4218881273.3402433</v>
      </c>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row>
    <row r="146" spans="1:52">
      <c r="A146" s="5"/>
      <c r="B146" s="5"/>
      <c r="C146" s="5"/>
      <c r="D146" s="5"/>
      <c r="E146" s="5"/>
      <c r="F146" s="5"/>
      <c r="G146" s="5"/>
      <c r="H146" s="5"/>
      <c r="I146" s="5"/>
      <c r="J146" s="5"/>
      <c r="K146" s="5"/>
      <c r="L146" s="5"/>
      <c r="M146" s="5"/>
      <c r="N146" s="27">
        <v>1693002129.9992642</v>
      </c>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row>
    <row r="147" spans="1:52">
      <c r="A147" s="5"/>
      <c r="B147" s="5"/>
      <c r="C147" s="5"/>
      <c r="D147" s="5"/>
      <c r="E147" s="5"/>
      <c r="F147" s="5"/>
      <c r="G147" s="5"/>
      <c r="H147" s="5"/>
      <c r="I147" s="5"/>
      <c r="J147" s="5"/>
      <c r="K147" s="5"/>
      <c r="L147" s="5"/>
      <c r="M147" s="5"/>
      <c r="N147" s="27">
        <v>1495394143.1651394</v>
      </c>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row>
    <row r="148" spans="1:52">
      <c r="A148" s="5"/>
      <c r="B148" s="5"/>
      <c r="C148" s="5"/>
      <c r="D148" s="5"/>
      <c r="E148" s="5"/>
      <c r="F148" s="5"/>
      <c r="G148" s="5"/>
      <c r="H148" s="5"/>
      <c r="I148" s="5"/>
      <c r="J148" s="5"/>
      <c r="K148" s="5"/>
      <c r="L148" s="5"/>
      <c r="M148" s="5"/>
      <c r="N148" s="27">
        <v>1664102566.5690074</v>
      </c>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row>
    <row r="149" spans="1:52">
      <c r="A149" s="5"/>
      <c r="B149" s="5"/>
      <c r="C149" s="5"/>
      <c r="D149" s="5"/>
      <c r="E149" s="5"/>
      <c r="F149" s="5"/>
      <c r="G149" s="5"/>
      <c r="H149" s="5"/>
      <c r="I149" s="5"/>
      <c r="J149" s="5"/>
      <c r="K149" s="5"/>
      <c r="L149" s="5"/>
      <c r="M149" s="5"/>
      <c r="N149" s="27">
        <v>2103318814.1521661</v>
      </c>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row>
    <row r="150" spans="1:52">
      <c r="A150" s="5"/>
      <c r="B150" s="5"/>
      <c r="C150" s="5"/>
      <c r="D150" s="5"/>
      <c r="E150" s="5"/>
      <c r="F150" s="5"/>
      <c r="G150" s="5"/>
      <c r="H150" s="5"/>
      <c r="I150" s="5"/>
      <c r="J150" s="5"/>
      <c r="K150" s="5"/>
      <c r="L150" s="5"/>
      <c r="M150" s="5"/>
      <c r="N150" s="27">
        <v>1029574268.4745154</v>
      </c>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row>
    <row r="151" spans="1:52">
      <c r="A151" s="5"/>
      <c r="B151" s="5"/>
      <c r="C151" s="5"/>
      <c r="D151" s="5"/>
      <c r="E151" s="5"/>
      <c r="F151" s="5"/>
      <c r="G151" s="5"/>
      <c r="H151" s="5"/>
      <c r="I151" s="5"/>
      <c r="J151" s="5"/>
      <c r="K151" s="5"/>
      <c r="L151" s="5"/>
      <c r="M151" s="5"/>
      <c r="N151" s="27">
        <v>2786578371.7675509</v>
      </c>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row>
    <row r="152" spans="1:52">
      <c r="A152" s="5"/>
      <c r="B152" s="5"/>
      <c r="C152" s="5"/>
      <c r="D152" s="5"/>
      <c r="E152" s="5"/>
      <c r="F152" s="5"/>
      <c r="G152" s="5"/>
      <c r="H152" s="5"/>
      <c r="I152" s="5"/>
      <c r="J152" s="5"/>
      <c r="K152" s="5"/>
      <c r="L152" s="5"/>
      <c r="M152" s="5"/>
      <c r="N152" s="27">
        <v>1337733820.0553854</v>
      </c>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row>
    <row r="153" spans="1:52">
      <c r="A153" s="5"/>
      <c r="B153" s="5"/>
      <c r="C153" s="5"/>
      <c r="D153" s="5"/>
      <c r="E153" s="5"/>
      <c r="F153" s="5"/>
      <c r="G153" s="5"/>
      <c r="H153" s="5"/>
      <c r="I153" s="5"/>
      <c r="J153" s="5"/>
      <c r="K153" s="5"/>
      <c r="L153" s="5"/>
      <c r="M153" s="5"/>
      <c r="N153" s="27">
        <v>1657582170.7836311</v>
      </c>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row>
    <row r="154" spans="1:52">
      <c r="A154" s="5"/>
      <c r="B154" s="5"/>
      <c r="C154" s="5"/>
      <c r="D154" s="5"/>
      <c r="E154" s="5"/>
      <c r="F154" s="5"/>
      <c r="G154" s="5"/>
      <c r="H154" s="5"/>
      <c r="I154" s="5"/>
      <c r="J154" s="5"/>
      <c r="K154" s="5"/>
      <c r="L154" s="5"/>
      <c r="M154" s="5"/>
      <c r="N154" s="27">
        <v>2063497046.1431565</v>
      </c>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row>
    <row r="155" spans="1:52">
      <c r="A155" s="5"/>
      <c r="B155" s="5"/>
      <c r="C155" s="5"/>
      <c r="D155" s="5"/>
      <c r="E155" s="5"/>
      <c r="F155" s="5"/>
      <c r="G155" s="5"/>
      <c r="H155" s="5"/>
      <c r="I155" s="5"/>
      <c r="J155" s="5"/>
      <c r="K155" s="5"/>
      <c r="L155" s="5"/>
      <c r="M155" s="5"/>
      <c r="N155" s="27">
        <v>2580951502.5445309</v>
      </c>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row>
    <row r="156" spans="1:52">
      <c r="A156" s="5"/>
      <c r="B156" s="5"/>
      <c r="C156" s="5"/>
      <c r="D156" s="5"/>
      <c r="E156" s="5"/>
      <c r="F156" s="5"/>
      <c r="G156" s="5"/>
      <c r="H156" s="5"/>
      <c r="I156" s="5"/>
      <c r="J156" s="5"/>
      <c r="K156" s="5"/>
      <c r="L156" s="5"/>
      <c r="M156" s="5"/>
      <c r="N156" s="27">
        <v>1552302257.979558</v>
      </c>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row>
    <row r="157" spans="1:52">
      <c r="A157" s="5"/>
      <c r="B157" s="5"/>
      <c r="C157" s="5"/>
      <c r="D157" s="5"/>
      <c r="E157" s="5"/>
      <c r="F157" s="5"/>
      <c r="G157" s="5"/>
      <c r="H157" s="5"/>
      <c r="I157" s="5"/>
      <c r="J157" s="5"/>
      <c r="K157" s="5"/>
      <c r="L157" s="5"/>
      <c r="M157" s="5"/>
      <c r="N157" s="27">
        <v>4717265757.5884562</v>
      </c>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row>
    <row r="158" spans="1:52">
      <c r="A158" s="5"/>
      <c r="B158" s="5"/>
      <c r="C158" s="5"/>
      <c r="D158" s="5"/>
      <c r="E158" s="5"/>
      <c r="F158" s="5"/>
      <c r="G158" s="5"/>
      <c r="H158" s="5"/>
      <c r="I158" s="5"/>
      <c r="J158" s="5"/>
      <c r="K158" s="5"/>
      <c r="L158" s="5"/>
      <c r="M158" s="5"/>
      <c r="N158" s="27">
        <v>862318240.97629333</v>
      </c>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row>
    <row r="159" spans="1:52">
      <c r="A159" s="5"/>
      <c r="B159" s="5"/>
      <c r="C159" s="5"/>
      <c r="D159" s="5"/>
      <c r="E159" s="5"/>
      <c r="F159" s="5"/>
      <c r="G159" s="5"/>
      <c r="H159" s="5"/>
      <c r="I159" s="5"/>
      <c r="J159" s="5"/>
      <c r="K159" s="5"/>
      <c r="L159" s="5"/>
      <c r="M159" s="5"/>
      <c r="N159" s="27">
        <v>2447956895.1914468</v>
      </c>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row>
    <row r="160" spans="1:52">
      <c r="A160" s="5"/>
      <c r="B160" s="5"/>
      <c r="C160" s="5"/>
      <c r="D160" s="5"/>
      <c r="E160" s="5"/>
      <c r="F160" s="5"/>
      <c r="G160" s="5"/>
      <c r="H160" s="5"/>
      <c r="I160" s="5"/>
      <c r="J160" s="5"/>
      <c r="K160" s="5"/>
      <c r="L160" s="5"/>
      <c r="M160" s="5"/>
      <c r="N160" s="27">
        <v>2827242645.1470542</v>
      </c>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row>
    <row r="161" spans="1:52">
      <c r="A161" s="5"/>
      <c r="B161" s="5"/>
      <c r="C161" s="5"/>
      <c r="D161" s="5"/>
      <c r="E161" s="5"/>
      <c r="F161" s="5"/>
      <c r="G161" s="5"/>
      <c r="H161" s="5"/>
      <c r="I161" s="5"/>
      <c r="J161" s="5"/>
      <c r="K161" s="5"/>
      <c r="L161" s="5"/>
      <c r="M161" s="5"/>
      <c r="N161" s="27">
        <v>1709200353.7026002</v>
      </c>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row>
    <row r="162" spans="1:52">
      <c r="A162" s="5"/>
      <c r="B162" s="5"/>
      <c r="C162" s="5"/>
      <c r="D162" s="5"/>
      <c r="E162" s="5"/>
      <c r="F162" s="5"/>
      <c r="G162" s="5"/>
      <c r="H162" s="5"/>
      <c r="I162" s="5"/>
      <c r="J162" s="5"/>
      <c r="K162" s="5"/>
      <c r="L162" s="5"/>
      <c r="M162" s="5"/>
      <c r="N162" s="27">
        <v>1746843716.9914908</v>
      </c>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row>
    <row r="163" spans="1:52">
      <c r="A163" s="5"/>
      <c r="B163" s="5"/>
      <c r="C163" s="5"/>
      <c r="D163" s="5"/>
      <c r="E163" s="5"/>
      <c r="F163" s="5"/>
      <c r="G163" s="5"/>
      <c r="H163" s="5"/>
      <c r="I163" s="5"/>
      <c r="J163" s="5"/>
      <c r="K163" s="5"/>
      <c r="L163" s="5"/>
      <c r="M163" s="5"/>
      <c r="N163" s="27">
        <v>2845245542.5122924</v>
      </c>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row>
    <row r="164" spans="1:52">
      <c r="A164" s="5"/>
      <c r="B164" s="5"/>
      <c r="C164" s="5"/>
      <c r="D164" s="5"/>
      <c r="E164" s="5"/>
      <c r="F164" s="5"/>
      <c r="G164" s="5"/>
      <c r="H164" s="5"/>
      <c r="I164" s="5"/>
      <c r="J164" s="5"/>
      <c r="K164" s="5"/>
      <c r="L164" s="5"/>
      <c r="M164" s="5"/>
      <c r="N164" s="27">
        <v>1459483222.9241052</v>
      </c>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row>
    <row r="165" spans="1:52">
      <c r="A165" s="5"/>
      <c r="B165" s="5"/>
      <c r="C165" s="5"/>
      <c r="D165" s="5"/>
      <c r="E165" s="5"/>
      <c r="F165" s="5"/>
      <c r="G165" s="5"/>
      <c r="H165" s="5"/>
      <c r="I165" s="5"/>
      <c r="J165" s="5"/>
      <c r="K165" s="5"/>
      <c r="L165" s="5"/>
      <c r="M165" s="5"/>
      <c r="N165" s="27">
        <v>1432446423.7720137</v>
      </c>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row>
    <row r="166" spans="1:52">
      <c r="A166" s="5"/>
      <c r="B166" s="5"/>
      <c r="C166" s="5"/>
      <c r="D166" s="5"/>
      <c r="E166" s="5"/>
      <c r="F166" s="5"/>
      <c r="G166" s="5"/>
      <c r="H166" s="5"/>
      <c r="I166" s="5"/>
      <c r="J166" s="5"/>
      <c r="K166" s="5"/>
      <c r="L166" s="5"/>
      <c r="M166" s="5"/>
      <c r="N166" s="27">
        <v>2158438099.8542337</v>
      </c>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row>
    <row r="167" spans="1:52">
      <c r="A167" s="5"/>
      <c r="B167" s="5"/>
      <c r="C167" s="5"/>
      <c r="D167" s="5"/>
      <c r="E167" s="5"/>
      <c r="F167" s="5"/>
      <c r="G167" s="5"/>
      <c r="H167" s="5"/>
      <c r="I167" s="5"/>
      <c r="J167" s="5"/>
      <c r="K167" s="5"/>
      <c r="L167" s="5"/>
      <c r="M167" s="5"/>
      <c r="N167" s="27">
        <v>1709435225.6123755</v>
      </c>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row>
    <row r="168" spans="1:52">
      <c r="A168" s="5"/>
      <c r="B168" s="5"/>
      <c r="C168" s="5"/>
      <c r="D168" s="5"/>
      <c r="E168" s="5"/>
      <c r="F168" s="5"/>
      <c r="G168" s="5"/>
      <c r="H168" s="5"/>
      <c r="I168" s="5"/>
      <c r="J168" s="5"/>
      <c r="K168" s="5"/>
      <c r="L168" s="5"/>
      <c r="M168" s="5"/>
      <c r="N168" s="27">
        <v>1305659937.8740311</v>
      </c>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row>
    <row r="169" spans="1:52">
      <c r="A169" s="5"/>
      <c r="B169" s="5"/>
      <c r="C169" s="5"/>
      <c r="D169" s="5"/>
      <c r="E169" s="5"/>
      <c r="F169" s="5"/>
      <c r="G169" s="5"/>
      <c r="H169" s="5"/>
      <c r="I169" s="5"/>
      <c r="J169" s="5"/>
      <c r="K169" s="5"/>
      <c r="L169" s="5"/>
      <c r="M169" s="5"/>
      <c r="N169" s="27">
        <v>3621323477.9684582</v>
      </c>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row>
    <row r="170" spans="1:52">
      <c r="A170" s="5"/>
      <c r="B170" s="5"/>
      <c r="C170" s="5"/>
      <c r="D170" s="5"/>
      <c r="E170" s="5"/>
      <c r="F170" s="5"/>
      <c r="G170" s="5"/>
      <c r="H170" s="5"/>
      <c r="I170" s="5"/>
      <c r="J170" s="5"/>
      <c r="K170" s="5"/>
      <c r="L170" s="5"/>
      <c r="M170" s="5"/>
      <c r="N170" s="27">
        <v>1369363596.5279512</v>
      </c>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row>
    <row r="171" spans="1:52">
      <c r="A171" s="5"/>
      <c r="B171" s="5"/>
      <c r="C171" s="5"/>
      <c r="D171" s="5"/>
      <c r="E171" s="5"/>
      <c r="F171" s="5"/>
      <c r="G171" s="5"/>
      <c r="H171" s="5"/>
      <c r="I171" s="5"/>
      <c r="J171" s="5"/>
      <c r="K171" s="5"/>
      <c r="L171" s="5"/>
      <c r="M171" s="5"/>
      <c r="N171" s="27">
        <v>1487739188.4997485</v>
      </c>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row>
    <row r="172" spans="1:52">
      <c r="A172" s="5"/>
      <c r="B172" s="5"/>
      <c r="C172" s="5"/>
      <c r="D172" s="5"/>
      <c r="E172" s="5"/>
      <c r="F172" s="5"/>
      <c r="G172" s="5"/>
      <c r="H172" s="5"/>
      <c r="I172" s="5"/>
      <c r="J172" s="5"/>
      <c r="K172" s="5"/>
      <c r="L172" s="5"/>
      <c r="M172" s="5"/>
      <c r="N172" s="27">
        <v>2695919678.1198664</v>
      </c>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row>
    <row r="173" spans="1:52">
      <c r="A173" s="5"/>
      <c r="B173" s="5"/>
      <c r="C173" s="5"/>
      <c r="D173" s="5"/>
      <c r="E173" s="5"/>
      <c r="F173" s="5"/>
      <c r="G173" s="5"/>
      <c r="H173" s="5"/>
      <c r="I173" s="5"/>
      <c r="J173" s="5"/>
      <c r="K173" s="5"/>
      <c r="L173" s="5"/>
      <c r="M173" s="5"/>
      <c r="N173" s="27">
        <v>2700126585.2869692</v>
      </c>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row>
    <row r="174" spans="1:52">
      <c r="A174" s="5"/>
      <c r="B174" s="5"/>
      <c r="C174" s="5"/>
      <c r="D174" s="5"/>
      <c r="E174" s="5"/>
      <c r="F174" s="5"/>
      <c r="G174" s="5"/>
      <c r="H174" s="5"/>
      <c r="I174" s="5"/>
      <c r="J174" s="5"/>
      <c r="K174" s="5"/>
      <c r="L174" s="5"/>
      <c r="M174" s="5"/>
      <c r="N174" s="27">
        <v>1989190786.9798408</v>
      </c>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row>
    <row r="175" spans="1:52">
      <c r="A175" s="5"/>
      <c r="B175" s="5"/>
      <c r="C175" s="5"/>
      <c r="D175" s="5"/>
      <c r="E175" s="5"/>
      <c r="F175" s="5"/>
      <c r="G175" s="5"/>
      <c r="H175" s="5"/>
      <c r="I175" s="5"/>
      <c r="J175" s="5"/>
      <c r="K175" s="5"/>
      <c r="L175" s="5"/>
      <c r="M175" s="5"/>
      <c r="N175" s="27">
        <v>1026483475.0178264</v>
      </c>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row>
    <row r="176" spans="1:52">
      <c r="A176" s="5"/>
      <c r="B176" s="5"/>
      <c r="C176" s="5"/>
      <c r="D176" s="5"/>
      <c r="E176" s="5"/>
      <c r="F176" s="5"/>
      <c r="G176" s="5"/>
      <c r="H176" s="5"/>
      <c r="I176" s="5"/>
      <c r="J176" s="5"/>
      <c r="K176" s="5"/>
      <c r="L176" s="5"/>
      <c r="M176" s="5"/>
      <c r="N176" s="27">
        <v>1425826906.1903429</v>
      </c>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row>
    <row r="177" spans="1:52">
      <c r="A177" s="5"/>
      <c r="B177" s="5"/>
      <c r="C177" s="5"/>
      <c r="D177" s="5"/>
      <c r="E177" s="5"/>
      <c r="F177" s="5"/>
      <c r="G177" s="5"/>
      <c r="H177" s="5"/>
      <c r="I177" s="5"/>
      <c r="J177" s="5"/>
      <c r="K177" s="5"/>
      <c r="L177" s="5"/>
      <c r="M177" s="5"/>
      <c r="N177" s="27">
        <v>1293461545.3031845</v>
      </c>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row>
    <row r="178" spans="1:52">
      <c r="A178" s="5"/>
      <c r="B178" s="5"/>
      <c r="C178" s="5"/>
      <c r="D178" s="5"/>
      <c r="E178" s="5"/>
      <c r="F178" s="5"/>
      <c r="G178" s="5"/>
      <c r="H178" s="5"/>
      <c r="I178" s="5"/>
      <c r="J178" s="5"/>
      <c r="K178" s="5"/>
      <c r="L178" s="5"/>
      <c r="M178" s="5"/>
      <c r="N178" s="27">
        <v>3599292670.8173723</v>
      </c>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row>
    <row r="179" spans="1:52">
      <c r="A179" s="5"/>
      <c r="B179" s="5"/>
      <c r="C179" s="5"/>
      <c r="D179" s="5"/>
      <c r="E179" s="5"/>
      <c r="F179" s="5"/>
      <c r="G179" s="5"/>
      <c r="H179" s="5"/>
      <c r="I179" s="5"/>
      <c r="J179" s="5"/>
      <c r="K179" s="5"/>
      <c r="L179" s="5"/>
      <c r="M179" s="5"/>
      <c r="N179" s="27">
        <v>1666421269.6192999</v>
      </c>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row>
    <row r="180" spans="1:52">
      <c r="A180" s="5"/>
      <c r="B180" s="5"/>
      <c r="C180" s="5"/>
      <c r="D180" s="5"/>
      <c r="E180" s="5"/>
      <c r="F180" s="5"/>
      <c r="G180" s="5"/>
      <c r="H180" s="5"/>
      <c r="I180" s="5"/>
      <c r="J180" s="5"/>
      <c r="K180" s="5"/>
      <c r="L180" s="5"/>
      <c r="M180" s="5"/>
      <c r="N180" s="27">
        <v>1242423591.1381192</v>
      </c>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row>
    <row r="181" spans="1:52">
      <c r="A181" s="5"/>
      <c r="B181" s="5"/>
      <c r="C181" s="5"/>
      <c r="D181" s="5"/>
      <c r="E181" s="5"/>
      <c r="F181" s="5"/>
      <c r="G181" s="5"/>
      <c r="H181" s="5"/>
      <c r="I181" s="5"/>
      <c r="J181" s="5"/>
      <c r="K181" s="5"/>
      <c r="L181" s="5"/>
      <c r="M181" s="5"/>
      <c r="N181" s="27">
        <v>2293659334.6168046</v>
      </c>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row>
    <row r="182" spans="1:52">
      <c r="A182" s="5"/>
      <c r="B182" s="5"/>
      <c r="C182" s="5"/>
      <c r="D182" s="5"/>
      <c r="E182" s="5"/>
      <c r="F182" s="5"/>
      <c r="G182" s="5"/>
      <c r="H182" s="5"/>
      <c r="I182" s="5"/>
      <c r="J182" s="5"/>
      <c r="K182" s="5"/>
      <c r="L182" s="5"/>
      <c r="M182" s="5"/>
      <c r="N182" s="27">
        <v>2023792317.5649559</v>
      </c>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row>
    <row r="183" spans="1:52">
      <c r="A183" s="5"/>
      <c r="B183" s="5"/>
      <c r="C183" s="5"/>
      <c r="D183" s="5"/>
      <c r="E183" s="5"/>
      <c r="F183" s="5"/>
      <c r="G183" s="5"/>
      <c r="H183" s="5"/>
      <c r="I183" s="5"/>
      <c r="J183" s="5"/>
      <c r="K183" s="5"/>
      <c r="L183" s="5"/>
      <c r="M183" s="5"/>
      <c r="N183" s="27">
        <v>1682028999.9545984</v>
      </c>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row>
    <row r="184" spans="1:52">
      <c r="A184" s="5"/>
      <c r="B184" s="5"/>
      <c r="C184" s="5"/>
      <c r="D184" s="5"/>
      <c r="E184" s="5"/>
      <c r="F184" s="5"/>
      <c r="G184" s="5"/>
      <c r="H184" s="5"/>
      <c r="I184" s="5"/>
      <c r="J184" s="5"/>
      <c r="K184" s="5"/>
      <c r="L184" s="5"/>
      <c r="M184" s="5"/>
      <c r="N184" s="27">
        <v>1327118629.340986</v>
      </c>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row>
    <row r="185" spans="1:52">
      <c r="A185" s="5"/>
      <c r="B185" s="5"/>
      <c r="C185" s="5"/>
      <c r="D185" s="5"/>
      <c r="E185" s="5"/>
      <c r="F185" s="5"/>
      <c r="G185" s="5"/>
      <c r="H185" s="5"/>
      <c r="I185" s="5"/>
      <c r="J185" s="5"/>
      <c r="K185" s="5"/>
      <c r="L185" s="5"/>
      <c r="M185" s="5"/>
      <c r="N185" s="27">
        <v>3966475720.0224757</v>
      </c>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row>
    <row r="186" spans="1:52">
      <c r="A186" s="5"/>
      <c r="B186" s="5"/>
      <c r="C186" s="5"/>
      <c r="D186" s="5"/>
      <c r="E186" s="5"/>
      <c r="F186" s="5"/>
      <c r="G186" s="5"/>
      <c r="H186" s="5"/>
      <c r="I186" s="5"/>
      <c r="J186" s="5"/>
      <c r="K186" s="5"/>
      <c r="L186" s="5"/>
      <c r="M186" s="5"/>
      <c r="N186" s="27">
        <v>2539625350.8368683</v>
      </c>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row>
    <row r="187" spans="1:52">
      <c r="A187" s="5"/>
      <c r="B187" s="5"/>
      <c r="C187" s="5"/>
      <c r="D187" s="5"/>
      <c r="E187" s="5"/>
      <c r="F187" s="5"/>
      <c r="G187" s="5"/>
      <c r="H187" s="5"/>
      <c r="I187" s="5"/>
      <c r="J187" s="5"/>
      <c r="K187" s="5"/>
      <c r="L187" s="5"/>
      <c r="M187" s="5"/>
      <c r="N187" s="27">
        <v>4025125805.7309575</v>
      </c>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row>
    <row r="188" spans="1:52">
      <c r="A188" s="5"/>
      <c r="B188" s="5"/>
      <c r="C188" s="5"/>
      <c r="D188" s="5"/>
      <c r="E188" s="5"/>
      <c r="F188" s="5"/>
      <c r="G188" s="5"/>
      <c r="H188" s="5"/>
      <c r="I188" s="5"/>
      <c r="J188" s="5"/>
      <c r="K188" s="5"/>
      <c r="L188" s="5"/>
      <c r="M188" s="5"/>
      <c r="N188" s="27">
        <v>2770642069.843163</v>
      </c>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row>
    <row r="189" spans="1:52">
      <c r="A189" s="5"/>
      <c r="B189" s="5"/>
      <c r="C189" s="5"/>
      <c r="D189" s="5"/>
      <c r="E189" s="5"/>
      <c r="F189" s="5"/>
      <c r="G189" s="5"/>
      <c r="H189" s="5"/>
      <c r="I189" s="5"/>
      <c r="J189" s="5"/>
      <c r="K189" s="5"/>
      <c r="L189" s="5"/>
      <c r="M189" s="5"/>
      <c r="N189" s="27">
        <v>1259069185.4934947</v>
      </c>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row>
    <row r="190" spans="1:52">
      <c r="A190" s="5"/>
      <c r="B190" s="5"/>
      <c r="C190" s="5"/>
      <c r="D190" s="5"/>
      <c r="E190" s="5"/>
      <c r="F190" s="5"/>
      <c r="G190" s="5"/>
      <c r="H190" s="5"/>
      <c r="I190" s="5"/>
      <c r="J190" s="5"/>
      <c r="K190" s="5"/>
      <c r="L190" s="5"/>
      <c r="M190" s="5"/>
      <c r="N190" s="27">
        <v>2197848826.3812661</v>
      </c>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row>
    <row r="191" spans="1:52">
      <c r="A191" s="5"/>
      <c r="B191" s="5"/>
      <c r="C191" s="5"/>
      <c r="D191" s="5"/>
      <c r="E191" s="5"/>
      <c r="F191" s="5"/>
      <c r="G191" s="5"/>
      <c r="H191" s="5"/>
      <c r="I191" s="5"/>
      <c r="J191" s="5"/>
      <c r="K191" s="5"/>
      <c r="L191" s="5"/>
      <c r="M191" s="5"/>
      <c r="N191" s="27">
        <v>3517142489.739923</v>
      </c>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row>
    <row r="192" spans="1:52">
      <c r="A192" s="5"/>
      <c r="B192" s="5"/>
      <c r="C192" s="5"/>
      <c r="D192" s="5"/>
      <c r="E192" s="5"/>
      <c r="F192" s="5"/>
      <c r="G192" s="5"/>
      <c r="H192" s="5"/>
      <c r="I192" s="5"/>
      <c r="J192" s="5"/>
      <c r="K192" s="5"/>
      <c r="L192" s="5"/>
      <c r="M192" s="5"/>
      <c r="N192" s="27">
        <v>1877233125.6014874</v>
      </c>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row>
    <row r="193" spans="1:52">
      <c r="A193" s="5"/>
      <c r="B193" s="5"/>
      <c r="C193" s="5"/>
      <c r="D193" s="5"/>
      <c r="E193" s="5"/>
      <c r="F193" s="5"/>
      <c r="G193" s="5"/>
      <c r="H193" s="5"/>
      <c r="I193" s="5"/>
      <c r="J193" s="5"/>
      <c r="K193" s="5"/>
      <c r="L193" s="5"/>
      <c r="M193" s="5"/>
      <c r="N193" s="27">
        <v>1497317444.3084261</v>
      </c>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row>
    <row r="194" spans="1:52">
      <c r="A194" s="5"/>
      <c r="B194" s="5"/>
      <c r="C194" s="5"/>
      <c r="D194" s="5"/>
      <c r="E194" s="5"/>
      <c r="F194" s="5"/>
      <c r="G194" s="5"/>
      <c r="H194" s="5"/>
      <c r="I194" s="5"/>
      <c r="J194" s="5"/>
      <c r="K194" s="5"/>
      <c r="L194" s="5"/>
      <c r="M194" s="5"/>
      <c r="N194" s="27">
        <v>1332139491.224798</v>
      </c>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row>
    <row r="195" spans="1:52">
      <c r="A195" s="5"/>
      <c r="B195" s="5"/>
      <c r="C195" s="5"/>
      <c r="D195" s="5"/>
      <c r="E195" s="5"/>
      <c r="F195" s="5"/>
      <c r="G195" s="5"/>
      <c r="H195" s="5"/>
      <c r="I195" s="5"/>
      <c r="J195" s="5"/>
      <c r="K195" s="5"/>
      <c r="L195" s="5"/>
      <c r="M195" s="5"/>
      <c r="N195" s="27">
        <v>1987573287.8433588</v>
      </c>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row>
    <row r="196" spans="1:52">
      <c r="A196" s="5"/>
      <c r="B196" s="5"/>
      <c r="C196" s="5"/>
      <c r="D196" s="5"/>
      <c r="E196" s="5"/>
      <c r="F196" s="5"/>
      <c r="G196" s="5"/>
      <c r="H196" s="5"/>
      <c r="I196" s="5"/>
      <c r="J196" s="5"/>
      <c r="K196" s="5"/>
      <c r="L196" s="5"/>
      <c r="M196" s="5"/>
      <c r="N196" s="27">
        <v>2143859873.6597235</v>
      </c>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row>
    <row r="197" spans="1:52">
      <c r="A197" s="5"/>
      <c r="B197" s="5"/>
      <c r="C197" s="5"/>
      <c r="D197" s="5"/>
      <c r="E197" s="5"/>
      <c r="F197" s="5"/>
      <c r="G197" s="5"/>
      <c r="H197" s="5"/>
      <c r="I197" s="5"/>
      <c r="J197" s="5"/>
      <c r="K197" s="5"/>
      <c r="L197" s="5"/>
      <c r="M197" s="5"/>
      <c r="N197" s="27">
        <v>1653159033.6480448</v>
      </c>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row>
    <row r="198" spans="1:52">
      <c r="A198" s="5"/>
      <c r="B198" s="5"/>
      <c r="C198" s="5"/>
      <c r="D198" s="5"/>
      <c r="E198" s="5"/>
      <c r="F198" s="5"/>
      <c r="G198" s="5"/>
      <c r="H198" s="5"/>
      <c r="I198" s="5"/>
      <c r="J198" s="5"/>
      <c r="K198" s="5"/>
      <c r="L198" s="5"/>
      <c r="M198" s="5"/>
      <c r="N198" s="27">
        <v>8479150217.0830307</v>
      </c>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row>
    <row r="199" spans="1:52">
      <c r="A199" s="5"/>
      <c r="B199" s="5"/>
      <c r="C199" s="5"/>
      <c r="D199" s="5"/>
      <c r="E199" s="5"/>
      <c r="F199" s="5"/>
      <c r="G199" s="5"/>
      <c r="H199" s="5"/>
      <c r="I199" s="5"/>
      <c r="J199" s="5"/>
      <c r="K199" s="5"/>
      <c r="L199" s="5"/>
      <c r="M199" s="5"/>
      <c r="N199" s="27">
        <v>1285065990.0306735</v>
      </c>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row>
    <row r="200" spans="1:52">
      <c r="A200" s="5"/>
      <c r="B200" s="5"/>
      <c r="C200" s="5"/>
      <c r="D200" s="5"/>
      <c r="E200" s="5"/>
      <c r="F200" s="5"/>
      <c r="G200" s="5"/>
      <c r="H200" s="5"/>
      <c r="I200" s="5"/>
      <c r="J200" s="5"/>
      <c r="K200" s="5"/>
      <c r="L200" s="5"/>
      <c r="M200" s="5"/>
      <c r="N200" s="27">
        <v>1399663413.7993414</v>
      </c>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row>
    <row r="201" spans="1:52">
      <c r="N201" s="3">
        <v>1032429066.7585955</v>
      </c>
    </row>
    <row r="202" spans="1:52">
      <c r="N202" s="3">
        <v>2423848058.7960849</v>
      </c>
    </row>
    <row r="203" spans="1:52">
      <c r="N203" s="3">
        <v>1509637392.7225714</v>
      </c>
    </row>
    <row r="204" spans="1:52">
      <c r="N204" s="3">
        <v>2234022261.858758</v>
      </c>
    </row>
    <row r="205" spans="1:52">
      <c r="N205" s="3">
        <v>1923620146.5420587</v>
      </c>
    </row>
    <row r="206" spans="1:52">
      <c r="N206" s="3">
        <v>4071580279.0371757</v>
      </c>
    </row>
    <row r="207" spans="1:52">
      <c r="N207" s="3">
        <v>1451230527.5514164</v>
      </c>
    </row>
    <row r="208" spans="1:52">
      <c r="N208" s="3">
        <v>1871816469.699209</v>
      </c>
    </row>
    <row r="209" spans="14:14">
      <c r="N209" s="3">
        <v>1118420617.0004344</v>
      </c>
    </row>
    <row r="210" spans="14:14">
      <c r="N210" s="3">
        <v>2187201240.8221483</v>
      </c>
    </row>
    <row r="211" spans="14:14">
      <c r="N211" s="3">
        <v>1420242344.7655532</v>
      </c>
    </row>
    <row r="212" spans="14:14">
      <c r="N212" s="3">
        <v>1712107627.2015078</v>
      </c>
    </row>
    <row r="213" spans="14:14">
      <c r="N213" s="3">
        <v>2749376363.479136</v>
      </c>
    </row>
    <row r="214" spans="14:14">
      <c r="N214" s="3">
        <v>1713162430.1684835</v>
      </c>
    </row>
    <row r="215" spans="14:14">
      <c r="N215" s="3">
        <v>1712098640.6206584</v>
      </c>
    </row>
    <row r="216" spans="14:14">
      <c r="N216" s="3">
        <v>1908105516.9314394</v>
      </c>
    </row>
    <row r="217" spans="14:14">
      <c r="N217" s="3">
        <v>2689071286.7607598</v>
      </c>
    </row>
    <row r="218" spans="14:14">
      <c r="N218" s="3">
        <v>2236447082.3256373</v>
      </c>
    </row>
    <row r="219" spans="14:14">
      <c r="N219" s="3">
        <v>2819252167.2696409</v>
      </c>
    </row>
    <row r="220" spans="14:14">
      <c r="N220" s="3">
        <v>2433130621.0778055</v>
      </c>
    </row>
    <row r="221" spans="14:14">
      <c r="N221" s="3">
        <v>3998138917.5843534</v>
      </c>
    </row>
    <row r="222" spans="14:14">
      <c r="N222" s="3">
        <v>2116564638.6800082</v>
      </c>
    </row>
    <row r="223" spans="14:14">
      <c r="N223" s="3">
        <v>3739572136.6380177</v>
      </c>
    </row>
    <row r="224" spans="14:14">
      <c r="N224" s="3">
        <v>1932180366.7602687</v>
      </c>
    </row>
    <row r="225" spans="14:14">
      <c r="N225" s="3">
        <v>1541467449.0829225</v>
      </c>
    </row>
    <row r="226" spans="14:14">
      <c r="N226" s="3">
        <v>3596074088.4240184</v>
      </c>
    </row>
    <row r="227" spans="14:14">
      <c r="N227" s="3">
        <v>1683586463.6321084</v>
      </c>
    </row>
    <row r="228" spans="14:14">
      <c r="N228" s="3">
        <v>5390311830.5400496</v>
      </c>
    </row>
    <row r="229" spans="14:14">
      <c r="N229" s="3">
        <v>1822903011.5819988</v>
      </c>
    </row>
    <row r="230" spans="14:14">
      <c r="N230" s="3">
        <v>2061180444.6282334</v>
      </c>
    </row>
    <row r="231" spans="14:14">
      <c r="N231" s="3">
        <v>1037652096.0495414</v>
      </c>
    </row>
    <row r="232" spans="14:14">
      <c r="N232" s="3">
        <v>2552008657.4714298</v>
      </c>
    </row>
    <row r="233" spans="14:14">
      <c r="N233" s="3">
        <v>4711495521.1402426</v>
      </c>
    </row>
    <row r="234" spans="14:14">
      <c r="N234" s="3">
        <v>1865965563.4146008</v>
      </c>
    </row>
    <row r="235" spans="14:14">
      <c r="N235" s="3">
        <v>1375679165.7615688</v>
      </c>
    </row>
    <row r="236" spans="14:14">
      <c r="N236" s="3">
        <v>3841215908.3395872</v>
      </c>
    </row>
    <row r="237" spans="14:14">
      <c r="N237" s="3">
        <v>1847742982.7536914</v>
      </c>
    </row>
    <row r="238" spans="14:14">
      <c r="N238" s="3">
        <v>2009896539.8052275</v>
      </c>
    </row>
    <row r="239" spans="14:14">
      <c r="N239" s="3">
        <v>1573910143.9000466</v>
      </c>
    </row>
    <row r="240" spans="14:14">
      <c r="N240" s="3">
        <v>2301789962.5892134</v>
      </c>
    </row>
    <row r="241" spans="14:14">
      <c r="N241" s="3">
        <v>1052953228.3751075</v>
      </c>
    </row>
    <row r="242" spans="14:14">
      <c r="N242" s="3">
        <v>1704140687.6885052</v>
      </c>
    </row>
    <row r="243" spans="14:14">
      <c r="N243" s="3">
        <v>2724026630.8059411</v>
      </c>
    </row>
    <row r="244" spans="14:14">
      <c r="N244" s="3">
        <v>1447932332.0280969</v>
      </c>
    </row>
    <row r="245" spans="14:14">
      <c r="N245" s="3">
        <v>4223996217.8873844</v>
      </c>
    </row>
    <row r="246" spans="14:14">
      <c r="N246" s="3">
        <v>2608905035.6072164</v>
      </c>
    </row>
    <row r="247" spans="14:14">
      <c r="N247" s="3">
        <v>1456525976.4908943</v>
      </c>
    </row>
    <row r="248" spans="14:14">
      <c r="N248" s="3">
        <v>1258246263.3094473</v>
      </c>
    </row>
    <row r="249" spans="14:14">
      <c r="N249" s="3">
        <v>2489905687.8792682</v>
      </c>
    </row>
    <row r="250" spans="14:14">
      <c r="N250" s="3">
        <v>2719904972.3156481</v>
      </c>
    </row>
    <row r="251" spans="14:14">
      <c r="N251" s="3">
        <v>2748408686.1717148</v>
      </c>
    </row>
    <row r="252" spans="14:14">
      <c r="N252" s="3">
        <v>3877565549.2442369</v>
      </c>
    </row>
    <row r="253" spans="14:14">
      <c r="N253" s="3">
        <v>2732706744.5388384</v>
      </c>
    </row>
    <row r="254" spans="14:14">
      <c r="N254" s="3">
        <v>2507984962.6141157</v>
      </c>
    </row>
    <row r="255" spans="14:14">
      <c r="N255" s="3">
        <v>929912617.88102639</v>
      </c>
    </row>
    <row r="256" spans="14:14">
      <c r="N256" s="3">
        <v>2683593181.7339187</v>
      </c>
    </row>
    <row r="257" spans="14:14">
      <c r="N257" s="3">
        <v>1122667036.9238455</v>
      </c>
    </row>
    <row r="258" spans="14:14">
      <c r="N258" s="3">
        <v>2018846298.9968789</v>
      </c>
    </row>
    <row r="259" spans="14:14">
      <c r="N259" s="3">
        <v>2905916804.3970466</v>
      </c>
    </row>
    <row r="260" spans="14:14">
      <c r="N260" s="3">
        <v>3306281722.1676593</v>
      </c>
    </row>
    <row r="261" spans="14:14">
      <c r="N261" s="3">
        <v>1259105291.2508292</v>
      </c>
    </row>
    <row r="262" spans="14:14">
      <c r="N262" s="3">
        <v>2523952360.7952352</v>
      </c>
    </row>
    <row r="263" spans="14:14">
      <c r="N263" s="3">
        <v>2709714648.0250511</v>
      </c>
    </row>
    <row r="264" spans="14:14">
      <c r="N264" s="3">
        <v>1327389411.648628</v>
      </c>
    </row>
    <row r="265" spans="14:14">
      <c r="N265" s="3">
        <v>1523812166.5548236</v>
      </c>
    </row>
    <row r="266" spans="14:14">
      <c r="N266" s="3">
        <v>1756682989.0366697</v>
      </c>
    </row>
    <row r="267" spans="14:14">
      <c r="N267" s="3">
        <v>1684679766.4283602</v>
      </c>
    </row>
    <row r="268" spans="14:14">
      <c r="N268" s="3">
        <v>1834646275.5490098</v>
      </c>
    </row>
    <row r="269" spans="14:14">
      <c r="N269" s="3">
        <v>2322648188.3573818</v>
      </c>
    </row>
    <row r="270" spans="14:14">
      <c r="N270" s="3">
        <v>2818359484.3682208</v>
      </c>
    </row>
    <row r="271" spans="14:14">
      <c r="N271" s="3">
        <v>2338785901.8163667</v>
      </c>
    </row>
    <row r="272" spans="14:14">
      <c r="N272" s="3">
        <v>3137796923.0684638</v>
      </c>
    </row>
    <row r="273" spans="14:14">
      <c r="N273" s="3">
        <v>924693649.62822628</v>
      </c>
    </row>
    <row r="274" spans="14:14">
      <c r="N274" s="3">
        <v>3869611385.4125452</v>
      </c>
    </row>
    <row r="275" spans="14:14">
      <c r="N275" s="3">
        <v>2412502094.4871063</v>
      </c>
    </row>
    <row r="276" spans="14:14">
      <c r="N276" s="3">
        <v>877040970.4998188</v>
      </c>
    </row>
    <row r="277" spans="14:14">
      <c r="N277" s="3">
        <v>2623981099.2010393</v>
      </c>
    </row>
    <row r="278" spans="14:14">
      <c r="N278" s="3">
        <v>2610527699.8862147</v>
      </c>
    </row>
    <row r="279" spans="14:14">
      <c r="N279" s="3">
        <v>2810532935.356472</v>
      </c>
    </row>
    <row r="280" spans="14:14">
      <c r="N280" s="3">
        <v>1255077074.4775314</v>
      </c>
    </row>
    <row r="281" spans="14:14">
      <c r="N281" s="3">
        <v>2325992164.8662834</v>
      </c>
    </row>
    <row r="282" spans="14:14">
      <c r="N282" s="3">
        <v>3392519273.3894725</v>
      </c>
    </row>
    <row r="283" spans="14:14">
      <c r="N283" s="3">
        <v>830667231.60905075</v>
      </c>
    </row>
    <row r="284" spans="14:14">
      <c r="N284" s="3">
        <v>3014202035.0712562</v>
      </c>
    </row>
    <row r="285" spans="14:14">
      <c r="N285" s="3">
        <v>3140372140.9733515</v>
      </c>
    </row>
    <row r="286" spans="14:14">
      <c r="N286" s="3">
        <v>1796295579.983366</v>
      </c>
    </row>
    <row r="287" spans="14:14">
      <c r="N287" s="3">
        <v>2200877863.9157724</v>
      </c>
    </row>
    <row r="288" spans="14:14">
      <c r="N288" s="3">
        <v>1840763561.3331044</v>
      </c>
    </row>
    <row r="289" spans="14:14">
      <c r="N289" s="3">
        <v>1732239611.5371659</v>
      </c>
    </row>
    <row r="290" spans="14:14">
      <c r="N290" s="3">
        <v>3227069890.4025321</v>
      </c>
    </row>
    <row r="291" spans="14:14">
      <c r="N291" s="3">
        <v>3623847731.413877</v>
      </c>
    </row>
    <row r="292" spans="14:14">
      <c r="N292" s="3">
        <v>1402927031.9769907</v>
      </c>
    </row>
    <row r="293" spans="14:14">
      <c r="N293" s="3">
        <v>2986700881.5413017</v>
      </c>
    </row>
    <row r="294" spans="14:14">
      <c r="N294" s="3">
        <v>2604722365.0885625</v>
      </c>
    </row>
    <row r="295" spans="14:14">
      <c r="N295" s="3">
        <v>2933633626.2516208</v>
      </c>
    </row>
    <row r="296" spans="14:14">
      <c r="N296" s="3">
        <v>2952778666.1848574</v>
      </c>
    </row>
    <row r="297" spans="14:14">
      <c r="N297" s="3">
        <v>1491821331.7220092</v>
      </c>
    </row>
    <row r="298" spans="14:14">
      <c r="N298" s="3">
        <v>2528677523.5523763</v>
      </c>
    </row>
    <row r="299" spans="14:14">
      <c r="N299" s="3">
        <v>3734862395.5111217</v>
      </c>
    </row>
    <row r="300" spans="14:14">
      <c r="N300" s="3">
        <v>2383129380.5164304</v>
      </c>
    </row>
    <row r="301" spans="14:14">
      <c r="N301" s="3">
        <v>2603076529.6786509</v>
      </c>
    </row>
    <row r="302" spans="14:14">
      <c r="N302" s="3">
        <v>8293654720.2276077</v>
      </c>
    </row>
    <row r="303" spans="14:14">
      <c r="N303" s="3">
        <v>3544543277.7011704</v>
      </c>
    </row>
    <row r="304" spans="14:14">
      <c r="N304" s="3">
        <v>2859881870.6455545</v>
      </c>
    </row>
    <row r="305" spans="14:14">
      <c r="N305" s="3">
        <v>1096704218.126703</v>
      </c>
    </row>
    <row r="306" spans="14:14">
      <c r="N306" s="3">
        <v>1866484566.236742</v>
      </c>
    </row>
    <row r="307" spans="14:14">
      <c r="N307" s="3">
        <v>4146451863.9494324</v>
      </c>
    </row>
    <row r="308" spans="14:14">
      <c r="N308" s="3">
        <v>2634306017.6311493</v>
      </c>
    </row>
    <row r="309" spans="14:14">
      <c r="N309" s="3">
        <v>1715648071.9209812</v>
      </c>
    </row>
    <row r="310" spans="14:14">
      <c r="N310" s="3">
        <v>4125310346.7030034</v>
      </c>
    </row>
    <row r="311" spans="14:14">
      <c r="N311" s="3">
        <v>4127680794.4277592</v>
      </c>
    </row>
    <row r="312" spans="14:14">
      <c r="N312" s="3">
        <v>1658493118.010946</v>
      </c>
    </row>
    <row r="313" spans="14:14">
      <c r="N313" s="3">
        <v>1911750688.714771</v>
      </c>
    </row>
    <row r="314" spans="14:14">
      <c r="N314" s="3">
        <v>3874152408.7231312</v>
      </c>
    </row>
    <row r="315" spans="14:14">
      <c r="N315" s="3">
        <v>3059055525.1559243</v>
      </c>
    </row>
    <row r="316" spans="14:14">
      <c r="N316" s="3">
        <v>1738084111.8402121</v>
      </c>
    </row>
    <row r="317" spans="14:14">
      <c r="N317" s="3">
        <v>3605615288.9478135</v>
      </c>
    </row>
    <row r="318" spans="14:14">
      <c r="N318" s="3">
        <v>2173727963.9766016</v>
      </c>
    </row>
    <row r="319" spans="14:14">
      <c r="N319" s="3">
        <v>3811599777.0534768</v>
      </c>
    </row>
    <row r="320" spans="14:14">
      <c r="N320" s="3">
        <v>4760999448.0198698</v>
      </c>
    </row>
    <row r="321" spans="14:14">
      <c r="N321" s="3">
        <v>4644852820.8531351</v>
      </c>
    </row>
    <row r="322" spans="14:14">
      <c r="N322" s="3">
        <v>3284229974.8571882</v>
      </c>
    </row>
    <row r="323" spans="14:14">
      <c r="N323" s="3">
        <v>2515490219.5889888</v>
      </c>
    </row>
    <row r="324" spans="14:14">
      <c r="N324" s="3">
        <v>1895953089.7622511</v>
      </c>
    </row>
    <row r="325" spans="14:14">
      <c r="N325" s="3">
        <v>3830146862.151876</v>
      </c>
    </row>
    <row r="326" spans="14:14">
      <c r="N326" s="3">
        <v>1727559137.1483257</v>
      </c>
    </row>
    <row r="327" spans="14:14">
      <c r="N327" s="3">
        <v>1951687696.2681525</v>
      </c>
    </row>
    <row r="328" spans="14:14">
      <c r="N328" s="3">
        <v>2353200126.4086094</v>
      </c>
    </row>
    <row r="329" spans="14:14">
      <c r="N329" s="3">
        <v>2422703343.1787157</v>
      </c>
    </row>
    <row r="330" spans="14:14">
      <c r="N330" s="3">
        <v>1702401458.9252248</v>
      </c>
    </row>
    <row r="331" spans="14:14">
      <c r="N331" s="3">
        <v>1540317094.3926744</v>
      </c>
    </row>
    <row r="332" spans="14:14">
      <c r="N332" s="3">
        <v>2430306069.5422993</v>
      </c>
    </row>
    <row r="333" spans="14:14">
      <c r="N333" s="3">
        <v>2520559228.7819023</v>
      </c>
    </row>
    <row r="334" spans="14:14">
      <c r="N334" s="3">
        <v>2277770486.7730703</v>
      </c>
    </row>
    <row r="335" spans="14:14">
      <c r="N335" s="3">
        <v>1657928709.9264612</v>
      </c>
    </row>
    <row r="336" spans="14:14">
      <c r="N336" s="3">
        <v>2006467504.8312507</v>
      </c>
    </row>
    <row r="337" spans="14:14">
      <c r="N337" s="3">
        <v>1832206271.5900676</v>
      </c>
    </row>
    <row r="338" spans="14:14">
      <c r="N338" s="3">
        <v>3186211323.9001331</v>
      </c>
    </row>
    <row r="339" spans="14:14">
      <c r="N339" s="3">
        <v>3081307765.0461106</v>
      </c>
    </row>
    <row r="340" spans="14:14">
      <c r="N340" s="3">
        <v>2185701358.4813428</v>
      </c>
    </row>
    <row r="341" spans="14:14">
      <c r="N341" s="3">
        <v>2045422622.817796</v>
      </c>
    </row>
    <row r="342" spans="14:14">
      <c r="N342" s="3">
        <v>1584614889.9759936</v>
      </c>
    </row>
    <row r="343" spans="14:14">
      <c r="N343" s="3">
        <v>2555335530.2710195</v>
      </c>
    </row>
    <row r="344" spans="14:14">
      <c r="N344" s="3">
        <v>1135906167.399853</v>
      </c>
    </row>
    <row r="345" spans="14:14">
      <c r="N345" s="3">
        <v>2109868424.7301049</v>
      </c>
    </row>
    <row r="346" spans="14:14">
      <c r="N346" s="3">
        <v>2450199498.9367809</v>
      </c>
    </row>
    <row r="347" spans="14:14">
      <c r="N347" s="3">
        <v>3100490851.2508926</v>
      </c>
    </row>
    <row r="348" spans="14:14">
      <c r="N348" s="3">
        <v>2056652052.8648512</v>
      </c>
    </row>
    <row r="349" spans="14:14">
      <c r="N349" s="3">
        <v>1296822953.0001745</v>
      </c>
    </row>
    <row r="350" spans="14:14">
      <c r="N350" s="3">
        <v>1215025900.0280654</v>
      </c>
    </row>
    <row r="351" spans="14:14">
      <c r="N351" s="3">
        <v>1404452159.0691257</v>
      </c>
    </row>
    <row r="352" spans="14:14">
      <c r="N352" s="3">
        <v>2387915508.1011381</v>
      </c>
    </row>
    <row r="353" spans="14:14">
      <c r="N353" s="3">
        <v>1847133412.3807535</v>
      </c>
    </row>
    <row r="354" spans="14:14">
      <c r="N354" s="3">
        <v>1422656015.0619543</v>
      </c>
    </row>
    <row r="355" spans="14:14">
      <c r="N355" s="3">
        <v>1988376196.1907146</v>
      </c>
    </row>
    <row r="356" spans="14:14">
      <c r="N356" s="3">
        <v>2200709068.4304018</v>
      </c>
    </row>
    <row r="357" spans="14:14">
      <c r="N357" s="3">
        <v>1597339303.6868477</v>
      </c>
    </row>
    <row r="358" spans="14:14">
      <c r="N358" s="3">
        <v>2565443199.2268496</v>
      </c>
    </row>
    <row r="359" spans="14:14">
      <c r="N359" s="3">
        <v>2921491285.4598517</v>
      </c>
    </row>
    <row r="360" spans="14:14">
      <c r="N360" s="3">
        <v>2368611197.947629</v>
      </c>
    </row>
    <row r="361" spans="14:14">
      <c r="N361" s="3">
        <v>2168028616.3609881</v>
      </c>
    </row>
    <row r="362" spans="14:14">
      <c r="N362" s="3">
        <v>1733188268.4125979</v>
      </c>
    </row>
    <row r="363" spans="14:14">
      <c r="N363" s="3">
        <v>3353150683.9384255</v>
      </c>
    </row>
    <row r="364" spans="14:14">
      <c r="N364" s="3">
        <v>1121560393.0611014</v>
      </c>
    </row>
    <row r="365" spans="14:14">
      <c r="N365" s="3">
        <v>1727086186.7353373</v>
      </c>
    </row>
    <row r="366" spans="14:14">
      <c r="N366" s="3">
        <v>1382667876.8198185</v>
      </c>
    </row>
    <row r="367" spans="14:14">
      <c r="N367" s="3">
        <v>2274292485.3724647</v>
      </c>
    </row>
    <row r="368" spans="14:14">
      <c r="N368" s="3">
        <v>2840072128.2174315</v>
      </c>
    </row>
    <row r="369" spans="14:14">
      <c r="N369" s="3">
        <v>2092005687.6215279</v>
      </c>
    </row>
    <row r="370" spans="14:14">
      <c r="N370" s="3">
        <v>2426913415.5374351</v>
      </c>
    </row>
    <row r="371" spans="14:14">
      <c r="N371" s="3">
        <v>3635428348.4366107</v>
      </c>
    </row>
    <row r="372" spans="14:14">
      <c r="N372" s="3">
        <v>1952739615.4113605</v>
      </c>
    </row>
    <row r="373" spans="14:14">
      <c r="N373" s="3">
        <v>2723771511.9476266</v>
      </c>
    </row>
    <row r="374" spans="14:14">
      <c r="N374" s="3">
        <v>1912716305.9508827</v>
      </c>
    </row>
    <row r="375" spans="14:14">
      <c r="N375" s="3">
        <v>2859345817.9388175</v>
      </c>
    </row>
    <row r="376" spans="14:14">
      <c r="N376" s="3">
        <v>1373943201.0422761</v>
      </c>
    </row>
    <row r="377" spans="14:14">
      <c r="N377" s="3">
        <v>1746459311.0530479</v>
      </c>
    </row>
    <row r="378" spans="14:14">
      <c r="N378" s="3">
        <v>1004271639.9949318</v>
      </c>
    </row>
    <row r="379" spans="14:14">
      <c r="N379" s="3">
        <v>1612923639.6767232</v>
      </c>
    </row>
    <row r="380" spans="14:14">
      <c r="N380" s="3">
        <v>3297145057.3551874</v>
      </c>
    </row>
    <row r="381" spans="14:14">
      <c r="N381" s="3">
        <v>1646565532.8324888</v>
      </c>
    </row>
    <row r="382" spans="14:14">
      <c r="N382" s="3">
        <v>3116647227.617979</v>
      </c>
    </row>
    <row r="383" spans="14:14">
      <c r="N383" s="3">
        <v>4246068434.6182833</v>
      </c>
    </row>
    <row r="384" spans="14:14">
      <c r="N384" s="3">
        <v>974866143.78936064</v>
      </c>
    </row>
    <row r="385" spans="14:14">
      <c r="N385" s="3">
        <v>2030826708.3602407</v>
      </c>
    </row>
    <row r="386" spans="14:14">
      <c r="N386" s="3">
        <v>4336797845.2187805</v>
      </c>
    </row>
    <row r="387" spans="14:14">
      <c r="N387" s="3">
        <v>2233463436.2993407</v>
      </c>
    </row>
    <row r="388" spans="14:14">
      <c r="N388" s="3">
        <v>1921311661.6892667</v>
      </c>
    </row>
    <row r="389" spans="14:14">
      <c r="N389" s="3">
        <v>1986823952.2132702</v>
      </c>
    </row>
    <row r="390" spans="14:14">
      <c r="N390" s="3">
        <v>2530795192.462348</v>
      </c>
    </row>
    <row r="391" spans="14:14">
      <c r="N391" s="3">
        <v>1844309225.1213846</v>
      </c>
    </row>
    <row r="392" spans="14:14">
      <c r="N392" s="3">
        <v>1613792135.9999893</v>
      </c>
    </row>
    <row r="393" spans="14:14">
      <c r="N393" s="3">
        <v>1233706199.145885</v>
      </c>
    </row>
    <row r="394" spans="14:14">
      <c r="N394" s="3">
        <v>1729190848.0393326</v>
      </c>
    </row>
    <row r="395" spans="14:14">
      <c r="N395" s="3">
        <v>1795043637.3972144</v>
      </c>
    </row>
    <row r="396" spans="14:14">
      <c r="N396" s="3">
        <v>2027602234.3081684</v>
      </c>
    </row>
    <row r="397" spans="14:14">
      <c r="N397" s="3">
        <v>1483602914.1111252</v>
      </c>
    </row>
    <row r="398" spans="14:14">
      <c r="N398" s="3">
        <v>3781646609.7841511</v>
      </c>
    </row>
    <row r="399" spans="14:14">
      <c r="N399" s="3">
        <v>1441821785.5348217</v>
      </c>
    </row>
    <row r="400" spans="14:14">
      <c r="N400" s="3">
        <v>2069314285.3792319</v>
      </c>
    </row>
    <row r="401" spans="14:14">
      <c r="N401" s="3">
        <v>2437849087.3202829</v>
      </c>
    </row>
    <row r="402" spans="14:14">
      <c r="N402" s="3">
        <v>2209840839.5777125</v>
      </c>
    </row>
    <row r="403" spans="14:14">
      <c r="N403" s="3">
        <v>2086258816.0631905</v>
      </c>
    </row>
    <row r="404" spans="14:14">
      <c r="N404" s="3">
        <v>1391677804.0045457</v>
      </c>
    </row>
    <row r="405" spans="14:14">
      <c r="N405" s="3">
        <v>1966963714.3404055</v>
      </c>
    </row>
    <row r="406" spans="14:14">
      <c r="N406" s="3">
        <v>1801142712.4505978</v>
      </c>
    </row>
    <row r="407" spans="14:14">
      <c r="N407" s="3">
        <v>2433707592.9168153</v>
      </c>
    </row>
    <row r="408" spans="14:14">
      <c r="N408" s="3">
        <v>4960395010.0009604</v>
      </c>
    </row>
    <row r="409" spans="14:14">
      <c r="N409" s="3">
        <v>2535478893.0090966</v>
      </c>
    </row>
    <row r="410" spans="14:14">
      <c r="N410" s="3">
        <v>1015828718.2044502</v>
      </c>
    </row>
    <row r="411" spans="14:14">
      <c r="N411" s="3">
        <v>3707616792.6484756</v>
      </c>
    </row>
    <row r="412" spans="14:14">
      <c r="N412" s="3">
        <v>2463180466.2901406</v>
      </c>
    </row>
    <row r="413" spans="14:14">
      <c r="N413" s="3">
        <v>2179866317.7138309</v>
      </c>
    </row>
    <row r="414" spans="14:14">
      <c r="N414" s="3">
        <v>3326096646.4160471</v>
      </c>
    </row>
    <row r="415" spans="14:14">
      <c r="N415" s="3">
        <v>1533400691.6114531</v>
      </c>
    </row>
    <row r="416" spans="14:14">
      <c r="N416" s="3">
        <v>1309907230.9764917</v>
      </c>
    </row>
    <row r="417" spans="14:14">
      <c r="N417" s="3">
        <v>1522917208.7607021</v>
      </c>
    </row>
    <row r="418" spans="14:14">
      <c r="N418" s="3">
        <v>2089537390.1635528</v>
      </c>
    </row>
    <row r="419" spans="14:14">
      <c r="N419" s="3">
        <v>2911903477.231986</v>
      </c>
    </row>
    <row r="420" spans="14:14">
      <c r="N420" s="3">
        <v>1638990752.8069694</v>
      </c>
    </row>
    <row r="421" spans="14:14">
      <c r="N421" s="3">
        <v>3140298399.0265489</v>
      </c>
    </row>
    <row r="422" spans="14:14">
      <c r="N422" s="3">
        <v>1415184762.7207975</v>
      </c>
    </row>
    <row r="423" spans="14:14">
      <c r="N423" s="3">
        <v>2377031412.2770281</v>
      </c>
    </row>
    <row r="424" spans="14:14">
      <c r="N424" s="3">
        <v>1154149694.8257639</v>
      </c>
    </row>
    <row r="425" spans="14:14">
      <c r="N425" s="3">
        <v>2138178522.1395459</v>
      </c>
    </row>
    <row r="426" spans="14:14">
      <c r="N426" s="3">
        <v>3902236220.460032</v>
      </c>
    </row>
    <row r="427" spans="14:14">
      <c r="N427" s="3">
        <v>2092606659.2448518</v>
      </c>
    </row>
    <row r="428" spans="14:14">
      <c r="N428" s="3">
        <v>2279706738.3024869</v>
      </c>
    </row>
    <row r="429" spans="14:14">
      <c r="N429" s="3">
        <v>2019311207.6229539</v>
      </c>
    </row>
    <row r="430" spans="14:14">
      <c r="N430" s="3">
        <v>1415190355.5708389</v>
      </c>
    </row>
    <row r="431" spans="14:14">
      <c r="N431" s="3">
        <v>3795456973.348536</v>
      </c>
    </row>
    <row r="432" spans="14:14">
      <c r="N432" s="3">
        <v>1277071756.9845419</v>
      </c>
    </row>
    <row r="433" spans="14:14">
      <c r="N433" s="3">
        <v>2074592098.560147</v>
      </c>
    </row>
    <row r="434" spans="14:14">
      <c r="N434" s="3">
        <v>2031129120.1979167</v>
      </c>
    </row>
    <row r="435" spans="14:14">
      <c r="N435" s="3">
        <v>1615898577.6929662</v>
      </c>
    </row>
    <row r="436" spans="14:14">
      <c r="N436" s="3">
        <v>1175061524.5087481</v>
      </c>
    </row>
    <row r="437" spans="14:14">
      <c r="N437" s="3">
        <v>2758384749.6507268</v>
      </c>
    </row>
    <row r="438" spans="14:14">
      <c r="N438" s="3">
        <v>1560260616.4394202</v>
      </c>
    </row>
    <row r="439" spans="14:14">
      <c r="N439" s="3">
        <v>2215973403.4488688</v>
      </c>
    </row>
    <row r="440" spans="14:14">
      <c r="N440" s="3">
        <v>1885161006.5673714</v>
      </c>
    </row>
    <row r="441" spans="14:14">
      <c r="N441" s="3">
        <v>1507538516.7238879</v>
      </c>
    </row>
    <row r="442" spans="14:14">
      <c r="N442" s="3">
        <v>1068000256.2809289</v>
      </c>
    </row>
    <row r="443" spans="14:14">
      <c r="N443" s="3">
        <v>2621512974.4794822</v>
      </c>
    </row>
    <row r="444" spans="14:14">
      <c r="N444" s="3">
        <v>1652585313.3393252</v>
      </c>
    </row>
    <row r="445" spans="14:14">
      <c r="N445" s="3">
        <v>3021135475.6315069</v>
      </c>
    </row>
    <row r="446" spans="14:14">
      <c r="N446" s="3">
        <v>1979564360.4360447</v>
      </c>
    </row>
    <row r="447" spans="14:14">
      <c r="N447" s="3">
        <v>2522835123.7401352</v>
      </c>
    </row>
    <row r="448" spans="14:14">
      <c r="N448" s="3">
        <v>1909987585.5275466</v>
      </c>
    </row>
    <row r="449" spans="14:14">
      <c r="N449" s="3">
        <v>2174228660.6712003</v>
      </c>
    </row>
    <row r="450" spans="14:14">
      <c r="N450" s="3">
        <v>1756826124.4389317</v>
      </c>
    </row>
    <row r="451" spans="14:14">
      <c r="N451" s="3">
        <v>1532749166.3385386</v>
      </c>
    </row>
    <row r="452" spans="14:14">
      <c r="N452" s="3">
        <v>1221462405.484062</v>
      </c>
    </row>
    <row r="453" spans="14:14">
      <c r="N453" s="3">
        <v>1428198317.2704427</v>
      </c>
    </row>
    <row r="454" spans="14:14">
      <c r="N454" s="3">
        <v>3682198688.8902383</v>
      </c>
    </row>
    <row r="455" spans="14:14">
      <c r="N455" s="3">
        <v>2187605612.7095342</v>
      </c>
    </row>
    <row r="456" spans="14:14">
      <c r="N456" s="3">
        <v>2482348140.5422573</v>
      </c>
    </row>
    <row r="457" spans="14:14">
      <c r="N457" s="3">
        <v>1225466575.6192064</v>
      </c>
    </row>
    <row r="458" spans="14:14">
      <c r="N458" s="3">
        <v>2260352326.6958661</v>
      </c>
    </row>
    <row r="459" spans="14:14">
      <c r="N459" s="3">
        <v>3096495125.182354</v>
      </c>
    </row>
    <row r="460" spans="14:14">
      <c r="N460" s="3">
        <v>2644407709.477222</v>
      </c>
    </row>
    <row r="461" spans="14:14">
      <c r="N461" s="3">
        <v>1190932478.8651752</v>
      </c>
    </row>
    <row r="462" spans="14:14">
      <c r="N462" s="3">
        <v>2733397657.7262983</v>
      </c>
    </row>
    <row r="463" spans="14:14">
      <c r="N463" s="3">
        <v>2431998094.2174339</v>
      </c>
    </row>
    <row r="464" spans="14:14">
      <c r="N464" s="3">
        <v>2361285424.0799866</v>
      </c>
    </row>
    <row r="465" spans="14:14">
      <c r="N465" s="3">
        <v>1702949725.357275</v>
      </c>
    </row>
    <row r="466" spans="14:14">
      <c r="N466" s="3">
        <v>1370144365.1908398</v>
      </c>
    </row>
    <row r="467" spans="14:14">
      <c r="N467" s="3">
        <v>1893970509.5207753</v>
      </c>
    </row>
    <row r="468" spans="14:14">
      <c r="N468" s="3">
        <v>2166194372.3431911</v>
      </c>
    </row>
    <row r="469" spans="14:14">
      <c r="N469" s="3">
        <v>1818611884.7472415</v>
      </c>
    </row>
    <row r="470" spans="14:14">
      <c r="N470" s="3">
        <v>3269306487.2649665</v>
      </c>
    </row>
    <row r="471" spans="14:14">
      <c r="N471" s="3">
        <v>3145124447.8938594</v>
      </c>
    </row>
    <row r="472" spans="14:14">
      <c r="N472" s="3">
        <v>2789516634.532433</v>
      </c>
    </row>
    <row r="473" spans="14:14">
      <c r="N473" s="3">
        <v>4321185362.8179483</v>
      </c>
    </row>
    <row r="474" spans="14:14">
      <c r="N474" s="3">
        <v>1759709859.0151598</v>
      </c>
    </row>
    <row r="475" spans="14:14">
      <c r="N475" s="3">
        <v>1350908994.8811972</v>
      </c>
    </row>
    <row r="476" spans="14:14">
      <c r="N476" s="3">
        <v>1504179055.6330607</v>
      </c>
    </row>
    <row r="477" spans="14:14">
      <c r="N477" s="3">
        <v>1720526961.9010725</v>
      </c>
    </row>
    <row r="478" spans="14:14">
      <c r="N478" s="3">
        <v>1785567041.8420131</v>
      </c>
    </row>
    <row r="479" spans="14:14">
      <c r="N479" s="3">
        <v>2423300543.6073914</v>
      </c>
    </row>
    <row r="480" spans="14:14">
      <c r="N480" s="3">
        <v>832789007.94489849</v>
      </c>
    </row>
    <row r="481" spans="14:14">
      <c r="N481" s="3">
        <v>4378768455.0922871</v>
      </c>
    </row>
    <row r="482" spans="14:14">
      <c r="N482" s="3">
        <v>1797124141.7961743</v>
      </c>
    </row>
    <row r="483" spans="14:14">
      <c r="N483" s="3">
        <v>2562616131.8872385</v>
      </c>
    </row>
    <row r="484" spans="14:14">
      <c r="N484" s="3">
        <v>2599738409.9077287</v>
      </c>
    </row>
    <row r="485" spans="14:14">
      <c r="N485" s="3">
        <v>2000805588.610497</v>
      </c>
    </row>
    <row r="486" spans="14:14">
      <c r="N486" s="3">
        <v>975253210.15943229</v>
      </c>
    </row>
    <row r="487" spans="14:14">
      <c r="N487" s="3">
        <v>1775078363.4705329</v>
      </c>
    </row>
    <row r="488" spans="14:14">
      <c r="N488" s="3">
        <v>2016898712.6253765</v>
      </c>
    </row>
    <row r="489" spans="14:14">
      <c r="N489" s="3">
        <v>2485067386.7441287</v>
      </c>
    </row>
    <row r="490" spans="14:14">
      <c r="N490" s="3">
        <v>1978587454.5678566</v>
      </c>
    </row>
    <row r="491" spans="14:14">
      <c r="N491" s="3">
        <v>1420305889.1410217</v>
      </c>
    </row>
    <row r="492" spans="14:14">
      <c r="N492" s="3">
        <v>1267533276.1257617</v>
      </c>
    </row>
    <row r="493" spans="14:14">
      <c r="N493" s="3">
        <v>3639287229.6535225</v>
      </c>
    </row>
    <row r="494" spans="14:14">
      <c r="N494" s="3">
        <v>1574105222.9269505</v>
      </c>
    </row>
    <row r="495" spans="14:14">
      <c r="N495" s="3">
        <v>1136588164.9451976</v>
      </c>
    </row>
    <row r="496" spans="14:14">
      <c r="N496" s="3">
        <v>3171158907.7995358</v>
      </c>
    </row>
    <row r="497" spans="14:14">
      <c r="N497" s="3">
        <v>2140870036.6716261</v>
      </c>
    </row>
    <row r="498" spans="14:14">
      <c r="N498" s="3">
        <v>1750632765.518574</v>
      </c>
    </row>
    <row r="499" spans="14:14">
      <c r="N499" s="3">
        <v>1195136728.3617623</v>
      </c>
    </row>
    <row r="500" spans="14:14">
      <c r="N500" s="3">
        <v>1852521714.6430259</v>
      </c>
    </row>
    <row r="501" spans="14:14">
      <c r="N501" s="3">
        <v>2633275990.5489507</v>
      </c>
    </row>
    <row r="502" spans="14:14">
      <c r="N502" s="3">
        <v>3381160092.5087481</v>
      </c>
    </row>
    <row r="503" spans="14:14">
      <c r="N503" s="3">
        <v>1564588171.4747133</v>
      </c>
    </row>
    <row r="504" spans="14:14">
      <c r="N504" s="3">
        <v>2065917199.7273266</v>
      </c>
    </row>
    <row r="505" spans="14:14">
      <c r="N505" s="3">
        <v>2453539710.8593211</v>
      </c>
    </row>
    <row r="506" spans="14:14">
      <c r="N506" s="3">
        <v>2836424114.7484026</v>
      </c>
    </row>
    <row r="507" spans="14:14">
      <c r="N507" s="3">
        <v>1516980579.7997742</v>
      </c>
    </row>
    <row r="508" spans="14:14">
      <c r="N508" s="3">
        <v>1562176141.7309501</v>
      </c>
    </row>
    <row r="509" spans="14:14">
      <c r="N509" s="3">
        <v>2123602770.0216212</v>
      </c>
    </row>
    <row r="510" spans="14:14">
      <c r="N510" s="3">
        <v>1614747185.6771636</v>
      </c>
    </row>
    <row r="511" spans="14:14">
      <c r="N511" s="3">
        <v>3230898167.302393</v>
      </c>
    </row>
    <row r="512" spans="14:14">
      <c r="N512" s="3">
        <v>1853762049.818433</v>
      </c>
    </row>
    <row r="513" spans="14:14">
      <c r="N513" s="3">
        <v>1043107939.8574747</v>
      </c>
    </row>
    <row r="514" spans="14:14">
      <c r="N514" s="3">
        <v>2484625666.8285522</v>
      </c>
    </row>
    <row r="515" spans="14:14">
      <c r="N515" s="3">
        <v>1482702640.8251472</v>
      </c>
    </row>
    <row r="516" spans="14:14">
      <c r="N516" s="3">
        <v>3380867792.390708</v>
      </c>
    </row>
    <row r="517" spans="14:14">
      <c r="N517" s="3">
        <v>1732132022.194078</v>
      </c>
    </row>
    <row r="518" spans="14:14">
      <c r="N518" s="3">
        <v>1687143492.2126343</v>
      </c>
    </row>
    <row r="519" spans="14:14">
      <c r="N519" s="3">
        <v>1979914440.8588233</v>
      </c>
    </row>
    <row r="520" spans="14:14">
      <c r="N520" s="3">
        <v>3966614581.1451735</v>
      </c>
    </row>
    <row r="521" spans="14:14">
      <c r="N521" s="3">
        <v>1752277949.8511758</v>
      </c>
    </row>
    <row r="522" spans="14:14">
      <c r="N522" s="3">
        <v>3927928042.2318687</v>
      </c>
    </row>
    <row r="523" spans="14:14">
      <c r="N523" s="3">
        <v>1276805960.1679523</v>
      </c>
    </row>
    <row r="524" spans="14:14">
      <c r="N524" s="3">
        <v>1770231405.3945215</v>
      </c>
    </row>
    <row r="525" spans="14:14">
      <c r="N525" s="3">
        <v>3181115731.2454433</v>
      </c>
    </row>
    <row r="526" spans="14:14">
      <c r="N526" s="3">
        <v>2613458106.0490651</v>
      </c>
    </row>
    <row r="527" spans="14:14">
      <c r="N527" s="3">
        <v>1418501625.9090459</v>
      </c>
    </row>
    <row r="528" spans="14:14">
      <c r="N528" s="3">
        <v>1293498333.8549738</v>
      </c>
    </row>
    <row r="529" spans="14:14">
      <c r="N529" s="3">
        <v>1877013157.9958665</v>
      </c>
    </row>
    <row r="530" spans="14:14">
      <c r="N530" s="3">
        <v>1744000682.5967927</v>
      </c>
    </row>
    <row r="531" spans="14:14">
      <c r="N531" s="3">
        <v>2576168543.0413308</v>
      </c>
    </row>
    <row r="532" spans="14:14">
      <c r="N532" s="3">
        <v>3416426205.7782278</v>
      </c>
    </row>
    <row r="533" spans="14:14">
      <c r="N533" s="3">
        <v>1457494045.0620677</v>
      </c>
    </row>
    <row r="534" spans="14:14">
      <c r="N534" s="3">
        <v>1615906542.9606819</v>
      </c>
    </row>
    <row r="535" spans="14:14">
      <c r="N535" s="3">
        <v>2344538192.8778868</v>
      </c>
    </row>
    <row r="536" spans="14:14">
      <c r="N536" s="3">
        <v>1353302251.6595252</v>
      </c>
    </row>
    <row r="537" spans="14:14">
      <c r="N537" s="3">
        <v>2108675711.0300791</v>
      </c>
    </row>
    <row r="538" spans="14:14">
      <c r="N538" s="3">
        <v>1437869979.2859755</v>
      </c>
    </row>
    <row r="539" spans="14:14">
      <c r="N539" s="3">
        <v>3445026038.0211735</v>
      </c>
    </row>
    <row r="540" spans="14:14">
      <c r="N540" s="3">
        <v>2321367558.8260345</v>
      </c>
    </row>
    <row r="541" spans="14:14">
      <c r="N541" s="3">
        <v>2764263798.6444249</v>
      </c>
    </row>
    <row r="542" spans="14:14">
      <c r="N542" s="3">
        <v>2371899611.3177576</v>
      </c>
    </row>
    <row r="543" spans="14:14">
      <c r="N543" s="3">
        <v>2492298928.8414116</v>
      </c>
    </row>
    <row r="544" spans="14:14">
      <c r="N544" s="3">
        <v>1933008641.9991856</v>
      </c>
    </row>
    <row r="545" spans="14:14">
      <c r="N545" s="3">
        <v>2590700484.7585907</v>
      </c>
    </row>
    <row r="546" spans="14:14">
      <c r="N546" s="3">
        <v>3382355367.2114997</v>
      </c>
    </row>
    <row r="547" spans="14:14">
      <c r="N547" s="3">
        <v>2699276235.4870381</v>
      </c>
    </row>
    <row r="548" spans="14:14">
      <c r="N548" s="3">
        <v>3375194890.2911739</v>
      </c>
    </row>
    <row r="549" spans="14:14">
      <c r="N549" s="3">
        <v>2726593091.101099</v>
      </c>
    </row>
    <row r="550" spans="14:14">
      <c r="N550" s="3">
        <v>1477604659.990577</v>
      </c>
    </row>
    <row r="551" spans="14:14">
      <c r="N551" s="3">
        <v>1310366693.49266</v>
      </c>
    </row>
    <row r="552" spans="14:14">
      <c r="N552" s="3">
        <v>1628329101.610626</v>
      </c>
    </row>
    <row r="553" spans="14:14">
      <c r="N553" s="3">
        <v>1710586083.3163881</v>
      </c>
    </row>
    <row r="554" spans="14:14">
      <c r="N554" s="3">
        <v>1605439327.5087736</v>
      </c>
    </row>
    <row r="555" spans="14:14">
      <c r="N555" s="3">
        <v>1297204244.7622914</v>
      </c>
    </row>
    <row r="556" spans="14:14">
      <c r="N556" s="3">
        <v>2042506716.6891789</v>
      </c>
    </row>
    <row r="557" spans="14:14">
      <c r="N557" s="3">
        <v>2476993691.5778317</v>
      </c>
    </row>
    <row r="558" spans="14:14">
      <c r="N558" s="3">
        <v>1766086819.7360513</v>
      </c>
    </row>
    <row r="559" spans="14:14">
      <c r="N559" s="3">
        <v>2255933278.5388751</v>
      </c>
    </row>
    <row r="560" spans="14:14">
      <c r="N560" s="3">
        <v>2610318095.0701265</v>
      </c>
    </row>
    <row r="561" spans="14:14">
      <c r="N561" s="3">
        <v>1798689394.0678663</v>
      </c>
    </row>
    <row r="562" spans="14:14">
      <c r="N562" s="3">
        <v>4428022449.4843044</v>
      </c>
    </row>
    <row r="563" spans="14:14">
      <c r="N563" s="3">
        <v>2202526245.751451</v>
      </c>
    </row>
    <row r="564" spans="14:14">
      <c r="N564" s="3">
        <v>2952946629.4316225</v>
      </c>
    </row>
    <row r="565" spans="14:14">
      <c r="N565" s="3">
        <v>2052792248.0594907</v>
      </c>
    </row>
    <row r="566" spans="14:14">
      <c r="N566" s="3">
        <v>1105262446.7924633</v>
      </c>
    </row>
    <row r="567" spans="14:14">
      <c r="N567" s="3">
        <v>2455641636.0029759</v>
      </c>
    </row>
    <row r="568" spans="14:14">
      <c r="N568" s="3">
        <v>2133929135.0164902</v>
      </c>
    </row>
    <row r="569" spans="14:14">
      <c r="N569" s="3">
        <v>1862825771.63973</v>
      </c>
    </row>
    <row r="570" spans="14:14">
      <c r="N570" s="3">
        <v>2759457530.5623889</v>
      </c>
    </row>
    <row r="571" spans="14:14">
      <c r="N571" s="3">
        <v>1593325736.7206938</v>
      </c>
    </row>
    <row r="572" spans="14:14">
      <c r="N572" s="3">
        <v>1683866866.2761779</v>
      </c>
    </row>
    <row r="573" spans="14:14">
      <c r="N573" s="3">
        <v>1644466305.6225064</v>
      </c>
    </row>
    <row r="574" spans="14:14">
      <c r="N574" s="3">
        <v>869139249.1746676</v>
      </c>
    </row>
    <row r="575" spans="14:14">
      <c r="N575" s="3">
        <v>2801804013.3695922</v>
      </c>
    </row>
    <row r="576" spans="14:14">
      <c r="N576" s="3">
        <v>5363160187.8660669</v>
      </c>
    </row>
    <row r="577" spans="14:14">
      <c r="N577" s="3">
        <v>1789637430.289813</v>
      </c>
    </row>
    <row r="578" spans="14:14">
      <c r="N578" s="3">
        <v>1435048644.7020516</v>
      </c>
    </row>
    <row r="579" spans="14:14">
      <c r="N579" s="3">
        <v>2287619180.4560127</v>
      </c>
    </row>
    <row r="580" spans="14:14">
      <c r="N580" s="3">
        <v>2438120178.5254579</v>
      </c>
    </row>
    <row r="581" spans="14:14">
      <c r="N581" s="3">
        <v>2107830874.0508265</v>
      </c>
    </row>
    <row r="582" spans="14:14">
      <c r="N582" s="3">
        <v>1550044059.9732969</v>
      </c>
    </row>
    <row r="583" spans="14:14">
      <c r="N583" s="3">
        <v>2269577957.9746065</v>
      </c>
    </row>
    <row r="584" spans="14:14">
      <c r="N584" s="3">
        <v>1895365599.5281463</v>
      </c>
    </row>
    <row r="585" spans="14:14">
      <c r="N585" s="3">
        <v>2457469409.2920985</v>
      </c>
    </row>
    <row r="586" spans="14:14">
      <c r="N586" s="3">
        <v>1272228530.3986816</v>
      </c>
    </row>
    <row r="587" spans="14:14">
      <c r="N587" s="3">
        <v>2073672656.0711124</v>
      </c>
    </row>
    <row r="588" spans="14:14">
      <c r="N588" s="3">
        <v>3498701617.8529215</v>
      </c>
    </row>
    <row r="589" spans="14:14">
      <c r="N589" s="3">
        <v>2219313984.4441681</v>
      </c>
    </row>
    <row r="590" spans="14:14">
      <c r="N590" s="3">
        <v>1673846748.943927</v>
      </c>
    </row>
    <row r="591" spans="14:14">
      <c r="N591" s="3">
        <v>2933282464.7729192</v>
      </c>
    </row>
    <row r="592" spans="14:14">
      <c r="N592" s="3">
        <v>2132977620.03813</v>
      </c>
    </row>
    <row r="593" spans="14:14">
      <c r="N593" s="3">
        <v>1448206698.9020574</v>
      </c>
    </row>
    <row r="594" spans="14:14">
      <c r="N594" s="3">
        <v>3005999184.9953084</v>
      </c>
    </row>
    <row r="595" spans="14:14">
      <c r="N595" s="3">
        <v>1601055068.6945558</v>
      </c>
    </row>
    <row r="596" spans="14:14">
      <c r="N596" s="3">
        <v>1244417835.5254588</v>
      </c>
    </row>
    <row r="597" spans="14:14">
      <c r="N597" s="3">
        <v>3329581934.1093774</v>
      </c>
    </row>
    <row r="598" spans="14:14">
      <c r="N598" s="3">
        <v>3075416618.8408732</v>
      </c>
    </row>
    <row r="599" spans="14:14">
      <c r="N599" s="3">
        <v>1787027369.2338696</v>
      </c>
    </row>
    <row r="600" spans="14:14">
      <c r="N600" s="3">
        <v>1775700470.6598384</v>
      </c>
    </row>
    <row r="601" spans="14:14">
      <c r="N601" s="3">
        <v>2291372561.1939206</v>
      </c>
    </row>
    <row r="602" spans="14:14">
      <c r="N602" s="3">
        <v>637036922.94893372</v>
      </c>
    </row>
    <row r="603" spans="14:14">
      <c r="N603" s="3">
        <v>3426968099.6720972</v>
      </c>
    </row>
    <row r="604" spans="14:14">
      <c r="N604" s="3">
        <v>1441556854.5007482</v>
      </c>
    </row>
    <row r="605" spans="14:14">
      <c r="N605" s="3">
        <v>1640464504.3530307</v>
      </c>
    </row>
    <row r="606" spans="14:14">
      <c r="N606" s="3">
        <v>2385056228.8069816</v>
      </c>
    </row>
    <row r="607" spans="14:14">
      <c r="N607" s="3">
        <v>3203883174.1140037</v>
      </c>
    </row>
    <row r="608" spans="14:14">
      <c r="N608" s="3">
        <v>1588324371.9873812</v>
      </c>
    </row>
    <row r="609" spans="14:14">
      <c r="N609" s="3">
        <v>2154359939.0340619</v>
      </c>
    </row>
    <row r="610" spans="14:14">
      <c r="N610" s="3">
        <v>2324864624.9681144</v>
      </c>
    </row>
    <row r="611" spans="14:14">
      <c r="N611" s="3">
        <v>1973923804.6248856</v>
      </c>
    </row>
    <row r="612" spans="14:14">
      <c r="N612" s="3">
        <v>2297269556.5054307</v>
      </c>
    </row>
    <row r="613" spans="14:14">
      <c r="N613" s="3">
        <v>2981770791.484014</v>
      </c>
    </row>
    <row r="614" spans="14:14">
      <c r="N614" s="3">
        <v>1397971149.0841422</v>
      </c>
    </row>
    <row r="615" spans="14:14">
      <c r="N615" s="3">
        <v>634652361.29404676</v>
      </c>
    </row>
    <row r="616" spans="14:14">
      <c r="N616" s="3">
        <v>1957369767.5897005</v>
      </c>
    </row>
    <row r="617" spans="14:14">
      <c r="N617" s="3">
        <v>1866599563.9223123</v>
      </c>
    </row>
    <row r="618" spans="14:14">
      <c r="N618" s="3">
        <v>2309320932.5800152</v>
      </c>
    </row>
    <row r="619" spans="14:14">
      <c r="N619" s="3">
        <v>5350495023.2539587</v>
      </c>
    </row>
    <row r="620" spans="14:14">
      <c r="N620" s="3">
        <v>3324333940.6923957</v>
      </c>
    </row>
    <row r="621" spans="14:14">
      <c r="N621" s="3">
        <v>2215435383.0685606</v>
      </c>
    </row>
    <row r="622" spans="14:14">
      <c r="N622" s="3">
        <v>2447865994.446825</v>
      </c>
    </row>
    <row r="623" spans="14:14">
      <c r="N623" s="3">
        <v>2976773999.7853227</v>
      </c>
    </row>
    <row r="624" spans="14:14">
      <c r="N624" s="3">
        <v>2797836726.2011194</v>
      </c>
    </row>
    <row r="625" spans="14:14">
      <c r="N625" s="3">
        <v>2781525753.7358503</v>
      </c>
    </row>
    <row r="626" spans="14:14">
      <c r="N626" s="3">
        <v>2011171814.7051747</v>
      </c>
    </row>
    <row r="627" spans="14:14">
      <c r="N627" s="3">
        <v>1570493228.6231856</v>
      </c>
    </row>
    <row r="628" spans="14:14">
      <c r="N628" s="3">
        <v>1884231708.4948289</v>
      </c>
    </row>
    <row r="629" spans="14:14">
      <c r="N629" s="3">
        <v>1458420454.5731244</v>
      </c>
    </row>
    <row r="630" spans="14:14">
      <c r="N630" s="3">
        <v>1195926605.5711076</v>
      </c>
    </row>
    <row r="631" spans="14:14">
      <c r="N631" s="3">
        <v>2174015417.4944329</v>
      </c>
    </row>
    <row r="632" spans="14:14">
      <c r="N632" s="3">
        <v>2675101478.0383258</v>
      </c>
    </row>
    <row r="633" spans="14:14">
      <c r="N633" s="3">
        <v>2990638937.4253159</v>
      </c>
    </row>
    <row r="634" spans="14:14">
      <c r="N634" s="3">
        <v>2017821996.3289709</v>
      </c>
    </row>
    <row r="635" spans="14:14">
      <c r="N635" s="3">
        <v>2559298791.245821</v>
      </c>
    </row>
    <row r="636" spans="14:14">
      <c r="N636" s="3">
        <v>1492031864.6907451</v>
      </c>
    </row>
    <row r="637" spans="14:14">
      <c r="N637" s="3">
        <v>2341446590.7729292</v>
      </c>
    </row>
    <row r="638" spans="14:14">
      <c r="N638" s="3">
        <v>4319272415.1441479</v>
      </c>
    </row>
    <row r="639" spans="14:14">
      <c r="N639" s="3">
        <v>886013946.4316113</v>
      </c>
    </row>
    <row r="640" spans="14:14">
      <c r="N640" s="3">
        <v>2229178650.839901</v>
      </c>
    </row>
    <row r="641" spans="14:14">
      <c r="N641" s="3">
        <v>3363566155.2775073</v>
      </c>
    </row>
    <row r="642" spans="14:14">
      <c r="N642" s="3">
        <v>1883068795.186383</v>
      </c>
    </row>
    <row r="643" spans="14:14">
      <c r="N643" s="3">
        <v>2455784066.2032938</v>
      </c>
    </row>
    <row r="644" spans="14:14">
      <c r="N644" s="3">
        <v>1581091676.6776638</v>
      </c>
    </row>
    <row r="645" spans="14:14">
      <c r="N645" s="3">
        <v>2003898882.1203554</v>
      </c>
    </row>
    <row r="646" spans="14:14">
      <c r="N646" s="3">
        <v>1751322207.3043675</v>
      </c>
    </row>
    <row r="647" spans="14:14">
      <c r="N647" s="3">
        <v>2741298002.5895667</v>
      </c>
    </row>
    <row r="648" spans="14:14">
      <c r="N648" s="3">
        <v>1847148128.3708901</v>
      </c>
    </row>
    <row r="649" spans="14:14">
      <c r="N649" s="3">
        <v>2256420560.9996166</v>
      </c>
    </row>
    <row r="650" spans="14:14">
      <c r="N650" s="3">
        <v>967027024.83918762</v>
      </c>
    </row>
    <row r="651" spans="14:14">
      <c r="N651" s="3">
        <v>2159851665.8594751</v>
      </c>
    </row>
    <row r="652" spans="14:14">
      <c r="N652" s="3">
        <v>1293198783.306525</v>
      </c>
    </row>
    <row r="653" spans="14:14">
      <c r="N653" s="3">
        <v>2865989905.8219924</v>
      </c>
    </row>
    <row r="654" spans="14:14">
      <c r="N654" s="3">
        <v>4876216130.8362637</v>
      </c>
    </row>
    <row r="655" spans="14:14">
      <c r="N655" s="3">
        <v>2196412742.2645268</v>
      </c>
    </row>
    <row r="656" spans="14:14">
      <c r="N656" s="3">
        <v>2297232786.4881577</v>
      </c>
    </row>
    <row r="657" spans="14:14">
      <c r="N657" s="3">
        <v>1966912664.3758912</v>
      </c>
    </row>
    <row r="658" spans="14:14">
      <c r="N658" s="3">
        <v>2183276587.308804</v>
      </c>
    </row>
    <row r="659" spans="14:14">
      <c r="N659" s="3">
        <v>2555402204.4762115</v>
      </c>
    </row>
    <row r="660" spans="14:14">
      <c r="N660" s="3">
        <v>1683996715.237283</v>
      </c>
    </row>
    <row r="661" spans="14:14">
      <c r="N661" s="3">
        <v>2137436451.7832148</v>
      </c>
    </row>
    <row r="662" spans="14:14">
      <c r="N662" s="3">
        <v>2235875833.5519328</v>
      </c>
    </row>
    <row r="663" spans="14:14">
      <c r="N663" s="3">
        <v>2077133516.3933465</v>
      </c>
    </row>
    <row r="664" spans="14:14">
      <c r="N664" s="3">
        <v>837352215.30455267</v>
      </c>
    </row>
    <row r="665" spans="14:14">
      <c r="N665" s="3">
        <v>1041067290.8255215</v>
      </c>
    </row>
    <row r="666" spans="14:14">
      <c r="N666" s="3">
        <v>908431286.20971286</v>
      </c>
    </row>
    <row r="667" spans="14:14">
      <c r="N667" s="3">
        <v>4785670558.727417</v>
      </c>
    </row>
    <row r="668" spans="14:14">
      <c r="N668" s="3">
        <v>2826108839.0809803</v>
      </c>
    </row>
    <row r="669" spans="14:14">
      <c r="N669" s="3">
        <v>5832985351.6325121</v>
      </c>
    </row>
    <row r="670" spans="14:14">
      <c r="N670" s="3">
        <v>2237569027.7063684</v>
      </c>
    </row>
    <row r="671" spans="14:14">
      <c r="N671" s="3">
        <v>2605420813.0717807</v>
      </c>
    </row>
    <row r="672" spans="14:14">
      <c r="N672" s="3">
        <v>2321075442.0501628</v>
      </c>
    </row>
    <row r="673" spans="14:14">
      <c r="N673" s="3">
        <v>2068898291.8908694</v>
      </c>
    </row>
    <row r="674" spans="14:14">
      <c r="N674" s="3">
        <v>2195328459.1314201</v>
      </c>
    </row>
    <row r="675" spans="14:14">
      <c r="N675" s="3">
        <v>3210071032.4780526</v>
      </c>
    </row>
    <row r="676" spans="14:14">
      <c r="N676" s="3">
        <v>1708838616.7871571</v>
      </c>
    </row>
    <row r="677" spans="14:14">
      <c r="N677" s="3">
        <v>3912455001.0099235</v>
      </c>
    </row>
    <row r="678" spans="14:14">
      <c r="N678" s="3">
        <v>2243682476.4782696</v>
      </c>
    </row>
    <row r="679" spans="14:14">
      <c r="N679" s="3">
        <v>1825819597.5390003</v>
      </c>
    </row>
    <row r="680" spans="14:14">
      <c r="N680" s="3">
        <v>1709188662.0535905</v>
      </c>
    </row>
    <row r="681" spans="14:14">
      <c r="N681" s="3">
        <v>2485736542.4285536</v>
      </c>
    </row>
    <row r="682" spans="14:14">
      <c r="N682" s="3">
        <v>1158248801.0917141</v>
      </c>
    </row>
    <row r="683" spans="14:14">
      <c r="N683" s="3">
        <v>3567184118.2351117</v>
      </c>
    </row>
    <row r="684" spans="14:14">
      <c r="N684" s="3">
        <v>2435234970.006362</v>
      </c>
    </row>
    <row r="685" spans="14:14">
      <c r="N685" s="3">
        <v>1127729232.8631265</v>
      </c>
    </row>
    <row r="686" spans="14:14">
      <c r="N686" s="3">
        <v>1685538278.8278255</v>
      </c>
    </row>
    <row r="687" spans="14:14">
      <c r="N687" s="3">
        <v>2106123247.257679</v>
      </c>
    </row>
    <row r="688" spans="14:14">
      <c r="N688" s="3">
        <v>1687201383.288394</v>
      </c>
    </row>
    <row r="689" spans="14:14">
      <c r="N689" s="3">
        <v>2416359067.1196218</v>
      </c>
    </row>
    <row r="690" spans="14:14">
      <c r="N690" s="3">
        <v>1232018848.8563995</v>
      </c>
    </row>
    <row r="691" spans="14:14">
      <c r="N691" s="3">
        <v>2797978134.1940451</v>
      </c>
    </row>
    <row r="692" spans="14:14">
      <c r="N692" s="3">
        <v>2205937468.5383835</v>
      </c>
    </row>
    <row r="693" spans="14:14">
      <c r="N693" s="3">
        <v>988800039.27019131</v>
      </c>
    </row>
    <row r="694" spans="14:14">
      <c r="N694" s="3">
        <v>1569257376.7485855</v>
      </c>
    </row>
    <row r="695" spans="14:14">
      <c r="N695" s="3">
        <v>1604963894.9455471</v>
      </c>
    </row>
    <row r="696" spans="14:14">
      <c r="N696" s="3">
        <v>1761760175.7985888</v>
      </c>
    </row>
    <row r="697" spans="14:14">
      <c r="N697" s="3">
        <v>2493580557.1532578</v>
      </c>
    </row>
    <row r="698" spans="14:14">
      <c r="N698" s="3">
        <v>1057089475.666855</v>
      </c>
    </row>
    <row r="699" spans="14:14">
      <c r="N699" s="3">
        <v>5591942907.5571766</v>
      </c>
    </row>
    <row r="700" spans="14:14">
      <c r="N700" s="3">
        <v>1692783320.2023735</v>
      </c>
    </row>
    <row r="701" spans="14:14">
      <c r="N701" s="3">
        <v>2014668779.5140839</v>
      </c>
    </row>
    <row r="702" spans="14:14">
      <c r="N702" s="3">
        <v>2089389929.5919034</v>
      </c>
    </row>
    <row r="703" spans="14:14">
      <c r="N703" s="3">
        <v>3773833337.5214868</v>
      </c>
    </row>
    <row r="704" spans="14:14">
      <c r="N704" s="3">
        <v>1564413091.4550126</v>
      </c>
    </row>
    <row r="705" spans="14:14">
      <c r="N705" s="3">
        <v>1327278663.1032224</v>
      </c>
    </row>
    <row r="706" spans="14:14">
      <c r="N706" s="3">
        <v>2242410675.5962424</v>
      </c>
    </row>
    <row r="707" spans="14:14">
      <c r="N707" s="3">
        <v>1670506595.6722655</v>
      </c>
    </row>
    <row r="708" spans="14:14">
      <c r="N708" s="3">
        <v>961504365.51640594</v>
      </c>
    </row>
    <row r="709" spans="14:14">
      <c r="N709" s="3">
        <v>2271336030.3464565</v>
      </c>
    </row>
    <row r="710" spans="14:14">
      <c r="N710" s="3">
        <v>2477176095.1409287</v>
      </c>
    </row>
    <row r="711" spans="14:14">
      <c r="N711" s="3">
        <v>2582549970.4568219</v>
      </c>
    </row>
    <row r="712" spans="14:14">
      <c r="N712" s="3">
        <v>3091964480.3152285</v>
      </c>
    </row>
    <row r="713" spans="14:14">
      <c r="N713" s="3">
        <v>1586159363.277463</v>
      </c>
    </row>
    <row r="714" spans="14:14">
      <c r="N714" s="3">
        <v>5926471138.8411016</v>
      </c>
    </row>
    <row r="715" spans="14:14">
      <c r="N715" s="3">
        <v>2881089498.3686929</v>
      </c>
    </row>
    <row r="716" spans="14:14">
      <c r="N716" s="3">
        <v>1747447595.4786777</v>
      </c>
    </row>
    <row r="717" spans="14:14">
      <c r="N717" s="3">
        <v>3008676471.4253092</v>
      </c>
    </row>
    <row r="718" spans="14:14">
      <c r="N718" s="3">
        <v>2106756980.6792512</v>
      </c>
    </row>
    <row r="719" spans="14:14">
      <c r="N719" s="3">
        <v>960612171.9760884</v>
      </c>
    </row>
    <row r="720" spans="14:14">
      <c r="N720" s="3">
        <v>2080426730.0851207</v>
      </c>
    </row>
    <row r="721" spans="14:14">
      <c r="N721" s="3">
        <v>1752992553.9284739</v>
      </c>
    </row>
    <row r="722" spans="14:14">
      <c r="N722" s="3">
        <v>1328145810.6355481</v>
      </c>
    </row>
    <row r="723" spans="14:14">
      <c r="N723" s="3">
        <v>3478316343.2878714</v>
      </c>
    </row>
    <row r="724" spans="14:14">
      <c r="N724" s="3">
        <v>3014918116.3502483</v>
      </c>
    </row>
    <row r="725" spans="14:14">
      <c r="N725" s="3">
        <v>2456004500.5741715</v>
      </c>
    </row>
    <row r="726" spans="14:14">
      <c r="N726" s="3">
        <v>2651563378.4123511</v>
      </c>
    </row>
    <row r="727" spans="14:14">
      <c r="N727" s="3">
        <v>1002932972.3807342</v>
      </c>
    </row>
    <row r="728" spans="14:14">
      <c r="N728" s="3">
        <v>2168888610.0727797</v>
      </c>
    </row>
    <row r="729" spans="14:14">
      <c r="N729" s="3">
        <v>2104188885.3423424</v>
      </c>
    </row>
    <row r="730" spans="14:14">
      <c r="N730" s="3">
        <v>1718052533.8598864</v>
      </c>
    </row>
    <row r="731" spans="14:14">
      <c r="N731" s="3">
        <v>3039304540.4941206</v>
      </c>
    </row>
    <row r="732" spans="14:14">
      <c r="N732" s="3">
        <v>2106654742.3593054</v>
      </c>
    </row>
    <row r="733" spans="14:14">
      <c r="N733" s="3">
        <v>2536740323.9198985</v>
      </c>
    </row>
    <row r="734" spans="14:14">
      <c r="N734" s="3">
        <v>2826072431.9351463</v>
      </c>
    </row>
    <row r="735" spans="14:14">
      <c r="N735" s="3">
        <v>2090785559.6971397</v>
      </c>
    </row>
    <row r="736" spans="14:14">
      <c r="N736" s="3">
        <v>1702809966.8417306</v>
      </c>
    </row>
    <row r="737" spans="14:14">
      <c r="N737" s="3">
        <v>2257449868.1683893</v>
      </c>
    </row>
    <row r="738" spans="14:14">
      <c r="N738" s="3">
        <v>2539082231.4351597</v>
      </c>
    </row>
    <row r="739" spans="14:14">
      <c r="N739" s="3">
        <v>1768713353.1880171</v>
      </c>
    </row>
    <row r="740" spans="14:14">
      <c r="N740" s="3">
        <v>2078632495.5794721</v>
      </c>
    </row>
    <row r="741" spans="14:14">
      <c r="N741" s="3">
        <v>2615347012.264957</v>
      </c>
    </row>
    <row r="742" spans="14:14">
      <c r="N742" s="3">
        <v>1960252371.5272834</v>
      </c>
    </row>
    <row r="743" spans="14:14">
      <c r="N743" s="3">
        <v>2598808501.82617</v>
      </c>
    </row>
    <row r="744" spans="14:14">
      <c r="N744" s="3">
        <v>1295208217.745703</v>
      </c>
    </row>
    <row r="745" spans="14:14">
      <c r="N745" s="3">
        <v>2582572422.0440636</v>
      </c>
    </row>
    <row r="746" spans="14:14">
      <c r="N746" s="3">
        <v>2464898193.97506</v>
      </c>
    </row>
    <row r="747" spans="14:14">
      <c r="N747" s="3">
        <v>2051519275.9984732</v>
      </c>
    </row>
    <row r="748" spans="14:14">
      <c r="N748" s="3">
        <v>1479764621.6744013</v>
      </c>
    </row>
    <row r="749" spans="14:14">
      <c r="N749" s="3">
        <v>1389542614.9585619</v>
      </c>
    </row>
    <row r="750" spans="14:14">
      <c r="N750" s="3">
        <v>1399554617.2235396</v>
      </c>
    </row>
    <row r="751" spans="14:14">
      <c r="N751" s="3">
        <v>1629072482.0968714</v>
      </c>
    </row>
    <row r="752" spans="14:14">
      <c r="N752" s="3">
        <v>1736485442.6096845</v>
      </c>
    </row>
    <row r="753" spans="14:14">
      <c r="N753" s="3">
        <v>2151851080.0973802</v>
      </c>
    </row>
    <row r="754" spans="14:14">
      <c r="N754" s="3">
        <v>2390173607.056953</v>
      </c>
    </row>
    <row r="755" spans="14:14">
      <c r="N755" s="3">
        <v>2513955154.9616861</v>
      </c>
    </row>
    <row r="756" spans="14:14">
      <c r="N756" s="3">
        <v>1721914745.3448267</v>
      </c>
    </row>
    <row r="757" spans="14:14">
      <c r="N757" s="3">
        <v>2061976071.3776181</v>
      </c>
    </row>
    <row r="758" spans="14:14">
      <c r="N758" s="3">
        <v>3213710846.8937516</v>
      </c>
    </row>
    <row r="759" spans="14:14">
      <c r="N759" s="3">
        <v>2203479669.9531465</v>
      </c>
    </row>
    <row r="760" spans="14:14">
      <c r="N760" s="3">
        <v>1609850496.879992</v>
      </c>
    </row>
    <row r="761" spans="14:14">
      <c r="N761" s="3">
        <v>1462489271.9527404</v>
      </c>
    </row>
    <row r="762" spans="14:14">
      <c r="N762" s="3">
        <v>1701506174.2836261</v>
      </c>
    </row>
    <row r="763" spans="14:14">
      <c r="N763" s="3">
        <v>2240322119.8996954</v>
      </c>
    </row>
    <row r="764" spans="14:14">
      <c r="N764" s="3">
        <v>3702644623.588295</v>
      </c>
    </row>
    <row r="765" spans="14:14">
      <c r="N765" s="3">
        <v>1303360742.2225776</v>
      </c>
    </row>
    <row r="766" spans="14:14">
      <c r="N766" s="3">
        <v>2226972804.0468745</v>
      </c>
    </row>
    <row r="767" spans="14:14">
      <c r="N767" s="3">
        <v>2025661432.263567</v>
      </c>
    </row>
    <row r="768" spans="14:14">
      <c r="N768" s="3">
        <v>1544213487.7373157</v>
      </c>
    </row>
    <row r="769" spans="14:14">
      <c r="N769" s="3">
        <v>3373743009.7988153</v>
      </c>
    </row>
    <row r="770" spans="14:14">
      <c r="N770" s="3">
        <v>1824608849.9724751</v>
      </c>
    </row>
    <row r="771" spans="14:14">
      <c r="N771" s="3">
        <v>2911093776.9389782</v>
      </c>
    </row>
    <row r="772" spans="14:14">
      <c r="N772" s="3">
        <v>2524657784.3460279</v>
      </c>
    </row>
    <row r="773" spans="14:14">
      <c r="N773" s="3">
        <v>1498131420.87167</v>
      </c>
    </row>
    <row r="774" spans="14:14">
      <c r="N774" s="3">
        <v>1424148701.2147028</v>
      </c>
    </row>
    <row r="775" spans="14:14">
      <c r="N775" s="3">
        <v>2811947806.1214809</v>
      </c>
    </row>
    <row r="776" spans="14:14">
      <c r="N776" s="3">
        <v>2021368051.1776044</v>
      </c>
    </row>
    <row r="777" spans="14:14">
      <c r="N777" s="3">
        <v>1072521169.4129823</v>
      </c>
    </row>
    <row r="778" spans="14:14">
      <c r="N778" s="3">
        <v>2455098842.7753057</v>
      </c>
    </row>
    <row r="779" spans="14:14">
      <c r="N779" s="3">
        <v>736244872.93295002</v>
      </c>
    </row>
    <row r="780" spans="14:14">
      <c r="N780" s="3">
        <v>2149979973.7244349</v>
      </c>
    </row>
    <row r="781" spans="14:14">
      <c r="N781" s="3">
        <v>1357297072.5054445</v>
      </c>
    </row>
    <row r="782" spans="14:14">
      <c r="N782" s="3">
        <v>2702402102.4724483</v>
      </c>
    </row>
    <row r="783" spans="14:14">
      <c r="N783" s="3">
        <v>2104464401.9275136</v>
      </c>
    </row>
    <row r="784" spans="14:14">
      <c r="N784" s="3">
        <v>3397023959.5398211</v>
      </c>
    </row>
    <row r="785" spans="14:14">
      <c r="N785" s="3">
        <v>2141351493.1786094</v>
      </c>
    </row>
    <row r="786" spans="14:14">
      <c r="N786" s="3">
        <v>2194990205.3372822</v>
      </c>
    </row>
    <row r="787" spans="14:14">
      <c r="N787" s="3">
        <v>2041796051.5521476</v>
      </c>
    </row>
    <row r="788" spans="14:14">
      <c r="N788" s="3">
        <v>1437465527.9669485</v>
      </c>
    </row>
    <row r="789" spans="14:14">
      <c r="N789" s="3">
        <v>2727684739.1316533</v>
      </c>
    </row>
    <row r="790" spans="14:14">
      <c r="N790" s="3">
        <v>2439784489.8896556</v>
      </c>
    </row>
    <row r="791" spans="14:14">
      <c r="N791" s="3">
        <v>2108417914.68031</v>
      </c>
    </row>
    <row r="792" spans="14:14">
      <c r="N792" s="3">
        <v>3233864636.9405613</v>
      </c>
    </row>
    <row r="793" spans="14:14">
      <c r="N793" s="3">
        <v>3048550748.9132891</v>
      </c>
    </row>
    <row r="794" spans="14:14">
      <c r="N794" s="3">
        <v>1898631577.8452134</v>
      </c>
    </row>
    <row r="795" spans="14:14">
      <c r="N795" s="3">
        <v>3222972707.9754362</v>
      </c>
    </row>
    <row r="796" spans="14:14">
      <c r="N796" s="3">
        <v>3287228066.8051128</v>
      </c>
    </row>
    <row r="797" spans="14:14">
      <c r="N797" s="3">
        <v>2342762660.7481003</v>
      </c>
    </row>
    <row r="798" spans="14:14">
      <c r="N798" s="3">
        <v>1880268461.7690086</v>
      </c>
    </row>
    <row r="799" spans="14:14">
      <c r="N799" s="3">
        <v>2974437403.69908</v>
      </c>
    </row>
    <row r="800" spans="14:14">
      <c r="N800" s="3">
        <v>1478132668.0723107</v>
      </c>
    </row>
    <row r="801" spans="14:14">
      <c r="N801" s="3">
        <v>1954767073.2439296</v>
      </c>
    </row>
    <row r="802" spans="14:14">
      <c r="N802" s="3">
        <v>4701516322.7108021</v>
      </c>
    </row>
    <row r="803" spans="14:14">
      <c r="N803" s="3">
        <v>2950123579.8762865</v>
      </c>
    </row>
    <row r="804" spans="14:14">
      <c r="N804" s="3">
        <v>1783923099.9611077</v>
      </c>
    </row>
    <row r="805" spans="14:14">
      <c r="N805" s="3">
        <v>1609818236.1505704</v>
      </c>
    </row>
    <row r="806" spans="14:14">
      <c r="N806" s="3">
        <v>1826275522.3776634</v>
      </c>
    </row>
    <row r="807" spans="14:14">
      <c r="N807" s="3">
        <v>1680429667.1555204</v>
      </c>
    </row>
    <row r="808" spans="14:14">
      <c r="N808" s="3">
        <v>2173828802.9871383</v>
      </c>
    </row>
    <row r="809" spans="14:14">
      <c r="N809" s="3">
        <v>2028439789.28461</v>
      </c>
    </row>
    <row r="810" spans="14:14">
      <c r="N810" s="3">
        <v>1970551778.816457</v>
      </c>
    </row>
    <row r="811" spans="14:14">
      <c r="N811" s="3">
        <v>1426791843.5967045</v>
      </c>
    </row>
    <row r="812" spans="14:14">
      <c r="N812" s="3">
        <v>1773687840.4560354</v>
      </c>
    </row>
    <row r="813" spans="14:14">
      <c r="N813" s="3">
        <v>3855498380.3923388</v>
      </c>
    </row>
    <row r="814" spans="14:14">
      <c r="N814" s="3">
        <v>2566478937.9575186</v>
      </c>
    </row>
    <row r="815" spans="14:14">
      <c r="N815" s="3">
        <v>1395254475.9887812</v>
      </c>
    </row>
    <row r="816" spans="14:14">
      <c r="N816" s="3">
        <v>2043332258.4474657</v>
      </c>
    </row>
    <row r="817" spans="14:14">
      <c r="N817" s="3">
        <v>3033269467.0838742</v>
      </c>
    </row>
    <row r="818" spans="14:14">
      <c r="N818" s="3">
        <v>2264301279.0456862</v>
      </c>
    </row>
    <row r="819" spans="14:14">
      <c r="N819" s="3">
        <v>1849631421.4986851</v>
      </c>
    </row>
    <row r="820" spans="14:14">
      <c r="N820" s="3">
        <v>2251386954.2412801</v>
      </c>
    </row>
    <row r="821" spans="14:14">
      <c r="N821" s="3">
        <v>1843740577.3228228</v>
      </c>
    </row>
    <row r="822" spans="14:14">
      <c r="N822" s="3">
        <v>3496617880.5169096</v>
      </c>
    </row>
    <row r="823" spans="14:14">
      <c r="N823" s="3">
        <v>2228407027.5992908</v>
      </c>
    </row>
    <row r="824" spans="14:14">
      <c r="N824" s="3">
        <v>1874029107.749481</v>
      </c>
    </row>
    <row r="825" spans="14:14">
      <c r="N825" s="3">
        <v>4294783666.7212348</v>
      </c>
    </row>
    <row r="826" spans="14:14">
      <c r="N826" s="3">
        <v>1719630027.2454453</v>
      </c>
    </row>
    <row r="827" spans="14:14">
      <c r="N827" s="3">
        <v>1458035752.7212465</v>
      </c>
    </row>
    <row r="828" spans="14:14">
      <c r="N828" s="3">
        <v>1803629316.9187381</v>
      </c>
    </row>
    <row r="829" spans="14:14">
      <c r="N829" s="3">
        <v>2136008132.6963675</v>
      </c>
    </row>
    <row r="830" spans="14:14">
      <c r="N830" s="3">
        <v>1313034544.9936159</v>
      </c>
    </row>
    <row r="831" spans="14:14">
      <c r="N831" s="3">
        <v>1718135478.1630504</v>
      </c>
    </row>
    <row r="832" spans="14:14">
      <c r="N832" s="3">
        <v>1544256216.092659</v>
      </c>
    </row>
    <row r="833" spans="14:14">
      <c r="N833" s="3">
        <v>881220970.61495793</v>
      </c>
    </row>
    <row r="834" spans="14:14">
      <c r="N834" s="3">
        <v>1506160325.1158826</v>
      </c>
    </row>
    <row r="835" spans="14:14">
      <c r="N835" s="3">
        <v>2043071554.5336356</v>
      </c>
    </row>
    <row r="836" spans="14:14">
      <c r="N836" s="3">
        <v>1507544560.000838</v>
      </c>
    </row>
    <row r="837" spans="14:14">
      <c r="N837" s="3">
        <v>3478339470.2141013</v>
      </c>
    </row>
    <row r="838" spans="14:14">
      <c r="N838" s="3">
        <v>1732412114.5532663</v>
      </c>
    </row>
    <row r="839" spans="14:14">
      <c r="N839" s="3">
        <v>2941645325.4143071</v>
      </c>
    </row>
    <row r="840" spans="14:14">
      <c r="N840" s="3">
        <v>1000770353.2222439</v>
      </c>
    </row>
    <row r="841" spans="14:14">
      <c r="N841" s="3">
        <v>1674629496.5800016</v>
      </c>
    </row>
    <row r="842" spans="14:14">
      <c r="N842" s="3">
        <v>903533833.47864926</v>
      </c>
    </row>
    <row r="843" spans="14:14">
      <c r="N843" s="3">
        <v>1112070788.3064663</v>
      </c>
    </row>
    <row r="844" spans="14:14">
      <c r="N844" s="3">
        <v>3153400639.4038401</v>
      </c>
    </row>
    <row r="845" spans="14:14">
      <c r="N845" s="3">
        <v>1634785541.1754212</v>
      </c>
    </row>
    <row r="846" spans="14:14">
      <c r="N846" s="3">
        <v>2598968903.0424643</v>
      </c>
    </row>
    <row r="847" spans="14:14">
      <c r="N847" s="3">
        <v>2258844841.7284222</v>
      </c>
    </row>
    <row r="848" spans="14:14">
      <c r="N848" s="3">
        <v>2336307427.2485557</v>
      </c>
    </row>
    <row r="849" spans="14:14">
      <c r="N849" s="3">
        <v>3851037889.87604</v>
      </c>
    </row>
    <row r="850" spans="14:14">
      <c r="N850" s="3">
        <v>3418540321.5414906</v>
      </c>
    </row>
    <row r="851" spans="14:14">
      <c r="N851" s="3">
        <v>2822237306.0139856</v>
      </c>
    </row>
    <row r="852" spans="14:14">
      <c r="N852" s="3">
        <v>2924333324.9430542</v>
      </c>
    </row>
    <row r="853" spans="14:14">
      <c r="N853" s="3">
        <v>2641264965.127193</v>
      </c>
    </row>
    <row r="854" spans="14:14">
      <c r="N854" s="3">
        <v>2607156310.9753342</v>
      </c>
    </row>
    <row r="855" spans="14:14">
      <c r="N855" s="3">
        <v>1812439976.1186028</v>
      </c>
    </row>
    <row r="856" spans="14:14">
      <c r="N856" s="3">
        <v>2036346701.9657831</v>
      </c>
    </row>
    <row r="857" spans="14:14">
      <c r="N857" s="3">
        <v>1864237348.1885741</v>
      </c>
    </row>
    <row r="858" spans="14:14">
      <c r="N858" s="3">
        <v>2187491912.1772146</v>
      </c>
    </row>
    <row r="859" spans="14:14">
      <c r="N859" s="3">
        <v>1638716827.6403675</v>
      </c>
    </row>
    <row r="860" spans="14:14">
      <c r="N860" s="3">
        <v>1626918759.2430222</v>
      </c>
    </row>
    <row r="861" spans="14:14">
      <c r="N861" s="3">
        <v>1490122221.0517964</v>
      </c>
    </row>
    <row r="862" spans="14:14">
      <c r="N862" s="3">
        <v>1573312411.0721829</v>
      </c>
    </row>
    <row r="863" spans="14:14">
      <c r="N863" s="3">
        <v>3107834957.759798</v>
      </c>
    </row>
    <row r="864" spans="14:14">
      <c r="N864" s="3">
        <v>2566521415.0914826</v>
      </c>
    </row>
    <row r="865" spans="14:14">
      <c r="N865" s="3">
        <v>2383237289.6492958</v>
      </c>
    </row>
    <row r="866" spans="14:14">
      <c r="N866" s="3">
        <v>2627072275.7742219</v>
      </c>
    </row>
    <row r="867" spans="14:14">
      <c r="N867" s="3">
        <v>2902708896.0994229</v>
      </c>
    </row>
    <row r="868" spans="14:14">
      <c r="N868" s="3">
        <v>2074803846.9055457</v>
      </c>
    </row>
    <row r="869" spans="14:14">
      <c r="N869" s="3">
        <v>1462963547.6811368</v>
      </c>
    </row>
    <row r="870" spans="14:14">
      <c r="N870" s="3">
        <v>1579174315.2162812</v>
      </c>
    </row>
    <row r="871" spans="14:14">
      <c r="N871" s="3">
        <v>2788283937.4008965</v>
      </c>
    </row>
    <row r="872" spans="14:14">
      <c r="N872" s="3">
        <v>1776286292.7586865</v>
      </c>
    </row>
    <row r="873" spans="14:14">
      <c r="N873" s="3">
        <v>1567784590.4754503</v>
      </c>
    </row>
    <row r="874" spans="14:14">
      <c r="N874" s="3">
        <v>4703562090.2155132</v>
      </c>
    </row>
    <row r="875" spans="14:14">
      <c r="N875" s="3">
        <v>1684769359.8429165</v>
      </c>
    </row>
    <row r="876" spans="14:14">
      <c r="N876" s="3">
        <v>2150699691.8295174</v>
      </c>
    </row>
    <row r="877" spans="14:14">
      <c r="N877" s="3">
        <v>1729951467.4802935</v>
      </c>
    </row>
    <row r="878" spans="14:14">
      <c r="N878" s="3">
        <v>1979544408.3780174</v>
      </c>
    </row>
    <row r="879" spans="14:14">
      <c r="N879" s="3">
        <v>3964420798.3258796</v>
      </c>
    </row>
    <row r="880" spans="14:14">
      <c r="N880" s="3">
        <v>1709924115.8724353</v>
      </c>
    </row>
    <row r="881" spans="14:14">
      <c r="N881" s="3">
        <v>1758250936.2050257</v>
      </c>
    </row>
    <row r="882" spans="14:14">
      <c r="N882" s="3">
        <v>2265250631.2968473</v>
      </c>
    </row>
    <row r="883" spans="14:14">
      <c r="N883" s="3">
        <v>2319690765.9489317</v>
      </c>
    </row>
    <row r="884" spans="14:14">
      <c r="N884" s="3">
        <v>1649637756.6732209</v>
      </c>
    </row>
    <row r="885" spans="14:14">
      <c r="N885" s="3">
        <v>2243459748.2679791</v>
      </c>
    </row>
    <row r="886" spans="14:14">
      <c r="N886" s="3">
        <v>1926987230.9112589</v>
      </c>
    </row>
    <row r="887" spans="14:14">
      <c r="N887" s="3">
        <v>905499109.31722951</v>
      </c>
    </row>
    <row r="888" spans="14:14">
      <c r="N888" s="3">
        <v>3070901527.2549686</v>
      </c>
    </row>
    <row r="889" spans="14:14">
      <c r="N889" s="3">
        <v>1614261885.9994504</v>
      </c>
    </row>
    <row r="890" spans="14:14">
      <c r="N890" s="3">
        <v>1837176556.5519798</v>
      </c>
    </row>
    <row r="891" spans="14:14">
      <c r="N891" s="3">
        <v>2362110508.4897022</v>
      </c>
    </row>
    <row r="892" spans="14:14">
      <c r="N892" s="3">
        <v>1716946490.0670552</v>
      </c>
    </row>
    <row r="893" spans="14:14">
      <c r="N893" s="3">
        <v>2963822870.6550808</v>
      </c>
    </row>
    <row r="894" spans="14:14">
      <c r="N894" s="3">
        <v>2178430222.2363925</v>
      </c>
    </row>
    <row r="895" spans="14:14">
      <c r="N895" s="3">
        <v>3500208112.5414653</v>
      </c>
    </row>
    <row r="896" spans="14:14">
      <c r="N896" s="3">
        <v>3264851921.3533797</v>
      </c>
    </row>
    <row r="897" spans="14:14">
      <c r="N897" s="3">
        <v>1381822296.5341854</v>
      </c>
    </row>
    <row r="898" spans="14:14">
      <c r="N898" s="3">
        <v>1708056256.8843288</v>
      </c>
    </row>
    <row r="899" spans="14:14">
      <c r="N899" s="3">
        <v>2960364953.2535658</v>
      </c>
    </row>
    <row r="900" spans="14:14">
      <c r="N900" s="3">
        <v>1541773584.3202364</v>
      </c>
    </row>
    <row r="901" spans="14:14">
      <c r="N901" s="3">
        <v>1380896113.6039677</v>
      </c>
    </row>
    <row r="902" spans="14:14">
      <c r="N902" s="3">
        <v>1524668121.3862753</v>
      </c>
    </row>
    <row r="903" spans="14:14">
      <c r="N903" s="3">
        <v>2511556948.7362738</v>
      </c>
    </row>
    <row r="904" spans="14:14">
      <c r="N904" s="3">
        <v>2850628756.3448033</v>
      </c>
    </row>
    <row r="905" spans="14:14">
      <c r="N905" s="3">
        <v>1653598207.3547525</v>
      </c>
    </row>
    <row r="906" spans="14:14">
      <c r="N906" s="3">
        <v>2103919734.4229932</v>
      </c>
    </row>
    <row r="907" spans="14:14">
      <c r="N907" s="3">
        <v>1223852848.4865956</v>
      </c>
    </row>
    <row r="908" spans="14:14">
      <c r="N908" s="3">
        <v>1849164400.0291214</v>
      </c>
    </row>
    <row r="909" spans="14:14">
      <c r="N909" s="3">
        <v>1739351764.2555323</v>
      </c>
    </row>
    <row r="910" spans="14:14">
      <c r="N910" s="3">
        <v>4314279097.1241617</v>
      </c>
    </row>
    <row r="911" spans="14:14">
      <c r="N911" s="3">
        <v>2074086772.9115937</v>
      </c>
    </row>
    <row r="912" spans="14:14">
      <c r="N912" s="3">
        <v>1406064657.1523299</v>
      </c>
    </row>
    <row r="913" spans="14:14">
      <c r="N913" s="3">
        <v>1637510843.4530258</v>
      </c>
    </row>
    <row r="914" spans="14:14">
      <c r="N914" s="3">
        <v>2048234027.4253173</v>
      </c>
    </row>
    <row r="915" spans="14:14">
      <c r="N915" s="3">
        <v>3864860532.9998174</v>
      </c>
    </row>
    <row r="916" spans="14:14">
      <c r="N916" s="3">
        <v>3846613976.9082246</v>
      </c>
    </row>
    <row r="917" spans="14:14">
      <c r="N917" s="3">
        <v>2025644117.2786658</v>
      </c>
    </row>
    <row r="918" spans="14:14">
      <c r="N918" s="3">
        <v>2778153227.0118361</v>
      </c>
    </row>
    <row r="919" spans="14:14">
      <c r="N919" s="3">
        <v>1852473375.3894637</v>
      </c>
    </row>
    <row r="920" spans="14:14">
      <c r="N920" s="3">
        <v>1486532046.3296478</v>
      </c>
    </row>
    <row r="921" spans="14:14">
      <c r="N921" s="3">
        <v>1756277913.5901296</v>
      </c>
    </row>
    <row r="922" spans="14:14">
      <c r="N922" s="3">
        <v>3709636622.7743239</v>
      </c>
    </row>
    <row r="923" spans="14:14">
      <c r="N923" s="3">
        <v>1640900326.7729318</v>
      </c>
    </row>
    <row r="924" spans="14:14">
      <c r="N924" s="3">
        <v>1381036114.0848999</v>
      </c>
    </row>
    <row r="925" spans="14:14">
      <c r="N925" s="3">
        <v>1949000566.1092627</v>
      </c>
    </row>
    <row r="926" spans="14:14">
      <c r="N926" s="3">
        <v>1631672110.889148</v>
      </c>
    </row>
    <row r="927" spans="14:14">
      <c r="N927" s="3">
        <v>2508410533.8428268</v>
      </c>
    </row>
    <row r="928" spans="14:14">
      <c r="N928" s="3">
        <v>1457113897.9946921</v>
      </c>
    </row>
    <row r="929" spans="14:14">
      <c r="N929" s="3">
        <v>2308463823.1759329</v>
      </c>
    </row>
    <row r="930" spans="14:14">
      <c r="N930" s="3">
        <v>1000033563.9444308</v>
      </c>
    </row>
    <row r="931" spans="14:14">
      <c r="N931" s="3">
        <v>1645617785.0990403</v>
      </c>
    </row>
    <row r="932" spans="14:14">
      <c r="N932" s="3">
        <v>1865609245.7620368</v>
      </c>
    </row>
    <row r="933" spans="14:14">
      <c r="N933" s="3">
        <v>3759390515.260581</v>
      </c>
    </row>
    <row r="934" spans="14:14">
      <c r="N934" s="3">
        <v>1588853981.5077155</v>
      </c>
    </row>
    <row r="935" spans="14:14">
      <c r="N935" s="3">
        <v>2084580208.8169277</v>
      </c>
    </row>
    <row r="936" spans="14:14">
      <c r="N936" s="3">
        <v>2170542104.9307084</v>
      </c>
    </row>
    <row r="937" spans="14:14">
      <c r="N937" s="3">
        <v>776042658.3641988</v>
      </c>
    </row>
    <row r="938" spans="14:14">
      <c r="N938" s="3">
        <v>1662268061.1381943</v>
      </c>
    </row>
    <row r="939" spans="14:14">
      <c r="N939" s="3">
        <v>2367340913.0021815</v>
      </c>
    </row>
    <row r="940" spans="14:14">
      <c r="N940" s="3">
        <v>875974308.75406909</v>
      </c>
    </row>
    <row r="941" spans="14:14">
      <c r="N941" s="3">
        <v>1909011902.9282591</v>
      </c>
    </row>
    <row r="942" spans="14:14">
      <c r="N942" s="3">
        <v>1244159623.5127516</v>
      </c>
    </row>
    <row r="943" spans="14:14">
      <c r="N943" s="3">
        <v>1361608864.5941336</v>
      </c>
    </row>
    <row r="944" spans="14:14">
      <c r="N944" s="3">
        <v>912110109.74994564</v>
      </c>
    </row>
    <row r="945" spans="14:14">
      <c r="N945" s="3">
        <v>3637559852.9615011</v>
      </c>
    </row>
    <row r="946" spans="14:14">
      <c r="N946" s="3">
        <v>1595184674.2882566</v>
      </c>
    </row>
    <row r="947" spans="14:14">
      <c r="N947" s="3">
        <v>1220154111.2299592</v>
      </c>
    </row>
    <row r="948" spans="14:14">
      <c r="N948" s="3">
        <v>2846465747.5080471</v>
      </c>
    </row>
    <row r="949" spans="14:14">
      <c r="N949" s="3">
        <v>3116263297.8836293</v>
      </c>
    </row>
    <row r="950" spans="14:14">
      <c r="N950" s="3">
        <v>2908446348.0226002</v>
      </c>
    </row>
    <row r="951" spans="14:14">
      <c r="N951" s="3">
        <v>1096108380.223232</v>
      </c>
    </row>
    <row r="952" spans="14:14">
      <c r="N952" s="3">
        <v>1396674203.7449019</v>
      </c>
    </row>
    <row r="953" spans="14:14">
      <c r="N953" s="3">
        <v>4181413807.763761</v>
      </c>
    </row>
    <row r="954" spans="14:14">
      <c r="N954" s="3">
        <v>2545592120.4228444</v>
      </c>
    </row>
    <row r="955" spans="14:14">
      <c r="N955" s="3">
        <v>2095414241.2892516</v>
      </c>
    </row>
    <row r="956" spans="14:14">
      <c r="N956" s="3">
        <v>1326061359.3700466</v>
      </c>
    </row>
    <row r="957" spans="14:14">
      <c r="N957" s="3">
        <v>3235336364.5543656</v>
      </c>
    </row>
    <row r="958" spans="14:14">
      <c r="N958" s="3">
        <v>2407493607.9006691</v>
      </c>
    </row>
    <row r="959" spans="14:14">
      <c r="N959" s="3">
        <v>2809004438.5901518</v>
      </c>
    </row>
    <row r="960" spans="14:14">
      <c r="N960" s="3">
        <v>2362025220.0596523</v>
      </c>
    </row>
    <row r="961" spans="14:14">
      <c r="N961" s="3">
        <v>1293613422.419142</v>
      </c>
    </row>
    <row r="962" spans="14:14">
      <c r="N962" s="3">
        <v>2233394693.3578453</v>
      </c>
    </row>
    <row r="963" spans="14:14">
      <c r="N963" s="3">
        <v>1054392822.8843169</v>
      </c>
    </row>
    <row r="964" spans="14:14">
      <c r="N964" s="3">
        <v>4649360339.836113</v>
      </c>
    </row>
    <row r="965" spans="14:14">
      <c r="N965" s="3">
        <v>1987273787.2250884</v>
      </c>
    </row>
    <row r="966" spans="14:14">
      <c r="N966" s="3">
        <v>1464249062.2443254</v>
      </c>
    </row>
    <row r="967" spans="14:14">
      <c r="N967" s="3">
        <v>1845567428.6992283</v>
      </c>
    </row>
    <row r="968" spans="14:14">
      <c r="N968" s="3">
        <v>694373631.52576208</v>
      </c>
    </row>
    <row r="969" spans="14:14">
      <c r="N969" s="3">
        <v>948118006.27622759</v>
      </c>
    </row>
    <row r="970" spans="14:14">
      <c r="N970" s="3">
        <v>2284100869.7052889</v>
      </c>
    </row>
    <row r="971" spans="14:14">
      <c r="N971" s="3">
        <v>2734399706.168262</v>
      </c>
    </row>
    <row r="972" spans="14:14">
      <c r="N972" s="3">
        <v>1470061613.6901529</v>
      </c>
    </row>
    <row r="973" spans="14:14">
      <c r="N973" s="3">
        <v>994862079.8485508</v>
      </c>
    </row>
    <row r="974" spans="14:14">
      <c r="N974" s="3">
        <v>2143986835.2775533</v>
      </c>
    </row>
    <row r="975" spans="14:14">
      <c r="N975" s="3">
        <v>1706301471.2675903</v>
      </c>
    </row>
    <row r="976" spans="14:14">
      <c r="N976" s="3">
        <v>2140605996.4756782</v>
      </c>
    </row>
    <row r="977" spans="14:14">
      <c r="N977" s="3">
        <v>3637053286.2953019</v>
      </c>
    </row>
    <row r="978" spans="14:14">
      <c r="N978" s="3">
        <v>1930507737.4675827</v>
      </c>
    </row>
    <row r="979" spans="14:14">
      <c r="N979" s="3">
        <v>4003709772.4111128</v>
      </c>
    </row>
    <row r="980" spans="14:14">
      <c r="N980" s="3">
        <v>2527355625.8949823</v>
      </c>
    </row>
    <row r="981" spans="14:14">
      <c r="N981" s="3">
        <v>3611945552.1599116</v>
      </c>
    </row>
    <row r="982" spans="14:14">
      <c r="N982" s="3">
        <v>1446985127.8389251</v>
      </c>
    </row>
    <row r="983" spans="14:14">
      <c r="N983" s="3">
        <v>1178605784.2027173</v>
      </c>
    </row>
    <row r="984" spans="14:14">
      <c r="N984" s="3">
        <v>1579809194.2742283</v>
      </c>
    </row>
    <row r="985" spans="14:14">
      <c r="N985" s="3">
        <v>3922049288.460228</v>
      </c>
    </row>
    <row r="986" spans="14:14">
      <c r="N986" s="3">
        <v>2127124376.9500449</v>
      </c>
    </row>
    <row r="987" spans="14:14">
      <c r="N987" s="3">
        <v>1515585055.1123061</v>
      </c>
    </row>
    <row r="988" spans="14:14">
      <c r="N988" s="3">
        <v>1827306064.2914267</v>
      </c>
    </row>
    <row r="989" spans="14:14">
      <c r="N989" s="3">
        <v>3500437646.6972351</v>
      </c>
    </row>
    <row r="990" spans="14:14">
      <c r="N990" s="3">
        <v>2563494215.1781082</v>
      </c>
    </row>
    <row r="991" spans="14:14">
      <c r="N991" s="3">
        <v>1023597028.0709546</v>
      </c>
    </row>
    <row r="992" spans="14:14">
      <c r="N992" s="3">
        <v>1602085483.2428639</v>
      </c>
    </row>
    <row r="993" spans="14:14">
      <c r="N993" s="3">
        <v>3305110332.2127299</v>
      </c>
    </row>
    <row r="994" spans="14:14">
      <c r="N994" s="3">
        <v>1254613950.4762926</v>
      </c>
    </row>
    <row r="995" spans="14:14">
      <c r="N995" s="3">
        <v>4003343815.0255237</v>
      </c>
    </row>
    <row r="996" spans="14:14">
      <c r="N996" s="3">
        <v>1820863841.5713973</v>
      </c>
    </row>
    <row r="997" spans="14:14">
      <c r="N997" s="3">
        <v>1638477910.869662</v>
      </c>
    </row>
    <row r="998" spans="14:14">
      <c r="N998" s="3">
        <v>2685349024.8913684</v>
      </c>
    </row>
    <row r="999" spans="14:14">
      <c r="N999" s="3">
        <v>4645274496.5199413</v>
      </c>
    </row>
    <row r="1000" spans="14:14">
      <c r="N1000" s="3">
        <v>1222446961.8262043</v>
      </c>
    </row>
    <row r="1001" spans="14:14">
      <c r="N1001" s="3">
        <v>2830878039.8399158</v>
      </c>
    </row>
    <row r="1002" spans="14:14">
      <c r="N1002" s="3">
        <v>1759042427.9240592</v>
      </c>
    </row>
    <row r="1003" spans="14:14">
      <c r="N1003" s="3">
        <v>1693047923.7522206</v>
      </c>
    </row>
    <row r="1004" spans="14:14">
      <c r="N1004" s="3">
        <v>893895847.75671673</v>
      </c>
    </row>
    <row r="1005" spans="14:14">
      <c r="N1005" s="3">
        <v>1984643327.1984339</v>
      </c>
    </row>
    <row r="1006" spans="14:14">
      <c r="N1006" s="3">
        <v>2246827782.402411</v>
      </c>
    </row>
    <row r="1007" spans="14:14">
      <c r="N1007" s="3">
        <v>1986504834.992209</v>
      </c>
    </row>
    <row r="1008" spans="14:14">
      <c r="N1008" s="3">
        <v>2172565912.7507825</v>
      </c>
    </row>
    <row r="1009" spans="14:14">
      <c r="N1009" s="3">
        <v>1555283304.3431988</v>
      </c>
    </row>
    <row r="1010" spans="14:14">
      <c r="N1010" s="3">
        <v>1263735289.3425267</v>
      </c>
    </row>
    <row r="1011" spans="14:14">
      <c r="N1011" s="3">
        <v>2390040207.1215158</v>
      </c>
    </row>
    <row r="1012" spans="14:14">
      <c r="N1012" s="3">
        <v>2089716572.6945493</v>
      </c>
    </row>
    <row r="1013" spans="14:14">
      <c r="N1013" s="3">
        <v>3857231012.9802432</v>
      </c>
    </row>
    <row r="1014" spans="14:14">
      <c r="N1014" s="3">
        <v>1948212388.7007689</v>
      </c>
    </row>
    <row r="1015" spans="14:14">
      <c r="N1015" s="3">
        <v>1935781931.7472453</v>
      </c>
    </row>
    <row r="1016" spans="14:14">
      <c r="N1016" s="3">
        <v>1813144549.9603941</v>
      </c>
    </row>
    <row r="1017" spans="14:14">
      <c r="N1017" s="3">
        <v>1027937367.6467226</v>
      </c>
    </row>
    <row r="1018" spans="14:14">
      <c r="N1018" s="3">
        <v>1877447279.5979958</v>
      </c>
    </row>
    <row r="1019" spans="14:14">
      <c r="N1019" s="3">
        <v>2021556292.386246</v>
      </c>
    </row>
    <row r="1020" spans="14:14">
      <c r="N1020" s="3">
        <v>1735965275.7529156</v>
      </c>
    </row>
    <row r="1021" spans="14:14">
      <c r="N1021" s="3">
        <v>2314710465.4620924</v>
      </c>
    </row>
    <row r="1022" spans="14:14">
      <c r="N1022" s="3">
        <v>2532294885.8499212</v>
      </c>
    </row>
    <row r="1023" spans="14:14">
      <c r="N1023" s="3">
        <v>2196950303.397584</v>
      </c>
    </row>
    <row r="1024" spans="14:14">
      <c r="N1024" s="3">
        <v>1486821330.347687</v>
      </c>
    </row>
    <row r="1025" spans="14:14">
      <c r="N1025" s="3">
        <v>1598433253.6120782</v>
      </c>
    </row>
    <row r="1026" spans="14:14">
      <c r="N1026" s="3">
        <v>1857173146.3049383</v>
      </c>
    </row>
    <row r="1027" spans="14:14">
      <c r="N1027" s="3">
        <v>2052649764.8958693</v>
      </c>
    </row>
    <row r="1028" spans="14:14">
      <c r="N1028" s="3">
        <v>1292614754.0256166</v>
      </c>
    </row>
    <row r="1029" spans="14:14">
      <c r="N1029" s="3">
        <v>1678479226.1652963</v>
      </c>
    </row>
    <row r="1030" spans="14:14">
      <c r="N1030" s="3">
        <v>2788453174.3738036</v>
      </c>
    </row>
    <row r="1031" spans="14:14">
      <c r="N1031" s="3">
        <v>2799739281.2596927</v>
      </c>
    </row>
    <row r="1032" spans="14:14">
      <c r="N1032" s="3">
        <v>1391011999.3970115</v>
      </c>
    </row>
    <row r="1033" spans="14:14">
      <c r="N1033" s="3">
        <v>2598071393.0430365</v>
      </c>
    </row>
    <row r="1034" spans="14:14">
      <c r="N1034" s="3">
        <v>2671021022.108077</v>
      </c>
    </row>
    <row r="1035" spans="14:14">
      <c r="N1035" s="3">
        <v>3085491475.0321598</v>
      </c>
    </row>
    <row r="1036" spans="14:14">
      <c r="N1036" s="3">
        <v>2475776101.2469454</v>
      </c>
    </row>
    <row r="1037" spans="14:14">
      <c r="N1037" s="3">
        <v>2305723810.6160803</v>
      </c>
    </row>
    <row r="1038" spans="14:14">
      <c r="N1038" s="3">
        <v>2502966793.5983305</v>
      </c>
    </row>
    <row r="1039" spans="14:14">
      <c r="N1039" s="3">
        <v>1884471750.9430814</v>
      </c>
    </row>
    <row r="1040" spans="14:14">
      <c r="N1040" s="3">
        <v>2286299375.4887366</v>
      </c>
    </row>
    <row r="1041" spans="14:14">
      <c r="N1041" s="3">
        <v>1538544811.0891945</v>
      </c>
    </row>
    <row r="1042" spans="14:14">
      <c r="N1042" s="3">
        <v>2276485417.5694785</v>
      </c>
    </row>
    <row r="1043" spans="14:14">
      <c r="N1043" s="3">
        <v>1751204944.0539865</v>
      </c>
    </row>
    <row r="1044" spans="14:14">
      <c r="N1044" s="3">
        <v>2457105264.4542365</v>
      </c>
    </row>
    <row r="1045" spans="14:14">
      <c r="N1045" s="3">
        <v>1948356335.4796274</v>
      </c>
    </row>
    <row r="1046" spans="14:14">
      <c r="N1046" s="3">
        <v>2410889433.8872766</v>
      </c>
    </row>
    <row r="1047" spans="14:14">
      <c r="N1047" s="3">
        <v>2506530416.7708077</v>
      </c>
    </row>
    <row r="1048" spans="14:14">
      <c r="N1048" s="3">
        <v>1844129150.1789932</v>
      </c>
    </row>
    <row r="1049" spans="14:14">
      <c r="N1049" s="3">
        <v>1814685926.9578924</v>
      </c>
    </row>
    <row r="1050" spans="14:14">
      <c r="N1050" s="3">
        <v>3280124387.9685431</v>
      </c>
    </row>
    <row r="1051" spans="14:14">
      <c r="N1051" s="3">
        <v>4238927706.8964396</v>
      </c>
    </row>
    <row r="1052" spans="14:14">
      <c r="N1052" s="3">
        <v>1661949809.7422402</v>
      </c>
    </row>
    <row r="1053" spans="14:14">
      <c r="N1053" s="3">
        <v>3495714512.0225649</v>
      </c>
    </row>
    <row r="1054" spans="14:14">
      <c r="N1054" s="3">
        <v>3674966801.9346809</v>
      </c>
    </row>
    <row r="1055" spans="14:14">
      <c r="N1055" s="3">
        <v>2488825033.5268984</v>
      </c>
    </row>
    <row r="1056" spans="14:14">
      <c r="N1056" s="3">
        <v>2738645559.1936235</v>
      </c>
    </row>
    <row r="1057" spans="14:14">
      <c r="N1057" s="3">
        <v>1809935841.3856516</v>
      </c>
    </row>
    <row r="1058" spans="14:14">
      <c r="N1058" s="3">
        <v>1476956887.0148692</v>
      </c>
    </row>
    <row r="1059" spans="14:14">
      <c r="N1059" s="3">
        <v>1152404557.7117808</v>
      </c>
    </row>
    <row r="1060" spans="14:14">
      <c r="N1060" s="3">
        <v>1857512351.463572</v>
      </c>
    </row>
    <row r="1061" spans="14:14">
      <c r="N1061" s="3">
        <v>1618424415.0869222</v>
      </c>
    </row>
    <row r="1062" spans="14:14">
      <c r="N1062" s="3">
        <v>3723015143.4764624</v>
      </c>
    </row>
    <row r="1063" spans="14:14">
      <c r="N1063" s="3">
        <v>1712038967.8675263</v>
      </c>
    </row>
    <row r="1064" spans="14:14">
      <c r="N1064" s="3">
        <v>2669126939.1634073</v>
      </c>
    </row>
    <row r="1065" spans="14:14">
      <c r="N1065" s="3">
        <v>2912421585.405477</v>
      </c>
    </row>
    <row r="1066" spans="14:14">
      <c r="N1066" s="3">
        <v>1174023576.2642748</v>
      </c>
    </row>
    <row r="1067" spans="14:14">
      <c r="N1067" s="3">
        <v>2435490193.6646919</v>
      </c>
    </row>
    <row r="1068" spans="14:14">
      <c r="N1068" s="3">
        <v>1342563395.9865301</v>
      </c>
    </row>
    <row r="1069" spans="14:14">
      <c r="N1069" s="3">
        <v>1877273345.9563117</v>
      </c>
    </row>
    <row r="1070" spans="14:14">
      <c r="N1070" s="3">
        <v>2177216494.4232583</v>
      </c>
    </row>
    <row r="1071" spans="14:14">
      <c r="N1071" s="3">
        <v>2203190192.2169995</v>
      </c>
    </row>
    <row r="1072" spans="14:14">
      <c r="N1072" s="3">
        <v>914549502.82376456</v>
      </c>
    </row>
    <row r="1073" spans="14:14">
      <c r="N1073" s="3">
        <v>2041719909.9848297</v>
      </c>
    </row>
    <row r="1074" spans="14:14">
      <c r="N1074" s="3">
        <v>1931480983.1668572</v>
      </c>
    </row>
    <row r="1075" spans="14:14">
      <c r="N1075" s="3">
        <v>1114241180.0914328</v>
      </c>
    </row>
    <row r="1076" spans="14:14">
      <c r="N1076" s="3">
        <v>1301676225.2384021</v>
      </c>
    </row>
    <row r="1077" spans="14:14">
      <c r="N1077" s="3">
        <v>2834950880.4737368</v>
      </c>
    </row>
    <row r="1078" spans="14:14">
      <c r="N1078" s="3">
        <v>1804745803.5168335</v>
      </c>
    </row>
    <row r="1079" spans="14:14">
      <c r="N1079" s="3">
        <v>1814382053.6646984</v>
      </c>
    </row>
    <row r="1080" spans="14:14">
      <c r="N1080" s="3">
        <v>2568964082.4773111</v>
      </c>
    </row>
    <row r="1081" spans="14:14">
      <c r="N1081" s="3">
        <v>1791100262.8807013</v>
      </c>
    </row>
    <row r="1082" spans="14:14">
      <c r="N1082" s="3">
        <v>1090320980.6469328</v>
      </c>
    </row>
    <row r="1083" spans="14:14">
      <c r="N1083" s="3">
        <v>1530671359.6772721</v>
      </c>
    </row>
    <row r="1084" spans="14:14">
      <c r="N1084" s="3">
        <v>914821877.19140387</v>
      </c>
    </row>
    <row r="1085" spans="14:14">
      <c r="N1085" s="3">
        <v>1457162628.9338374</v>
      </c>
    </row>
    <row r="1086" spans="14:14">
      <c r="N1086" s="3">
        <v>1392164171.6689787</v>
      </c>
    </row>
    <row r="1087" spans="14:14">
      <c r="N1087" s="3">
        <v>2463957411.9834704</v>
      </c>
    </row>
    <row r="1088" spans="14:14">
      <c r="N1088" s="3">
        <v>1681816644.7957447</v>
      </c>
    </row>
    <row r="1089" spans="14:14">
      <c r="N1089" s="3">
        <v>2671756150.6836705</v>
      </c>
    </row>
    <row r="1090" spans="14:14">
      <c r="N1090" s="3">
        <v>3224008869.0668468</v>
      </c>
    </row>
    <row r="1091" spans="14:14">
      <c r="N1091" s="3">
        <v>1408244328.1238441</v>
      </c>
    </row>
    <row r="1092" spans="14:14">
      <c r="N1092" s="3">
        <v>1276836582.7055569</v>
      </c>
    </row>
    <row r="1093" spans="14:14">
      <c r="N1093" s="3">
        <v>2103193727.6357822</v>
      </c>
    </row>
    <row r="1094" spans="14:14">
      <c r="N1094" s="3">
        <v>2011924425.1256459</v>
      </c>
    </row>
    <row r="1095" spans="14:14">
      <c r="N1095" s="3">
        <v>1618900572.6055071</v>
      </c>
    </row>
    <row r="1096" spans="14:14">
      <c r="N1096" s="3">
        <v>2816343397.4911757</v>
      </c>
    </row>
    <row r="1097" spans="14:14">
      <c r="N1097" s="3">
        <v>3224895907.0869746</v>
      </c>
    </row>
    <row r="1098" spans="14:14">
      <c r="N1098" s="3">
        <v>1207269458.3144364</v>
      </c>
    </row>
    <row r="1099" spans="14:14">
      <c r="N1099" s="3">
        <v>3435496924.187923</v>
      </c>
    </row>
    <row r="1100" spans="14:14">
      <c r="N1100" s="3">
        <v>2744779079.5246429</v>
      </c>
    </row>
    <row r="1101" spans="14:14">
      <c r="N1101" s="3">
        <v>3726699158.0162358</v>
      </c>
    </row>
    <row r="1102" spans="14:14">
      <c r="N1102" s="3">
        <v>1155131603.9297662</v>
      </c>
    </row>
    <row r="1103" spans="14:14">
      <c r="N1103" s="3">
        <v>3014265102.919013</v>
      </c>
    </row>
    <row r="1104" spans="14:14">
      <c r="N1104" s="3">
        <v>1548890657.8719747</v>
      </c>
    </row>
    <row r="1105" spans="14:14">
      <c r="N1105" s="3">
        <v>2449879353.1898437</v>
      </c>
    </row>
    <row r="1106" spans="14:14">
      <c r="N1106" s="3">
        <v>1820356906.0710347</v>
      </c>
    </row>
    <row r="1107" spans="14:14">
      <c r="N1107" s="3">
        <v>2538765780.35428</v>
      </c>
    </row>
    <row r="1108" spans="14:14">
      <c r="N1108" s="3">
        <v>1583114123.0170388</v>
      </c>
    </row>
    <row r="1109" spans="14:14">
      <c r="N1109" s="3">
        <v>2282460724.6325598</v>
      </c>
    </row>
    <row r="1110" spans="14:14">
      <c r="N1110" s="3">
        <v>2042450256.5158606</v>
      </c>
    </row>
    <row r="1111" spans="14:14">
      <c r="N1111" s="3">
        <v>4089873922.4088097</v>
      </c>
    </row>
    <row r="1112" spans="14:14">
      <c r="N1112" s="3">
        <v>2103395972.0536516</v>
      </c>
    </row>
    <row r="1113" spans="14:14">
      <c r="N1113" s="3">
        <v>1630634630.4309807</v>
      </c>
    </row>
    <row r="1114" spans="14:14">
      <c r="N1114" s="3">
        <v>2028963217.218385</v>
      </c>
    </row>
    <row r="1115" spans="14:14">
      <c r="N1115" s="3">
        <v>3216419777.2679377</v>
      </c>
    </row>
    <row r="1116" spans="14:14">
      <c r="N1116" s="3">
        <v>2365696412.2852697</v>
      </c>
    </row>
    <row r="1117" spans="14:14">
      <c r="N1117" s="3">
        <v>1406921503.8381865</v>
      </c>
    </row>
    <row r="1118" spans="14:14">
      <c r="N1118" s="3">
        <v>2362573143.87466</v>
      </c>
    </row>
    <row r="1119" spans="14:14">
      <c r="N1119" s="3">
        <v>1711232935.4393809</v>
      </c>
    </row>
    <row r="1120" spans="14:14">
      <c r="N1120" s="3">
        <v>1066535874.8483734</v>
      </c>
    </row>
    <row r="1121" spans="14:14">
      <c r="N1121" s="3">
        <v>2329574712.4927387</v>
      </c>
    </row>
    <row r="1122" spans="14:14">
      <c r="N1122" s="3">
        <v>2704744715.5461168</v>
      </c>
    </row>
    <row r="1123" spans="14:14">
      <c r="N1123" s="3">
        <v>1917627949.506902</v>
      </c>
    </row>
    <row r="1124" spans="14:14">
      <c r="N1124" s="3">
        <v>3211366827.7812314</v>
      </c>
    </row>
    <row r="1125" spans="14:14">
      <c r="N1125" s="3">
        <v>1559825244.0491168</v>
      </c>
    </row>
    <row r="1126" spans="14:14">
      <c r="N1126" s="3">
        <v>1732800094.1050386</v>
      </c>
    </row>
    <row r="1127" spans="14:14">
      <c r="N1127" s="3">
        <v>2024456615.8631709</v>
      </c>
    </row>
    <row r="1128" spans="14:14">
      <c r="N1128" s="3">
        <v>2787197462.9490857</v>
      </c>
    </row>
    <row r="1129" spans="14:14">
      <c r="N1129" s="3">
        <v>3463431320.7657952</v>
      </c>
    </row>
    <row r="1130" spans="14:14">
      <c r="N1130" s="3">
        <v>1822265735.4517021</v>
      </c>
    </row>
    <row r="1131" spans="14:14">
      <c r="N1131" s="3">
        <v>1597359234.3001857</v>
      </c>
    </row>
    <row r="1132" spans="14:14">
      <c r="N1132" s="3">
        <v>1743201826.7983382</v>
      </c>
    </row>
    <row r="1133" spans="14:14">
      <c r="N1133" s="3">
        <v>2041347425.5315301</v>
      </c>
    </row>
    <row r="1134" spans="14:14">
      <c r="N1134" s="3">
        <v>1691959284.9225154</v>
      </c>
    </row>
    <row r="1135" spans="14:14">
      <c r="N1135" s="3">
        <v>2018683254.288722</v>
      </c>
    </row>
    <row r="1136" spans="14:14">
      <c r="N1136" s="3">
        <v>2288698120.2890706</v>
      </c>
    </row>
    <row r="1137" spans="14:14">
      <c r="N1137" s="3">
        <v>2174449445.075027</v>
      </c>
    </row>
    <row r="1138" spans="14:14">
      <c r="N1138" s="3">
        <v>2651090896.0415354</v>
      </c>
    </row>
    <row r="1139" spans="14:14">
      <c r="N1139" s="3">
        <v>1347826679.2702081</v>
      </c>
    </row>
    <row r="1140" spans="14:14">
      <c r="N1140" s="3">
        <v>2695275751.6182299</v>
      </c>
    </row>
    <row r="1141" spans="14:14">
      <c r="N1141" s="3">
        <v>1911350383.7741156</v>
      </c>
    </row>
    <row r="1142" spans="14:14">
      <c r="N1142" s="3">
        <v>2434248306.654397</v>
      </c>
    </row>
    <row r="1143" spans="14:14">
      <c r="N1143" s="3">
        <v>5438364415.4001017</v>
      </c>
    </row>
    <row r="1144" spans="14:14">
      <c r="N1144" s="3">
        <v>1770381655.5046198</v>
      </c>
    </row>
    <row r="1145" spans="14:14">
      <c r="N1145" s="3">
        <v>1850722764.7766418</v>
      </c>
    </row>
    <row r="1146" spans="14:14">
      <c r="N1146" s="3">
        <v>3310658382.6698575</v>
      </c>
    </row>
    <row r="1147" spans="14:14">
      <c r="N1147" s="3">
        <v>2008656363.65025</v>
      </c>
    </row>
    <row r="1148" spans="14:14">
      <c r="N1148" s="3">
        <v>1605024990.8270116</v>
      </c>
    </row>
    <row r="1149" spans="14:14">
      <c r="N1149" s="3">
        <v>2443603208.6961765</v>
      </c>
    </row>
    <row r="1150" spans="14:14">
      <c r="N1150" s="3">
        <v>3775358504.7499461</v>
      </c>
    </row>
    <row r="1151" spans="14:14">
      <c r="N1151" s="3">
        <v>2718531587.2052922</v>
      </c>
    </row>
    <row r="1152" spans="14:14">
      <c r="N1152" s="3">
        <v>2036872388.1600335</v>
      </c>
    </row>
    <row r="1153" spans="14:14">
      <c r="N1153" s="3">
        <v>1648335794.40449</v>
      </c>
    </row>
    <row r="1154" spans="14:14">
      <c r="N1154" s="3">
        <v>2304429994.5225134</v>
      </c>
    </row>
    <row r="1155" spans="14:14">
      <c r="N1155" s="3">
        <v>1710949555.1147337</v>
      </c>
    </row>
    <row r="1156" spans="14:14">
      <c r="N1156" s="3">
        <v>3125276371.8021131</v>
      </c>
    </row>
    <row r="1157" spans="14:14">
      <c r="N1157" s="3">
        <v>2036974521.3413293</v>
      </c>
    </row>
    <row r="1158" spans="14:14">
      <c r="N1158" s="3">
        <v>2925916850.8868299</v>
      </c>
    </row>
    <row r="1159" spans="14:14">
      <c r="N1159" s="3">
        <v>2037033022.275677</v>
      </c>
    </row>
    <row r="1160" spans="14:14">
      <c r="N1160" s="3">
        <v>3279966203.9535117</v>
      </c>
    </row>
    <row r="1161" spans="14:14">
      <c r="N1161" s="3">
        <v>1938699493.9897029</v>
      </c>
    </row>
    <row r="1162" spans="14:14">
      <c r="N1162" s="3">
        <v>1533682722.7900617</v>
      </c>
    </row>
    <row r="1163" spans="14:14">
      <c r="N1163" s="3">
        <v>2795213688.2712469</v>
      </c>
    </row>
    <row r="1164" spans="14:14">
      <c r="N1164" s="3">
        <v>1488662248.2332346</v>
      </c>
    </row>
    <row r="1165" spans="14:14">
      <c r="N1165" s="3">
        <v>1494256052.2217381</v>
      </c>
    </row>
    <row r="1166" spans="14:14">
      <c r="N1166" s="3">
        <v>1744912553.3518834</v>
      </c>
    </row>
    <row r="1167" spans="14:14">
      <c r="N1167" s="3">
        <v>2801112214.6954021</v>
      </c>
    </row>
    <row r="1168" spans="14:14">
      <c r="N1168" s="3">
        <v>1540281469.5393751</v>
      </c>
    </row>
    <row r="1169" spans="14:14">
      <c r="N1169" s="3">
        <v>2765238665.2670174</v>
      </c>
    </row>
    <row r="1170" spans="14:14">
      <c r="N1170" s="3">
        <v>1715721208.9126194</v>
      </c>
    </row>
    <row r="1171" spans="14:14">
      <c r="N1171" s="3">
        <v>1153069937.3529456</v>
      </c>
    </row>
    <row r="1172" spans="14:14">
      <c r="N1172" s="3">
        <v>1610506133.5360713</v>
      </c>
    </row>
    <row r="1173" spans="14:14">
      <c r="N1173" s="3">
        <v>887906779.45962667</v>
      </c>
    </row>
    <row r="1174" spans="14:14">
      <c r="N1174" s="3">
        <v>2845973793.4870319</v>
      </c>
    </row>
    <row r="1175" spans="14:14">
      <c r="N1175" s="3">
        <v>1510222475.3341639</v>
      </c>
    </row>
    <row r="1176" spans="14:14">
      <c r="N1176" s="3">
        <v>2924755091.367166</v>
      </c>
    </row>
    <row r="1177" spans="14:14">
      <c r="N1177" s="3">
        <v>868331359.86552453</v>
      </c>
    </row>
    <row r="1178" spans="14:14">
      <c r="N1178" s="3">
        <v>2891343954.9037223</v>
      </c>
    </row>
    <row r="1179" spans="14:14">
      <c r="N1179" s="3">
        <v>1537208160.2020135</v>
      </c>
    </row>
    <row r="1180" spans="14:14">
      <c r="N1180" s="3">
        <v>1891473920.7407606</v>
      </c>
    </row>
    <row r="1181" spans="14:14">
      <c r="N1181" s="3">
        <v>2143122184.1142142</v>
      </c>
    </row>
    <row r="1182" spans="14:14">
      <c r="N1182" s="3">
        <v>1711732027.3652344</v>
      </c>
    </row>
    <row r="1183" spans="14:14">
      <c r="N1183" s="3">
        <v>4322337364.1805134</v>
      </c>
    </row>
    <row r="1184" spans="14:14">
      <c r="N1184" s="3">
        <v>1612883910.2701185</v>
      </c>
    </row>
    <row r="1185" spans="14:14">
      <c r="N1185" s="3">
        <v>2598186549.1333971</v>
      </c>
    </row>
    <row r="1186" spans="14:14">
      <c r="N1186" s="3">
        <v>2254463540.7629728</v>
      </c>
    </row>
    <row r="1187" spans="14:14">
      <c r="N1187" s="3">
        <v>1566610809.8906872</v>
      </c>
    </row>
    <row r="1188" spans="14:14">
      <c r="N1188" s="3">
        <v>2582572812.983757</v>
      </c>
    </row>
    <row r="1189" spans="14:14">
      <c r="N1189" s="3">
        <v>2232398154.0227747</v>
      </c>
    </row>
    <row r="1190" spans="14:14">
      <c r="N1190" s="3">
        <v>3878123712.2896228</v>
      </c>
    </row>
    <row r="1191" spans="14:14">
      <c r="N1191" s="3">
        <v>3603709374.1015935</v>
      </c>
    </row>
    <row r="1192" spans="14:14">
      <c r="N1192" s="3">
        <v>1908438481.3717663</v>
      </c>
    </row>
    <row r="1193" spans="14:14">
      <c r="N1193" s="3">
        <v>2863799545.941256</v>
      </c>
    </row>
    <row r="1194" spans="14:14">
      <c r="N1194" s="3">
        <v>1694733703.781183</v>
      </c>
    </row>
    <row r="1195" spans="14:14">
      <c r="N1195" s="3">
        <v>2376286032.5902133</v>
      </c>
    </row>
    <row r="1196" spans="14:14">
      <c r="N1196" s="3">
        <v>3077934481.0427179</v>
      </c>
    </row>
    <row r="1197" spans="14:14">
      <c r="N1197" s="3">
        <v>1807922655.4461303</v>
      </c>
    </row>
    <row r="1198" spans="14:14">
      <c r="N1198" s="3">
        <v>2788176325.2805915</v>
      </c>
    </row>
    <row r="1199" spans="14:14">
      <c r="N1199" s="3">
        <v>2788230394.0395036</v>
      </c>
    </row>
    <row r="1200" spans="14:14">
      <c r="N1200" s="3">
        <v>1751655810.0229263</v>
      </c>
    </row>
    <row r="1201" spans="14:14">
      <c r="N1201" s="3">
        <v>2019341500.3487725</v>
      </c>
    </row>
    <row r="1202" spans="14:14">
      <c r="N1202" s="3">
        <v>1145116834.4149427</v>
      </c>
    </row>
    <row r="1203" spans="14:14">
      <c r="N1203" s="3">
        <v>3697444636.6102009</v>
      </c>
    </row>
    <row r="1204" spans="14:14">
      <c r="N1204" s="3">
        <v>3621881425.540875</v>
      </c>
    </row>
    <row r="1205" spans="14:14">
      <c r="N1205" s="3">
        <v>2157311850.1770892</v>
      </c>
    </row>
    <row r="1206" spans="14:14">
      <c r="N1206" s="3">
        <v>2641525766.1554861</v>
      </c>
    </row>
    <row r="1207" spans="14:14">
      <c r="N1207" s="3">
        <v>2527392388.2977729</v>
      </c>
    </row>
    <row r="1208" spans="14:14">
      <c r="N1208" s="3">
        <v>1842890063.6054289</v>
      </c>
    </row>
    <row r="1209" spans="14:14">
      <c r="N1209" s="3">
        <v>1568444259.9950747</v>
      </c>
    </row>
    <row r="1210" spans="14:14">
      <c r="N1210" s="3">
        <v>2080934937.1018021</v>
      </c>
    </row>
    <row r="1211" spans="14:14">
      <c r="N1211" s="3">
        <v>1480748692.7762434</v>
      </c>
    </row>
    <row r="1212" spans="14:14">
      <c r="N1212" s="3">
        <v>1372841600.3327467</v>
      </c>
    </row>
    <row r="1213" spans="14:14">
      <c r="N1213" s="3">
        <v>3140090347.1814175</v>
      </c>
    </row>
    <row r="1214" spans="14:14">
      <c r="N1214" s="3">
        <v>2877798469.9219794</v>
      </c>
    </row>
    <row r="1215" spans="14:14">
      <c r="N1215" s="3">
        <v>2337861896.5695901</v>
      </c>
    </row>
    <row r="1216" spans="14:14">
      <c r="N1216" s="3">
        <v>2466609221.5440307</v>
      </c>
    </row>
    <row r="1217" spans="14:14">
      <c r="N1217" s="3">
        <v>1999907953.5523775</v>
      </c>
    </row>
    <row r="1218" spans="14:14">
      <c r="N1218" s="3">
        <v>2460841968.1399422</v>
      </c>
    </row>
    <row r="1219" spans="14:14">
      <c r="N1219" s="3">
        <v>2622166768.967412</v>
      </c>
    </row>
    <row r="1220" spans="14:14">
      <c r="N1220" s="3">
        <v>3261273366.6198969</v>
      </c>
    </row>
    <row r="1221" spans="14:14">
      <c r="N1221" s="3">
        <v>1859760546.7841504</v>
      </c>
    </row>
    <row r="1222" spans="14:14">
      <c r="N1222" s="3">
        <v>2284316828.7743258</v>
      </c>
    </row>
    <row r="1223" spans="14:14">
      <c r="N1223" s="3">
        <v>3431858973.7028131</v>
      </c>
    </row>
    <row r="1224" spans="14:14">
      <c r="N1224" s="3">
        <v>1885953004.0787728</v>
      </c>
    </row>
    <row r="1225" spans="14:14">
      <c r="N1225" s="3">
        <v>1539615267.7797699</v>
      </c>
    </row>
    <row r="1226" spans="14:14">
      <c r="N1226" s="3">
        <v>1760735650.3273122</v>
      </c>
    </row>
    <row r="1227" spans="14:14">
      <c r="N1227" s="3">
        <v>2225343830.2489567</v>
      </c>
    </row>
    <row r="1228" spans="14:14">
      <c r="N1228" s="3">
        <v>3087739702.1684704</v>
      </c>
    </row>
    <row r="1229" spans="14:14">
      <c r="N1229" s="3">
        <v>3409374123.2567973</v>
      </c>
    </row>
    <row r="1230" spans="14:14">
      <c r="N1230" s="3">
        <v>1716976316.1964409</v>
      </c>
    </row>
    <row r="1231" spans="14:14">
      <c r="N1231" s="3">
        <v>2001601250.8634093</v>
      </c>
    </row>
    <row r="1232" spans="14:14">
      <c r="N1232" s="3">
        <v>1237191742.7390914</v>
      </c>
    </row>
    <row r="1233" spans="14:14">
      <c r="N1233" s="3">
        <v>2001312312.2760901</v>
      </c>
    </row>
    <row r="1234" spans="14:14">
      <c r="N1234" s="3">
        <v>1126034382.1030576</v>
      </c>
    </row>
    <row r="1235" spans="14:14">
      <c r="N1235" s="3">
        <v>1291823920.7656729</v>
      </c>
    </row>
    <row r="1236" spans="14:14">
      <c r="N1236" s="3">
        <v>1401336406.5316908</v>
      </c>
    </row>
    <row r="1237" spans="14:14">
      <c r="N1237" s="3">
        <v>1458734515.5792513</v>
      </c>
    </row>
    <row r="1238" spans="14:14">
      <c r="N1238" s="3">
        <v>1810013643.9317658</v>
      </c>
    </row>
    <row r="1239" spans="14:14">
      <c r="N1239" s="3">
        <v>2700020016.0620174</v>
      </c>
    </row>
    <row r="1240" spans="14:14">
      <c r="N1240" s="3">
        <v>1132765498.8804803</v>
      </c>
    </row>
    <row r="1241" spans="14:14">
      <c r="N1241" s="3">
        <v>2410261157.245616</v>
      </c>
    </row>
    <row r="1242" spans="14:14">
      <c r="N1242" s="3">
        <v>1521978888.2897022</v>
      </c>
    </row>
    <row r="1243" spans="14:14">
      <c r="N1243" s="3">
        <v>1033572367.9423759</v>
      </c>
    </row>
    <row r="1244" spans="14:14">
      <c r="N1244" s="3">
        <v>2193349909.8918567</v>
      </c>
    </row>
    <row r="1245" spans="14:14">
      <c r="N1245" s="3">
        <v>3759871756.0110884</v>
      </c>
    </row>
    <row r="1246" spans="14:14">
      <c r="N1246" s="3">
        <v>1898497415.0698001</v>
      </c>
    </row>
    <row r="1247" spans="14:14">
      <c r="N1247" s="3">
        <v>2404954555.8817863</v>
      </c>
    </row>
    <row r="1248" spans="14:14">
      <c r="N1248" s="3">
        <v>1889706888.4164803</v>
      </c>
    </row>
    <row r="1249" spans="14:14">
      <c r="N1249" s="3">
        <v>4003148907.3980622</v>
      </c>
    </row>
    <row r="1250" spans="14:14">
      <c r="N1250" s="3">
        <v>3731109809.4547691</v>
      </c>
    </row>
    <row r="1251" spans="14:14">
      <c r="N1251" s="3">
        <v>2387302238.2520814</v>
      </c>
    </row>
    <row r="1252" spans="14:14">
      <c r="N1252" s="3">
        <v>1822577261.8568909</v>
      </c>
    </row>
    <row r="1253" spans="14:14">
      <c r="N1253" s="3">
        <v>1725853470.5065744</v>
      </c>
    </row>
    <row r="1254" spans="14:14">
      <c r="N1254" s="3">
        <v>1421797308.5125706</v>
      </c>
    </row>
    <row r="1255" spans="14:14">
      <c r="N1255" s="3">
        <v>2183551975.9705453</v>
      </c>
    </row>
    <row r="1256" spans="14:14">
      <c r="N1256" s="3">
        <v>1019839149.3336394</v>
      </c>
    </row>
    <row r="1257" spans="14:14">
      <c r="N1257" s="3">
        <v>1174816231.7238603</v>
      </c>
    </row>
    <row r="1258" spans="14:14">
      <c r="N1258" s="3">
        <v>2730835508.5088072</v>
      </c>
    </row>
    <row r="1259" spans="14:14">
      <c r="N1259" s="3">
        <v>2555415219.5660658</v>
      </c>
    </row>
    <row r="1260" spans="14:14">
      <c r="N1260" s="3">
        <v>1846560028.1545291</v>
      </c>
    </row>
    <row r="1261" spans="14:14">
      <c r="N1261" s="3">
        <v>1433564890.5035357</v>
      </c>
    </row>
    <row r="1262" spans="14:14">
      <c r="N1262" s="3">
        <v>2022029296.285188</v>
      </c>
    </row>
    <row r="1263" spans="14:14">
      <c r="N1263" s="3">
        <v>907963565.93780458</v>
      </c>
    </row>
    <row r="1264" spans="14:14">
      <c r="N1264" s="3">
        <v>1655994171.3327334</v>
      </c>
    </row>
    <row r="1265" spans="14:14">
      <c r="N1265" s="3">
        <v>4854713062.3536701</v>
      </c>
    </row>
    <row r="1266" spans="14:14">
      <c r="N1266" s="3">
        <v>1905709438.3940892</v>
      </c>
    </row>
    <row r="1267" spans="14:14">
      <c r="N1267" s="3">
        <v>3110577474.012074</v>
      </c>
    </row>
    <row r="1268" spans="14:14">
      <c r="N1268" s="3">
        <v>1704404901.1445575</v>
      </c>
    </row>
    <row r="1269" spans="14:14">
      <c r="N1269" s="3">
        <v>2630288569.2696123</v>
      </c>
    </row>
    <row r="1270" spans="14:14">
      <c r="N1270" s="3">
        <v>2958840077.8075027</v>
      </c>
    </row>
    <row r="1271" spans="14:14">
      <c r="N1271" s="3">
        <v>1288960444.3490574</v>
      </c>
    </row>
    <row r="1272" spans="14:14">
      <c r="N1272" s="3">
        <v>2474759976.3513651</v>
      </c>
    </row>
    <row r="1273" spans="14:14">
      <c r="N1273" s="3">
        <v>1938629173.1993215</v>
      </c>
    </row>
    <row r="1274" spans="14:14">
      <c r="N1274" s="3">
        <v>1133357589.7847261</v>
      </c>
    </row>
    <row r="1275" spans="14:14">
      <c r="N1275" s="3">
        <v>2481013611.0622606</v>
      </c>
    </row>
    <row r="1276" spans="14:14">
      <c r="N1276" s="3">
        <v>2672132594.7339978</v>
      </c>
    </row>
    <row r="1277" spans="14:14">
      <c r="N1277" s="3">
        <v>3714672181.169641</v>
      </c>
    </row>
    <row r="1278" spans="14:14">
      <c r="N1278" s="3">
        <v>1195578371.6173682</v>
      </c>
    </row>
    <row r="1279" spans="14:14">
      <c r="N1279" s="3">
        <v>3044763660.34338</v>
      </c>
    </row>
    <row r="1280" spans="14:14">
      <c r="N1280" s="3">
        <v>2812687242.0158477</v>
      </c>
    </row>
    <row r="1281" spans="14:14">
      <c r="N1281" s="3">
        <v>1632106203.8018086</v>
      </c>
    </row>
    <row r="1282" spans="14:14">
      <c r="N1282" s="3">
        <v>1594268801.4789877</v>
      </c>
    </row>
    <row r="1283" spans="14:14">
      <c r="N1283" s="3">
        <v>1822749476.5457995</v>
      </c>
    </row>
    <row r="1284" spans="14:14">
      <c r="N1284" s="3">
        <v>2455663285.2418537</v>
      </c>
    </row>
    <row r="1285" spans="14:14">
      <c r="N1285" s="3">
        <v>3448282985.5597897</v>
      </c>
    </row>
    <row r="1286" spans="14:14">
      <c r="N1286" s="3">
        <v>1547221230.7960293</v>
      </c>
    </row>
    <row r="1287" spans="14:14">
      <c r="N1287" s="3">
        <v>2377770253.1710205</v>
      </c>
    </row>
    <row r="1288" spans="14:14">
      <c r="N1288" s="3">
        <v>1620453340.1829112</v>
      </c>
    </row>
    <row r="1289" spans="14:14">
      <c r="N1289" s="3">
        <v>1027143538.4021398</v>
      </c>
    </row>
    <row r="1290" spans="14:14">
      <c r="N1290" s="3">
        <v>2646372131.6971421</v>
      </c>
    </row>
    <row r="1291" spans="14:14">
      <c r="N1291" s="3">
        <v>1156868637.6837268</v>
      </c>
    </row>
    <row r="1292" spans="14:14">
      <c r="N1292" s="3">
        <v>2072448773.0143998</v>
      </c>
    </row>
    <row r="1293" spans="14:14">
      <c r="N1293" s="3">
        <v>1890693247.0140166</v>
      </c>
    </row>
    <row r="1294" spans="14:14">
      <c r="N1294" s="3">
        <v>1350603299.1342809</v>
      </c>
    </row>
    <row r="1295" spans="14:14">
      <c r="N1295" s="3">
        <v>2064441554.4720423</v>
      </c>
    </row>
    <row r="1296" spans="14:14">
      <c r="N1296" s="3">
        <v>2873427151.1809154</v>
      </c>
    </row>
    <row r="1297" spans="14:14">
      <c r="N1297" s="3">
        <v>1487494072.8377407</v>
      </c>
    </row>
    <row r="1298" spans="14:14">
      <c r="N1298" s="3">
        <v>1715843937.6692667</v>
      </c>
    </row>
    <row r="1299" spans="14:14">
      <c r="N1299" s="3">
        <v>1389474361.5429976</v>
      </c>
    </row>
    <row r="1300" spans="14:14">
      <c r="N1300" s="3">
        <v>1660045143.9468734</v>
      </c>
    </row>
    <row r="1301" spans="14:14">
      <c r="N1301" s="3">
        <v>2274066086.5330005</v>
      </c>
    </row>
    <row r="1302" spans="14:14">
      <c r="N1302" s="3">
        <v>2892270328.5341907</v>
      </c>
    </row>
    <row r="1303" spans="14:14">
      <c r="N1303" s="3">
        <v>1462668503.6780019</v>
      </c>
    </row>
    <row r="1304" spans="14:14">
      <c r="N1304" s="3">
        <v>2703535116.9766631</v>
      </c>
    </row>
    <row r="1305" spans="14:14">
      <c r="N1305" s="3">
        <v>1106264792.6605501</v>
      </c>
    </row>
    <row r="1306" spans="14:14">
      <c r="N1306" s="3">
        <v>2003935008.3358121</v>
      </c>
    </row>
    <row r="1307" spans="14:14">
      <c r="N1307" s="3">
        <v>2242197280.0665627</v>
      </c>
    </row>
    <row r="1308" spans="14:14">
      <c r="N1308" s="3">
        <v>2216070170.8181968</v>
      </c>
    </row>
    <row r="1309" spans="14:14">
      <c r="N1309" s="3">
        <v>1856454455.8693614</v>
      </c>
    </row>
    <row r="1310" spans="14:14">
      <c r="N1310" s="3">
        <v>1746104100.1109126</v>
      </c>
    </row>
    <row r="1311" spans="14:14">
      <c r="N1311" s="3">
        <v>1510908254.2129076</v>
      </c>
    </row>
    <row r="1312" spans="14:14">
      <c r="N1312" s="3">
        <v>3109869398.7692366</v>
      </c>
    </row>
    <row r="1313" spans="14:14">
      <c r="N1313" s="3">
        <v>1912833828.043762</v>
      </c>
    </row>
    <row r="1314" spans="14:14">
      <c r="N1314" s="3">
        <v>1527975621.9663754</v>
      </c>
    </row>
    <row r="1315" spans="14:14">
      <c r="N1315" s="3">
        <v>2502205892.3436804</v>
      </c>
    </row>
    <row r="1316" spans="14:14">
      <c r="N1316" s="3">
        <v>3309322823.3897295</v>
      </c>
    </row>
    <row r="1317" spans="14:14">
      <c r="N1317" s="3">
        <v>1624720482.910229</v>
      </c>
    </row>
    <row r="1318" spans="14:14">
      <c r="N1318" s="3">
        <v>1326223377.4905365</v>
      </c>
    </row>
    <row r="1319" spans="14:14">
      <c r="N1319" s="3">
        <v>1663027785.1300628</v>
      </c>
    </row>
    <row r="1320" spans="14:14">
      <c r="N1320" s="3">
        <v>1465213748.2352426</v>
      </c>
    </row>
    <row r="1321" spans="14:14">
      <c r="N1321" s="3">
        <v>1484029742.0403569</v>
      </c>
    </row>
    <row r="1322" spans="14:14">
      <c r="N1322" s="3">
        <v>3251104502.1655273</v>
      </c>
    </row>
    <row r="1323" spans="14:14">
      <c r="N1323" s="3">
        <v>3138439884.5992599</v>
      </c>
    </row>
    <row r="1324" spans="14:14">
      <c r="N1324" s="3">
        <v>1376174139.3795731</v>
      </c>
    </row>
    <row r="1325" spans="14:14">
      <c r="N1325" s="3">
        <v>1834547973.2268152</v>
      </c>
    </row>
    <row r="1326" spans="14:14">
      <c r="N1326" s="3">
        <v>2438992045.1582704</v>
      </c>
    </row>
    <row r="1327" spans="14:14">
      <c r="N1327" s="3">
        <v>2033713107.7519944</v>
      </c>
    </row>
    <row r="1328" spans="14:14">
      <c r="N1328" s="3">
        <v>1303508999.5738049</v>
      </c>
    </row>
    <row r="1329" spans="14:14">
      <c r="N1329" s="3">
        <v>1776717907.1177909</v>
      </c>
    </row>
    <row r="1330" spans="14:14">
      <c r="N1330" s="3">
        <v>1545403660.438452</v>
      </c>
    </row>
    <row r="1331" spans="14:14">
      <c r="N1331" s="3">
        <v>2875508145.9917221</v>
      </c>
    </row>
    <row r="1332" spans="14:14">
      <c r="N1332" s="3">
        <v>5175664161.0784941</v>
      </c>
    </row>
    <row r="1333" spans="14:14">
      <c r="N1333" s="3">
        <v>1602115092.071116</v>
      </c>
    </row>
    <row r="1334" spans="14:14">
      <c r="N1334" s="3">
        <v>2694275451.7866044</v>
      </c>
    </row>
    <row r="1335" spans="14:14">
      <c r="N1335" s="3">
        <v>2102860630.0006602</v>
      </c>
    </row>
    <row r="1336" spans="14:14">
      <c r="N1336" s="3">
        <v>2416731919.8355646</v>
      </c>
    </row>
    <row r="1337" spans="14:14">
      <c r="N1337" s="3">
        <v>1324622589.0158856</v>
      </c>
    </row>
    <row r="1338" spans="14:14">
      <c r="N1338" s="3">
        <v>2332342465.8058658</v>
      </c>
    </row>
    <row r="1339" spans="14:14">
      <c r="N1339" s="3">
        <v>1785323757.5962222</v>
      </c>
    </row>
    <row r="1340" spans="14:14">
      <c r="N1340" s="3">
        <v>2500460329.759913</v>
      </c>
    </row>
    <row r="1341" spans="14:14">
      <c r="N1341" s="3">
        <v>1493716622.7285576</v>
      </c>
    </row>
    <row r="1342" spans="14:14">
      <c r="N1342" s="3">
        <v>1948521477.1233459</v>
      </c>
    </row>
    <row r="1343" spans="14:14">
      <c r="N1343" s="3">
        <v>1485032500.9554534</v>
      </c>
    </row>
    <row r="1344" spans="14:14">
      <c r="N1344" s="3">
        <v>1911238389.2116947</v>
      </c>
    </row>
    <row r="1345" spans="14:14">
      <c r="N1345" s="3">
        <v>2196890463.6038594</v>
      </c>
    </row>
    <row r="1346" spans="14:14">
      <c r="N1346" s="3">
        <v>2002142369.3009388</v>
      </c>
    </row>
    <row r="1347" spans="14:14">
      <c r="N1347" s="3">
        <v>3268073797.6777439</v>
      </c>
    </row>
    <row r="1348" spans="14:14">
      <c r="N1348" s="3">
        <v>1432010787.1736233</v>
      </c>
    </row>
    <row r="1349" spans="14:14">
      <c r="N1349" s="3">
        <v>2250981986.9827771</v>
      </c>
    </row>
    <row r="1350" spans="14:14">
      <c r="N1350" s="3">
        <v>2072590315.1105869</v>
      </c>
    </row>
    <row r="1351" spans="14:14">
      <c r="N1351" s="3">
        <v>3106299321.9911327</v>
      </c>
    </row>
    <row r="1352" spans="14:14">
      <c r="N1352" s="3">
        <v>3362409528.9445019</v>
      </c>
    </row>
    <row r="1353" spans="14:14">
      <c r="N1353" s="3">
        <v>2625015759.8626266</v>
      </c>
    </row>
    <row r="1354" spans="14:14">
      <c r="N1354" s="3">
        <v>2291341305.706912</v>
      </c>
    </row>
    <row r="1355" spans="14:14">
      <c r="N1355" s="3">
        <v>1717024273.7096639</v>
      </c>
    </row>
    <row r="1356" spans="14:14">
      <c r="N1356" s="3">
        <v>1653626649.162627</v>
      </c>
    </row>
    <row r="1357" spans="14:14">
      <c r="N1357" s="3">
        <v>1449369443.0008059</v>
      </c>
    </row>
    <row r="1358" spans="14:14">
      <c r="N1358" s="3">
        <v>1995495740.2078071</v>
      </c>
    </row>
    <row r="1359" spans="14:14">
      <c r="N1359" s="3">
        <v>3304491726.4943061</v>
      </c>
    </row>
    <row r="1360" spans="14:14">
      <c r="N1360" s="3">
        <v>2483757996.4770546</v>
      </c>
    </row>
    <row r="1361" spans="14:14">
      <c r="N1361" s="3">
        <v>1911151765.3134234</v>
      </c>
    </row>
    <row r="1362" spans="14:14">
      <c r="N1362" s="3">
        <v>2232755642.3571205</v>
      </c>
    </row>
    <row r="1363" spans="14:14">
      <c r="N1363" s="3">
        <v>1586494510.1946077</v>
      </c>
    </row>
    <row r="1364" spans="14:14">
      <c r="N1364" s="3">
        <v>1260873414.8681016</v>
      </c>
    </row>
    <row r="1365" spans="14:14">
      <c r="N1365" s="3">
        <v>2675619257.4071755</v>
      </c>
    </row>
    <row r="1366" spans="14:14">
      <c r="N1366" s="3">
        <v>1876332538.0516243</v>
      </c>
    </row>
    <row r="1367" spans="14:14">
      <c r="N1367" s="3">
        <v>2653821555.6035757</v>
      </c>
    </row>
    <row r="1368" spans="14:14">
      <c r="N1368" s="3">
        <v>1033052054.2647085</v>
      </c>
    </row>
    <row r="1369" spans="14:14">
      <c r="N1369" s="3">
        <v>2080762866.3428612</v>
      </c>
    </row>
    <row r="1370" spans="14:14">
      <c r="N1370" s="3">
        <v>3180019417.9558969</v>
      </c>
    </row>
    <row r="1371" spans="14:14">
      <c r="N1371" s="3">
        <v>1749988723.9918435</v>
      </c>
    </row>
    <row r="1372" spans="14:14">
      <c r="N1372" s="3">
        <v>3574693113.6863098</v>
      </c>
    </row>
    <row r="1373" spans="14:14">
      <c r="N1373" s="3">
        <v>2905850046.101943</v>
      </c>
    </row>
    <row r="1374" spans="14:14">
      <c r="N1374" s="3">
        <v>2401193148.9316115</v>
      </c>
    </row>
    <row r="1375" spans="14:14">
      <c r="N1375" s="3">
        <v>3149297420.9518509</v>
      </c>
    </row>
    <row r="1376" spans="14:14">
      <c r="N1376" s="3">
        <v>2606984164.2413249</v>
      </c>
    </row>
    <row r="1377" spans="14:14">
      <c r="N1377" s="3">
        <v>1362068796.9225662</v>
      </c>
    </row>
    <row r="1378" spans="14:14">
      <c r="N1378" s="3">
        <v>1219823605.2600241</v>
      </c>
    </row>
    <row r="1379" spans="14:14">
      <c r="N1379" s="3">
        <v>2243121886.9820123</v>
      </c>
    </row>
    <row r="1380" spans="14:14">
      <c r="N1380" s="3">
        <v>3782512025.6375861</v>
      </c>
    </row>
    <row r="1381" spans="14:14">
      <c r="N1381" s="3">
        <v>1354418065.2737141</v>
      </c>
    </row>
    <row r="1382" spans="14:14">
      <c r="N1382" s="3">
        <v>4309593362.290144</v>
      </c>
    </row>
    <row r="1383" spans="14:14">
      <c r="N1383" s="3">
        <v>5582965689.997488</v>
      </c>
    </row>
    <row r="1384" spans="14:14">
      <c r="N1384" s="3">
        <v>3529117751.0946879</v>
      </c>
    </row>
    <row r="1385" spans="14:14">
      <c r="N1385" s="3">
        <v>3519382990.8317657</v>
      </c>
    </row>
    <row r="1386" spans="14:14">
      <c r="N1386" s="3">
        <v>2005451173.0192332</v>
      </c>
    </row>
    <row r="1387" spans="14:14">
      <c r="N1387" s="3">
        <v>1983247054.2509439</v>
      </c>
    </row>
    <row r="1388" spans="14:14">
      <c r="N1388" s="3">
        <v>1494109651.9612753</v>
      </c>
    </row>
    <row r="1389" spans="14:14">
      <c r="N1389" s="3">
        <v>2810039993.2707014</v>
      </c>
    </row>
    <row r="1390" spans="14:14">
      <c r="N1390" s="3">
        <v>3166165471.7014456</v>
      </c>
    </row>
    <row r="1391" spans="14:14">
      <c r="N1391" s="3">
        <v>2103470070.9602768</v>
      </c>
    </row>
    <row r="1392" spans="14:14">
      <c r="N1392" s="3">
        <v>6573430199.2186184</v>
      </c>
    </row>
    <row r="1393" spans="14:14">
      <c r="N1393" s="3">
        <v>2010359095.2173109</v>
      </c>
    </row>
    <row r="1394" spans="14:14">
      <c r="N1394" s="3">
        <v>3689430417.5820098</v>
      </c>
    </row>
    <row r="1395" spans="14:14">
      <c r="N1395" s="3">
        <v>1664181872.1647871</v>
      </c>
    </row>
    <row r="1396" spans="14:14">
      <c r="N1396" s="3">
        <v>2648185289.1284804</v>
      </c>
    </row>
    <row r="1397" spans="14:14">
      <c r="N1397" s="3">
        <v>1447808803.6508675</v>
      </c>
    </row>
    <row r="1398" spans="14:14">
      <c r="N1398" s="3">
        <v>1499992675.7833591</v>
      </c>
    </row>
    <row r="1399" spans="14:14">
      <c r="N1399" s="3">
        <v>1888327629.5058284</v>
      </c>
    </row>
    <row r="1400" spans="14:14">
      <c r="N1400" s="3">
        <v>2656354549.4824438</v>
      </c>
    </row>
    <row r="1401" spans="14:14">
      <c r="N1401" s="3">
        <v>1911049896.2489302</v>
      </c>
    </row>
    <row r="1402" spans="14:14">
      <c r="N1402" s="3">
        <v>1848091629.2267752</v>
      </c>
    </row>
    <row r="1403" spans="14:14">
      <c r="N1403" s="3">
        <v>2678781624.3716497</v>
      </c>
    </row>
    <row r="1404" spans="14:14">
      <c r="N1404" s="3">
        <v>1391257333.6941702</v>
      </c>
    </row>
    <row r="1405" spans="14:14">
      <c r="N1405" s="3">
        <v>1916121587.4518294</v>
      </c>
    </row>
    <row r="1406" spans="14:14">
      <c r="N1406" s="3">
        <v>1758036060.66203</v>
      </c>
    </row>
    <row r="1407" spans="14:14">
      <c r="N1407" s="3">
        <v>1048839497.0722793</v>
      </c>
    </row>
    <row r="1408" spans="14:14">
      <c r="N1408" s="3">
        <v>1391369780.728277</v>
      </c>
    </row>
    <row r="1409" spans="14:14">
      <c r="N1409" s="3">
        <v>2570931063.1944747</v>
      </c>
    </row>
    <row r="1410" spans="14:14">
      <c r="N1410" s="3">
        <v>2414363989.9761419</v>
      </c>
    </row>
    <row r="1411" spans="14:14">
      <c r="N1411" s="3">
        <v>2234611796.6041021</v>
      </c>
    </row>
    <row r="1412" spans="14:14">
      <c r="N1412" s="3">
        <v>1155013773.3537385</v>
      </c>
    </row>
    <row r="1413" spans="14:14">
      <c r="N1413" s="3">
        <v>2027471467.5383546</v>
      </c>
    </row>
    <row r="1414" spans="14:14">
      <c r="N1414" s="3">
        <v>1048598926.4809418</v>
      </c>
    </row>
    <row r="1415" spans="14:14">
      <c r="N1415" s="3">
        <v>1905927889.8473163</v>
      </c>
    </row>
    <row r="1416" spans="14:14">
      <c r="N1416" s="3">
        <v>3368349753.5412436</v>
      </c>
    </row>
    <row r="1417" spans="14:14">
      <c r="N1417" s="3">
        <v>2113058050.7690167</v>
      </c>
    </row>
    <row r="1418" spans="14:14">
      <c r="N1418" s="3">
        <v>1295849914.1748993</v>
      </c>
    </row>
    <row r="1419" spans="14:14">
      <c r="N1419" s="3">
        <v>1929440803.7087936</v>
      </c>
    </row>
    <row r="1420" spans="14:14">
      <c r="N1420" s="3">
        <v>1198069846.0295572</v>
      </c>
    </row>
    <row r="1421" spans="14:14">
      <c r="N1421" s="3">
        <v>2295723116.9501328</v>
      </c>
    </row>
    <row r="1422" spans="14:14">
      <c r="N1422" s="3">
        <v>1625859063.8173172</v>
      </c>
    </row>
    <row r="1423" spans="14:14">
      <c r="N1423" s="3">
        <v>3077755104.3006568</v>
      </c>
    </row>
    <row r="1424" spans="14:14">
      <c r="N1424" s="3">
        <v>1949028596.0049782</v>
      </c>
    </row>
    <row r="1425" spans="14:14">
      <c r="N1425" s="3">
        <v>2035516017.4229198</v>
      </c>
    </row>
    <row r="1426" spans="14:14">
      <c r="N1426" s="3">
        <v>1963813835.8000097</v>
      </c>
    </row>
    <row r="1427" spans="14:14">
      <c r="N1427" s="3">
        <v>2470997452.7424507</v>
      </c>
    </row>
    <row r="1428" spans="14:14">
      <c r="N1428" s="3">
        <v>1507264606.3089128</v>
      </c>
    </row>
    <row r="1429" spans="14:14">
      <c r="N1429" s="3">
        <v>1965644174.8645561</v>
      </c>
    </row>
    <row r="1430" spans="14:14">
      <c r="N1430" s="3">
        <v>1596612818.1804087</v>
      </c>
    </row>
    <row r="1431" spans="14:14">
      <c r="N1431" s="3">
        <v>2260669865.8686137</v>
      </c>
    </row>
    <row r="1432" spans="14:14">
      <c r="N1432" s="3">
        <v>2213399453.9985456</v>
      </c>
    </row>
    <row r="1433" spans="14:14">
      <c r="N1433" s="3">
        <v>1917938805.5446529</v>
      </c>
    </row>
    <row r="1434" spans="14:14">
      <c r="N1434" s="3">
        <v>1796253211.6298642</v>
      </c>
    </row>
    <row r="1435" spans="14:14">
      <c r="N1435" s="3">
        <v>2404205673.6272907</v>
      </c>
    </row>
    <row r="1436" spans="14:14">
      <c r="N1436" s="3">
        <v>1225393773.3754318</v>
      </c>
    </row>
    <row r="1437" spans="14:14">
      <c r="N1437" s="3">
        <v>1639023395.1773012</v>
      </c>
    </row>
    <row r="1438" spans="14:14">
      <c r="N1438" s="3">
        <v>3130941792.6099777</v>
      </c>
    </row>
    <row r="1439" spans="14:14">
      <c r="N1439" s="3">
        <v>1355948652.0906706</v>
      </c>
    </row>
    <row r="1440" spans="14:14">
      <c r="N1440" s="3">
        <v>3329830048.113214</v>
      </c>
    </row>
    <row r="1441" spans="14:14">
      <c r="N1441" s="3">
        <v>2644232561.7069297</v>
      </c>
    </row>
    <row r="1442" spans="14:14">
      <c r="N1442" s="3">
        <v>1450971716.4814792</v>
      </c>
    </row>
    <row r="1443" spans="14:14">
      <c r="N1443" s="3">
        <v>3506074952.5519786</v>
      </c>
    </row>
    <row r="1444" spans="14:14">
      <c r="N1444" s="3">
        <v>1789824116.9567626</v>
      </c>
    </row>
    <row r="1445" spans="14:14">
      <c r="N1445" s="3">
        <v>1954476102.5392461</v>
      </c>
    </row>
    <row r="1446" spans="14:14">
      <c r="N1446" s="3">
        <v>2018918736.1327572</v>
      </c>
    </row>
    <row r="1447" spans="14:14">
      <c r="N1447" s="3">
        <v>1646279803.426749</v>
      </c>
    </row>
    <row r="1448" spans="14:14">
      <c r="N1448" s="3">
        <v>3540802693.1024747</v>
      </c>
    </row>
    <row r="1449" spans="14:14">
      <c r="N1449" s="3">
        <v>2463281766.4307518</v>
      </c>
    </row>
    <row r="1450" spans="14:14">
      <c r="N1450" s="3">
        <v>1878161364.6013153</v>
      </c>
    </row>
    <row r="1451" spans="14:14">
      <c r="N1451" s="3">
        <v>2082128064.3024125</v>
      </c>
    </row>
    <row r="1452" spans="14:14">
      <c r="N1452" s="3">
        <v>2007852512.679508</v>
      </c>
    </row>
    <row r="1453" spans="14:14">
      <c r="N1453" s="3">
        <v>1899953906.3647132</v>
      </c>
    </row>
    <row r="1454" spans="14:14">
      <c r="N1454" s="3">
        <v>2212910621.9582758</v>
      </c>
    </row>
    <row r="1455" spans="14:14">
      <c r="N1455" s="3">
        <v>1280643672.4409606</v>
      </c>
    </row>
    <row r="1456" spans="14:14">
      <c r="N1456" s="3">
        <v>2422145435.3321981</v>
      </c>
    </row>
    <row r="1457" spans="14:14">
      <c r="N1457" s="3">
        <v>1449329387.5758979</v>
      </c>
    </row>
    <row r="1458" spans="14:14">
      <c r="N1458" s="3">
        <v>1909912368.1715143</v>
      </c>
    </row>
    <row r="1459" spans="14:14">
      <c r="N1459" s="3">
        <v>1654177976.0295172</v>
      </c>
    </row>
    <row r="1460" spans="14:14">
      <c r="N1460" s="3">
        <v>4343551268.6925411</v>
      </c>
    </row>
    <row r="1461" spans="14:14">
      <c r="N1461" s="3">
        <v>2571855784.1580195</v>
      </c>
    </row>
    <row r="1462" spans="14:14">
      <c r="N1462" s="3">
        <v>3246683899.6586394</v>
      </c>
    </row>
    <row r="1463" spans="14:14">
      <c r="N1463" s="3">
        <v>1825885488.8129959</v>
      </c>
    </row>
    <row r="1464" spans="14:14">
      <c r="N1464" s="3">
        <v>2226104671.4622135</v>
      </c>
    </row>
    <row r="1465" spans="14:14">
      <c r="N1465" s="3">
        <v>1840622193.8174391</v>
      </c>
    </row>
    <row r="1466" spans="14:14">
      <c r="N1466" s="3">
        <v>2497672953.9585104</v>
      </c>
    </row>
    <row r="1467" spans="14:14">
      <c r="N1467" s="3">
        <v>1374382288.439187</v>
      </c>
    </row>
    <row r="1468" spans="14:14">
      <c r="N1468" s="3">
        <v>1664594694.1549592</v>
      </c>
    </row>
    <row r="1469" spans="14:14">
      <c r="N1469" s="3">
        <v>2179620592.4680924</v>
      </c>
    </row>
    <row r="1470" spans="14:14">
      <c r="N1470" s="3">
        <v>2156519856.0524974</v>
      </c>
    </row>
    <row r="1471" spans="14:14">
      <c r="N1471" s="3">
        <v>1813113459.2366028</v>
      </c>
    </row>
    <row r="1472" spans="14:14">
      <c r="N1472" s="3">
        <v>1605485483.3039393</v>
      </c>
    </row>
    <row r="1473" spans="14:14">
      <c r="N1473" s="3">
        <v>2922618452.7725906</v>
      </c>
    </row>
    <row r="1474" spans="14:14">
      <c r="N1474" s="3">
        <v>1649794468.9028862</v>
      </c>
    </row>
    <row r="1475" spans="14:14">
      <c r="N1475" s="3">
        <v>2609368454.8259673</v>
      </c>
    </row>
    <row r="1476" spans="14:14">
      <c r="N1476" s="3">
        <v>1049760853.4169884</v>
      </c>
    </row>
    <row r="1477" spans="14:14">
      <c r="N1477" s="3">
        <v>2792035189.2016077</v>
      </c>
    </row>
    <row r="1478" spans="14:14">
      <c r="N1478" s="3">
        <v>2446595140.5497522</v>
      </c>
    </row>
    <row r="1479" spans="14:14">
      <c r="N1479" s="3">
        <v>1859360351.1223824</v>
      </c>
    </row>
    <row r="1480" spans="14:14">
      <c r="N1480" s="3">
        <v>2494839973.53897</v>
      </c>
    </row>
    <row r="1481" spans="14:14">
      <c r="N1481" s="3">
        <v>1236162354.9887211</v>
      </c>
    </row>
    <row r="1482" spans="14:14">
      <c r="N1482" s="3">
        <v>1435493778.4091756</v>
      </c>
    </row>
    <row r="1483" spans="14:14">
      <c r="N1483" s="3">
        <v>2397490774.5473132</v>
      </c>
    </row>
    <row r="1484" spans="14:14">
      <c r="N1484" s="3">
        <v>1620868979.6379697</v>
      </c>
    </row>
    <row r="1485" spans="14:14">
      <c r="N1485" s="3">
        <v>2038970089.2817185</v>
      </c>
    </row>
    <row r="1486" spans="14:14">
      <c r="N1486" s="3">
        <v>3577089766.3061733</v>
      </c>
    </row>
    <row r="1487" spans="14:14">
      <c r="N1487" s="3">
        <v>2005343101.2837873</v>
      </c>
    </row>
    <row r="1488" spans="14:14">
      <c r="N1488" s="3">
        <v>1313551211.7840941</v>
      </c>
    </row>
    <row r="1489" spans="14:14">
      <c r="N1489" s="3">
        <v>1815821550.2674382</v>
      </c>
    </row>
    <row r="1490" spans="14:14">
      <c r="N1490" s="3">
        <v>2451734647.5024676</v>
      </c>
    </row>
    <row r="1491" spans="14:14">
      <c r="N1491" s="3">
        <v>1233864203.8411219</v>
      </c>
    </row>
    <row r="1492" spans="14:14">
      <c r="N1492" s="3">
        <v>1947605226.940757</v>
      </c>
    </row>
    <row r="1493" spans="14:14">
      <c r="N1493" s="3">
        <v>2654008407.7972918</v>
      </c>
    </row>
    <row r="1494" spans="14:14">
      <c r="N1494" s="3">
        <v>2199515922.7148938</v>
      </c>
    </row>
    <row r="1495" spans="14:14">
      <c r="N1495" s="3">
        <v>1909759161.3059564</v>
      </c>
    </row>
    <row r="1496" spans="14:14">
      <c r="N1496" s="3">
        <v>5842786512.9432621</v>
      </c>
    </row>
    <row r="1497" spans="14:14">
      <c r="N1497" s="3">
        <v>2337494847.1776209</v>
      </c>
    </row>
    <row r="1498" spans="14:14">
      <c r="N1498" s="3">
        <v>2677403076.1234131</v>
      </c>
    </row>
    <row r="1499" spans="14:14">
      <c r="N1499" s="3">
        <v>2168329510.1094851</v>
      </c>
    </row>
    <row r="1500" spans="14:14">
      <c r="N1500" s="3">
        <v>1965749989.590193</v>
      </c>
    </row>
    <row r="1501" spans="14:14">
      <c r="N1501" s="3">
        <v>2250340307.0410552</v>
      </c>
    </row>
    <row r="1502" spans="14:14">
      <c r="N1502" s="3">
        <v>1740088288.7846708</v>
      </c>
    </row>
    <row r="1503" spans="14:14">
      <c r="N1503" s="3">
        <v>2511585750.0075545</v>
      </c>
    </row>
    <row r="1504" spans="14:14">
      <c r="N1504" s="3">
        <v>1844265547.4610858</v>
      </c>
    </row>
    <row r="1505" spans="14:14">
      <c r="N1505" s="3">
        <v>1110551460.2709451</v>
      </c>
    </row>
    <row r="1506" spans="14:14">
      <c r="N1506" s="3">
        <v>2803779676.535161</v>
      </c>
    </row>
    <row r="1507" spans="14:14">
      <c r="N1507" s="3">
        <v>3420926043.4806986</v>
      </c>
    </row>
    <row r="1508" spans="14:14">
      <c r="N1508" s="3">
        <v>1850861863.9541426</v>
      </c>
    </row>
    <row r="1509" spans="14:14">
      <c r="N1509" s="3">
        <v>1538912369.4368901</v>
      </c>
    </row>
    <row r="1510" spans="14:14">
      <c r="N1510" s="3">
        <v>1219238306.7387056</v>
      </c>
    </row>
    <row r="1511" spans="14:14">
      <c r="N1511" s="3">
        <v>1889480638.3490903</v>
      </c>
    </row>
    <row r="1512" spans="14:14">
      <c r="N1512" s="3">
        <v>4560696206.5338383</v>
      </c>
    </row>
    <row r="1513" spans="14:14">
      <c r="N1513" s="3">
        <v>2790032714.8819513</v>
      </c>
    </row>
    <row r="1514" spans="14:14">
      <c r="N1514" s="3">
        <v>958824119.81857955</v>
      </c>
    </row>
    <row r="1515" spans="14:14">
      <c r="N1515" s="3">
        <v>1633109578.0798059</v>
      </c>
    </row>
    <row r="1516" spans="14:14">
      <c r="N1516" s="3">
        <v>1849648586.8845792</v>
      </c>
    </row>
    <row r="1517" spans="14:14">
      <c r="N1517" s="3">
        <v>2671341243.1713204</v>
      </c>
    </row>
    <row r="1518" spans="14:14">
      <c r="N1518" s="3">
        <v>2676544011.9163842</v>
      </c>
    </row>
    <row r="1519" spans="14:14">
      <c r="N1519" s="3">
        <v>1536848495.7292771</v>
      </c>
    </row>
    <row r="1520" spans="14:14">
      <c r="N1520" s="3">
        <v>3101470430.2462573</v>
      </c>
    </row>
    <row r="1521" spans="14:14">
      <c r="N1521" s="3">
        <v>3288608173.6308041</v>
      </c>
    </row>
    <row r="1522" spans="14:14">
      <c r="N1522" s="3">
        <v>1558012754.2546964</v>
      </c>
    </row>
    <row r="1523" spans="14:14">
      <c r="N1523" s="3">
        <v>2869200344.0846539</v>
      </c>
    </row>
    <row r="1524" spans="14:14">
      <c r="N1524" s="3">
        <v>1917847223.4160166</v>
      </c>
    </row>
    <row r="1525" spans="14:14">
      <c r="N1525" s="3">
        <v>2836639118.9625244</v>
      </c>
    </row>
    <row r="1526" spans="14:14">
      <c r="N1526" s="3">
        <v>2187205304.4888315</v>
      </c>
    </row>
    <row r="1527" spans="14:14">
      <c r="N1527" s="3">
        <v>2463994780.2384925</v>
      </c>
    </row>
    <row r="1528" spans="14:14">
      <c r="N1528" s="3">
        <v>999291439.09636045</v>
      </c>
    </row>
    <row r="1529" spans="14:14">
      <c r="N1529" s="3">
        <v>1653545437.6475329</v>
      </c>
    </row>
    <row r="1530" spans="14:14">
      <c r="N1530" s="3">
        <v>2910752012.5706468</v>
      </c>
    </row>
    <row r="1531" spans="14:14">
      <c r="N1531" s="3">
        <v>1223686557.7796853</v>
      </c>
    </row>
    <row r="1532" spans="14:14">
      <c r="N1532" s="3">
        <v>2726725684.0864716</v>
      </c>
    </row>
    <row r="1533" spans="14:14">
      <c r="N1533" s="3">
        <v>2770146392.9565315</v>
      </c>
    </row>
    <row r="1534" spans="14:14">
      <c r="N1534" s="3">
        <v>1829593876.2843144</v>
      </c>
    </row>
    <row r="1535" spans="14:14">
      <c r="N1535" s="3">
        <v>1722564588.4725492</v>
      </c>
    </row>
    <row r="1536" spans="14:14">
      <c r="N1536" s="3">
        <v>1324248943.5179234</v>
      </c>
    </row>
    <row r="1537" spans="14:14">
      <c r="N1537" s="3">
        <v>1803672955.6658397</v>
      </c>
    </row>
    <row r="1538" spans="14:14">
      <c r="N1538" s="3">
        <v>1778934184.2441187</v>
      </c>
    </row>
    <row r="1539" spans="14:14">
      <c r="N1539" s="3">
        <v>2272362541.5601854</v>
      </c>
    </row>
    <row r="1540" spans="14:14">
      <c r="N1540" s="3">
        <v>2386352487.8428707</v>
      </c>
    </row>
    <row r="1541" spans="14:14">
      <c r="N1541" s="3">
        <v>1905987179.1045115</v>
      </c>
    </row>
    <row r="1542" spans="14:14">
      <c r="N1542" s="3">
        <v>2426368677.5200815</v>
      </c>
    </row>
    <row r="1543" spans="14:14">
      <c r="N1543" s="3">
        <v>1452757955.0579436</v>
      </c>
    </row>
    <row r="1544" spans="14:14">
      <c r="N1544" s="3">
        <v>1618828930.8045752</v>
      </c>
    </row>
    <row r="1545" spans="14:14">
      <c r="N1545" s="3">
        <v>2338541204.5204835</v>
      </c>
    </row>
    <row r="1546" spans="14:14">
      <c r="N1546" s="3">
        <v>1321035653.0400255</v>
      </c>
    </row>
    <row r="1547" spans="14:14">
      <c r="N1547" s="3">
        <v>1479572291.0555236</v>
      </c>
    </row>
    <row r="1548" spans="14:14">
      <c r="N1548" s="3">
        <v>1048332808.2230057</v>
      </c>
    </row>
    <row r="1549" spans="14:14">
      <c r="N1549" s="3">
        <v>3346454413.638021</v>
      </c>
    </row>
    <row r="1550" spans="14:14">
      <c r="N1550" s="3">
        <v>2590881528.1237187</v>
      </c>
    </row>
    <row r="1551" spans="14:14">
      <c r="N1551" s="3">
        <v>2849504385.5364456</v>
      </c>
    </row>
    <row r="1552" spans="14:14">
      <c r="N1552" s="3">
        <v>2186139907.2563195</v>
      </c>
    </row>
    <row r="1553" spans="14:14">
      <c r="N1553" s="3">
        <v>3041603768.1898232</v>
      </c>
    </row>
    <row r="1554" spans="14:14">
      <c r="N1554" s="3">
        <v>2083604306.5746357</v>
      </c>
    </row>
    <row r="1555" spans="14:14">
      <c r="N1555" s="3">
        <v>3274022020.0151372</v>
      </c>
    </row>
    <row r="1556" spans="14:14">
      <c r="N1556" s="3">
        <v>3055029465.104938</v>
      </c>
    </row>
    <row r="1557" spans="14:14">
      <c r="N1557" s="3">
        <v>3560697100.2053151</v>
      </c>
    </row>
    <row r="1558" spans="14:14">
      <c r="N1558" s="3">
        <v>2616183891.3570533</v>
      </c>
    </row>
    <row r="1559" spans="14:14">
      <c r="N1559" s="3">
        <v>1944826577.4489868</v>
      </c>
    </row>
    <row r="1560" spans="14:14">
      <c r="N1560" s="3">
        <v>1485855215.909163</v>
      </c>
    </row>
    <row r="1561" spans="14:14">
      <c r="N1561" s="3">
        <v>2221198243.9384737</v>
      </c>
    </row>
    <row r="1562" spans="14:14">
      <c r="N1562" s="3">
        <v>1245139365.9587076</v>
      </c>
    </row>
    <row r="1563" spans="14:14">
      <c r="N1563" s="3">
        <v>1886478968.6051681</v>
      </c>
    </row>
    <row r="1564" spans="14:14">
      <c r="N1564" s="3">
        <v>1170870710.7208319</v>
      </c>
    </row>
    <row r="1565" spans="14:14">
      <c r="N1565" s="3">
        <v>1733151830.2354791</v>
      </c>
    </row>
    <row r="1566" spans="14:14">
      <c r="N1566" s="3">
        <v>2977041760.4082723</v>
      </c>
    </row>
    <row r="1567" spans="14:14">
      <c r="N1567" s="3">
        <v>1773593745.1634185</v>
      </c>
    </row>
    <row r="1568" spans="14:14">
      <c r="N1568" s="3">
        <v>1894078883.0479097</v>
      </c>
    </row>
    <row r="1569" spans="14:14">
      <c r="N1569" s="3">
        <v>1383015310.7202039</v>
      </c>
    </row>
    <row r="1570" spans="14:14">
      <c r="N1570" s="3">
        <v>2996192078.8637662</v>
      </c>
    </row>
    <row r="1571" spans="14:14">
      <c r="N1571" s="3">
        <v>1896564385.3408604</v>
      </c>
    </row>
    <row r="1572" spans="14:14">
      <c r="N1572" s="3">
        <v>1575871720.0910611</v>
      </c>
    </row>
    <row r="1573" spans="14:14">
      <c r="N1573" s="3">
        <v>1267596904.0595019</v>
      </c>
    </row>
    <row r="1574" spans="14:14">
      <c r="N1574" s="3">
        <v>1399348688.2558174</v>
      </c>
    </row>
    <row r="1575" spans="14:14">
      <c r="N1575" s="3">
        <v>2006495187.3804955</v>
      </c>
    </row>
    <row r="1576" spans="14:14">
      <c r="N1576" s="3">
        <v>2405157977.3513675</v>
      </c>
    </row>
    <row r="1577" spans="14:14">
      <c r="N1577" s="3">
        <v>1126659646.2213001</v>
      </c>
    </row>
    <row r="1578" spans="14:14">
      <c r="N1578" s="3">
        <v>2241432939.7614737</v>
      </c>
    </row>
    <row r="1579" spans="14:14">
      <c r="N1579" s="3">
        <v>3960093744.1900206</v>
      </c>
    </row>
    <row r="1580" spans="14:14">
      <c r="N1580" s="3">
        <v>3589018527.9763055</v>
      </c>
    </row>
    <row r="1581" spans="14:14">
      <c r="N1581" s="3">
        <v>1778839993.1047707</v>
      </c>
    </row>
    <row r="1582" spans="14:14">
      <c r="N1582" s="3">
        <v>1211448511.9418976</v>
      </c>
    </row>
    <row r="1583" spans="14:14">
      <c r="N1583" s="3">
        <v>1833438362.0357587</v>
      </c>
    </row>
    <row r="1584" spans="14:14">
      <c r="N1584" s="3">
        <v>1830549844.0408587</v>
      </c>
    </row>
    <row r="1585" spans="14:14">
      <c r="N1585" s="3">
        <v>2471111903.3069358</v>
      </c>
    </row>
    <row r="1586" spans="14:14">
      <c r="N1586" s="3">
        <v>2235429758.6023746</v>
      </c>
    </row>
    <row r="1587" spans="14:14">
      <c r="N1587" s="3">
        <v>823368054.32341874</v>
      </c>
    </row>
    <row r="1588" spans="14:14">
      <c r="N1588" s="3">
        <v>3485015388.0874882</v>
      </c>
    </row>
    <row r="1589" spans="14:14">
      <c r="N1589" s="3">
        <v>924748518.56218815</v>
      </c>
    </row>
    <row r="1590" spans="14:14">
      <c r="N1590" s="3">
        <v>2119687256.4361224</v>
      </c>
    </row>
    <row r="1591" spans="14:14">
      <c r="N1591" s="3">
        <v>3479402594.4720731</v>
      </c>
    </row>
    <row r="1592" spans="14:14">
      <c r="N1592" s="3">
        <v>3297585887.9105558</v>
      </c>
    </row>
    <row r="1593" spans="14:14">
      <c r="N1593" s="3">
        <v>1395549074.0952976</v>
      </c>
    </row>
    <row r="1594" spans="14:14">
      <c r="N1594" s="3">
        <v>3630282853.4955983</v>
      </c>
    </row>
    <row r="1595" spans="14:14">
      <c r="N1595" s="3">
        <v>1286611128.7871635</v>
      </c>
    </row>
    <row r="1596" spans="14:14">
      <c r="N1596" s="3">
        <v>1942627737.2100282</v>
      </c>
    </row>
    <row r="1597" spans="14:14">
      <c r="N1597" s="3">
        <v>2365092726.3212523</v>
      </c>
    </row>
    <row r="1598" spans="14:14">
      <c r="N1598" s="3">
        <v>1908306936.356251</v>
      </c>
    </row>
    <row r="1599" spans="14:14">
      <c r="N1599" s="3">
        <v>1424432150.3876338</v>
      </c>
    </row>
    <row r="1600" spans="14:14">
      <c r="N1600" s="3">
        <v>1230802964.974998</v>
      </c>
    </row>
    <row r="1601" spans="14:14">
      <c r="N1601" s="3">
        <v>1599206439.7175136</v>
      </c>
    </row>
    <row r="1602" spans="14:14">
      <c r="N1602" s="3">
        <v>3899918004.8067193</v>
      </c>
    </row>
    <row r="1603" spans="14:14">
      <c r="N1603" s="3">
        <v>3191243405.0320024</v>
      </c>
    </row>
    <row r="1604" spans="14:14">
      <c r="N1604" s="3">
        <v>2042756996.0297735</v>
      </c>
    </row>
    <row r="1605" spans="14:14">
      <c r="N1605" s="3">
        <v>2407874665.7736683</v>
      </c>
    </row>
    <row r="1606" spans="14:14">
      <c r="N1606" s="3">
        <v>2402108106.9607925</v>
      </c>
    </row>
    <row r="1607" spans="14:14">
      <c r="N1607" s="3">
        <v>1188380722.97878</v>
      </c>
    </row>
    <row r="1608" spans="14:14">
      <c r="N1608" s="3">
        <v>1185007397.3381779</v>
      </c>
    </row>
    <row r="1609" spans="14:14">
      <c r="N1609" s="3">
        <v>1401735828.3508477</v>
      </c>
    </row>
    <row r="1610" spans="14:14">
      <c r="N1610" s="3">
        <v>1791975611.591064</v>
      </c>
    </row>
    <row r="1611" spans="14:14">
      <c r="N1611" s="3">
        <v>2843212802.6390705</v>
      </c>
    </row>
    <row r="1612" spans="14:14">
      <c r="N1612" s="3">
        <v>3186762604.2349973</v>
      </c>
    </row>
    <row r="1613" spans="14:14">
      <c r="N1613" s="3">
        <v>2291200445.9461832</v>
      </c>
    </row>
    <row r="1614" spans="14:14">
      <c r="N1614" s="3">
        <v>2350233940.1634889</v>
      </c>
    </row>
    <row r="1615" spans="14:14">
      <c r="N1615" s="3">
        <v>2176463236.4328308</v>
      </c>
    </row>
    <row r="1616" spans="14:14">
      <c r="N1616" s="3">
        <v>1232927936.0871847</v>
      </c>
    </row>
    <row r="1617" spans="14:14">
      <c r="N1617" s="3">
        <v>1730511651.4039168</v>
      </c>
    </row>
    <row r="1618" spans="14:14">
      <c r="N1618" s="3">
        <v>658979413.36428523</v>
      </c>
    </row>
    <row r="1619" spans="14:14">
      <c r="N1619" s="3">
        <v>1641096104.4491978</v>
      </c>
    </row>
    <row r="1620" spans="14:14">
      <c r="N1620" s="3">
        <v>2996323482.8441024</v>
      </c>
    </row>
    <row r="1621" spans="14:14">
      <c r="N1621" s="3">
        <v>1447742146.5609703</v>
      </c>
    </row>
    <row r="1622" spans="14:14">
      <c r="N1622" s="3">
        <v>1884292946.0693948</v>
      </c>
    </row>
    <row r="1623" spans="14:14">
      <c r="N1623" s="3">
        <v>4760454886.8413963</v>
      </c>
    </row>
    <row r="1624" spans="14:14">
      <c r="N1624" s="3">
        <v>2644155904.6407604</v>
      </c>
    </row>
    <row r="1625" spans="14:14">
      <c r="N1625" s="3">
        <v>2188794918.7951488</v>
      </c>
    </row>
    <row r="1626" spans="14:14">
      <c r="N1626" s="3">
        <v>2348666822.4042239</v>
      </c>
    </row>
    <row r="1627" spans="14:14">
      <c r="N1627" s="3">
        <v>3185599568.0474176</v>
      </c>
    </row>
    <row r="1628" spans="14:14">
      <c r="N1628" s="3">
        <v>1258322686.2127776</v>
      </c>
    </row>
    <row r="1629" spans="14:14">
      <c r="N1629" s="3">
        <v>1849472226.0800235</v>
      </c>
    </row>
    <row r="1630" spans="14:14">
      <c r="N1630" s="3">
        <v>3454908658.3398705</v>
      </c>
    </row>
    <row r="1631" spans="14:14">
      <c r="N1631" s="3">
        <v>2335234317.478447</v>
      </c>
    </row>
    <row r="1632" spans="14:14">
      <c r="N1632" s="3">
        <v>1524620660.619699</v>
      </c>
    </row>
    <row r="1633" spans="14:14">
      <c r="N1633" s="3">
        <v>1530878424.3056471</v>
      </c>
    </row>
    <row r="1634" spans="14:14">
      <c r="N1634" s="3">
        <v>2693155623.5724344</v>
      </c>
    </row>
    <row r="1635" spans="14:14">
      <c r="N1635" s="3">
        <v>2424882405.8050494</v>
      </c>
    </row>
    <row r="1636" spans="14:14">
      <c r="N1636" s="3">
        <v>3114710815.3692374</v>
      </c>
    </row>
    <row r="1637" spans="14:14">
      <c r="N1637" s="3">
        <v>1842838099.6811523</v>
      </c>
    </row>
    <row r="1638" spans="14:14">
      <c r="N1638" s="3">
        <v>1380841020.0256183</v>
      </c>
    </row>
    <row r="1639" spans="14:14">
      <c r="N1639" s="3">
        <v>1400683869.7330141</v>
      </c>
    </row>
    <row r="1640" spans="14:14">
      <c r="N1640" s="3">
        <v>2590326995.298173</v>
      </c>
    </row>
    <row r="1641" spans="14:14">
      <c r="N1641" s="3">
        <v>2044251019.6841755</v>
      </c>
    </row>
    <row r="1642" spans="14:14">
      <c r="N1642" s="3">
        <v>2221755243.7399979</v>
      </c>
    </row>
    <row r="1643" spans="14:14">
      <c r="N1643" s="3">
        <v>2430517379.9734454</v>
      </c>
    </row>
    <row r="1644" spans="14:14">
      <c r="N1644" s="3">
        <v>1527267515.4175732</v>
      </c>
    </row>
    <row r="1645" spans="14:14">
      <c r="N1645" s="3">
        <v>2575914449.9845228</v>
      </c>
    </row>
    <row r="1646" spans="14:14">
      <c r="N1646" s="3">
        <v>2395116727.5204835</v>
      </c>
    </row>
    <row r="1647" spans="14:14">
      <c r="N1647" s="3">
        <v>1910917658.1399081</v>
      </c>
    </row>
    <row r="1648" spans="14:14">
      <c r="N1648" s="3">
        <v>2687130725.1227469</v>
      </c>
    </row>
    <row r="1649" spans="14:14">
      <c r="N1649" s="3">
        <v>2752523046.8413978</v>
      </c>
    </row>
    <row r="1650" spans="14:14">
      <c r="N1650" s="3">
        <v>1734046869.0623014</v>
      </c>
    </row>
    <row r="1651" spans="14:14">
      <c r="N1651" s="3">
        <v>2960707500.0947466</v>
      </c>
    </row>
    <row r="1652" spans="14:14">
      <c r="N1652" s="3">
        <v>3050432313.0487027</v>
      </c>
    </row>
    <row r="1653" spans="14:14">
      <c r="N1653" s="3">
        <v>1430189829.5791523</v>
      </c>
    </row>
    <row r="1654" spans="14:14">
      <c r="N1654" s="3">
        <v>2191987278.6456361</v>
      </c>
    </row>
    <row r="1655" spans="14:14">
      <c r="N1655" s="3">
        <v>1651687748.5557554</v>
      </c>
    </row>
    <row r="1656" spans="14:14">
      <c r="N1656" s="3">
        <v>2502776368.0985885</v>
      </c>
    </row>
    <row r="1657" spans="14:14">
      <c r="N1657" s="3">
        <v>2250701080.9592443</v>
      </c>
    </row>
    <row r="1658" spans="14:14">
      <c r="N1658" s="3">
        <v>2183098338.3036509</v>
      </c>
    </row>
    <row r="1659" spans="14:14">
      <c r="N1659" s="3">
        <v>1692079994.8781867</v>
      </c>
    </row>
    <row r="1660" spans="14:14">
      <c r="N1660" s="3">
        <v>1024823811.7231168</v>
      </c>
    </row>
    <row r="1661" spans="14:14">
      <c r="N1661" s="3">
        <v>3042904837.1806035</v>
      </c>
    </row>
    <row r="1662" spans="14:14">
      <c r="N1662" s="3">
        <v>1449485052.0550389</v>
      </c>
    </row>
    <row r="1663" spans="14:14">
      <c r="N1663" s="3">
        <v>3109764477.4536486</v>
      </c>
    </row>
    <row r="1664" spans="14:14">
      <c r="N1664" s="3">
        <v>2935479565.1387749</v>
      </c>
    </row>
    <row r="1665" spans="14:14">
      <c r="N1665" s="3">
        <v>2069829868.2680662</v>
      </c>
    </row>
    <row r="1666" spans="14:14">
      <c r="N1666" s="3">
        <v>3109892389.8820214</v>
      </c>
    </row>
    <row r="1667" spans="14:14">
      <c r="N1667" s="3">
        <v>3494876184.5493822</v>
      </c>
    </row>
    <row r="1668" spans="14:14">
      <c r="N1668" s="3">
        <v>2401605916.8084984</v>
      </c>
    </row>
    <row r="1669" spans="14:14">
      <c r="N1669" s="3">
        <v>3351117641.1023126</v>
      </c>
    </row>
    <row r="1670" spans="14:14">
      <c r="N1670" s="3">
        <v>2280523304.5051651</v>
      </c>
    </row>
    <row r="1671" spans="14:14">
      <c r="N1671" s="3">
        <v>1945454246.9787109</v>
      </c>
    </row>
    <row r="1672" spans="14:14">
      <c r="N1672" s="3">
        <v>2071548159.0781136</v>
      </c>
    </row>
    <row r="1673" spans="14:14">
      <c r="N1673" s="3">
        <v>1420668716.9159648</v>
      </c>
    </row>
    <row r="1674" spans="14:14">
      <c r="N1674" s="3">
        <v>1566450931.4023364</v>
      </c>
    </row>
    <row r="1675" spans="14:14">
      <c r="N1675" s="3">
        <v>2437133416.6889029</v>
      </c>
    </row>
    <row r="1676" spans="14:14">
      <c r="N1676" s="3">
        <v>1342796318.8357987</v>
      </c>
    </row>
    <row r="1677" spans="14:14">
      <c r="N1677" s="3">
        <v>1538938744.4747529</v>
      </c>
    </row>
    <row r="1678" spans="14:14">
      <c r="N1678" s="3">
        <v>2324114417.6832852</v>
      </c>
    </row>
    <row r="1679" spans="14:14">
      <c r="N1679" s="3">
        <v>2823365859.8707986</v>
      </c>
    </row>
    <row r="1680" spans="14:14">
      <c r="N1680" s="3">
        <v>2079919902.287185</v>
      </c>
    </row>
    <row r="1681" spans="14:14">
      <c r="N1681" s="3">
        <v>1787741282.1984107</v>
      </c>
    </row>
    <row r="1682" spans="14:14">
      <c r="N1682" s="3">
        <v>3101473592.966835</v>
      </c>
    </row>
    <row r="1683" spans="14:14">
      <c r="N1683" s="3">
        <v>2034185115.923362</v>
      </c>
    </row>
    <row r="1684" spans="14:14">
      <c r="N1684" s="3">
        <v>3183359918.0321527</v>
      </c>
    </row>
    <row r="1685" spans="14:14">
      <c r="N1685" s="3">
        <v>1224184012.6138625</v>
      </c>
    </row>
    <row r="1686" spans="14:14">
      <c r="N1686" s="3">
        <v>1616957682.7746475</v>
      </c>
    </row>
    <row r="1687" spans="14:14">
      <c r="N1687" s="3">
        <v>1728366960.605777</v>
      </c>
    </row>
    <row r="1688" spans="14:14">
      <c r="N1688" s="3">
        <v>1279464568.6341271</v>
      </c>
    </row>
    <row r="1689" spans="14:14">
      <c r="N1689" s="3">
        <v>1262958485.5560923</v>
      </c>
    </row>
    <row r="1690" spans="14:14">
      <c r="N1690" s="3">
        <v>3385540023.8662772</v>
      </c>
    </row>
    <row r="1691" spans="14:14">
      <c r="N1691" s="3">
        <v>1204695293.7419498</v>
      </c>
    </row>
    <row r="1692" spans="14:14">
      <c r="N1692" s="3">
        <v>1204781636.6029513</v>
      </c>
    </row>
    <row r="1693" spans="14:14">
      <c r="N1693" s="3">
        <v>2717607528.688942</v>
      </c>
    </row>
    <row r="1694" spans="14:14">
      <c r="N1694" s="3">
        <v>1303243664.2561765</v>
      </c>
    </row>
    <row r="1695" spans="14:14">
      <c r="N1695" s="3">
        <v>1244426068.2626758</v>
      </c>
    </row>
    <row r="1696" spans="14:14">
      <c r="N1696" s="3">
        <v>1865028297.5970259</v>
      </c>
    </row>
    <row r="1697" spans="14:14">
      <c r="N1697" s="3">
        <v>3757170101.4734392</v>
      </c>
    </row>
    <row r="1698" spans="14:14">
      <c r="N1698" s="3">
        <v>2450476438.9420729</v>
      </c>
    </row>
    <row r="1699" spans="14:14">
      <c r="N1699" s="3">
        <v>1693027036.5044053</v>
      </c>
    </row>
    <row r="1700" spans="14:14">
      <c r="N1700" s="3">
        <v>3097422481.1662803</v>
      </c>
    </row>
    <row r="1701" spans="14:14">
      <c r="N1701" s="3">
        <v>2047842351.3542011</v>
      </c>
    </row>
    <row r="1702" spans="14:14">
      <c r="N1702" s="3">
        <v>2703775600.1858926</v>
      </c>
    </row>
    <row r="1703" spans="14:14">
      <c r="N1703" s="3">
        <v>2277524526.9847217</v>
      </c>
    </row>
    <row r="1704" spans="14:14">
      <c r="N1704" s="3">
        <v>2128913425.1186879</v>
      </c>
    </row>
    <row r="1705" spans="14:14">
      <c r="N1705" s="3">
        <v>1994367671.4776697</v>
      </c>
    </row>
    <row r="1706" spans="14:14">
      <c r="N1706" s="3">
        <v>3005251329.2998295</v>
      </c>
    </row>
    <row r="1707" spans="14:14">
      <c r="N1707" s="3">
        <v>2944564994.0651464</v>
      </c>
    </row>
    <row r="1708" spans="14:14">
      <c r="N1708" s="3">
        <v>2871572008.331069</v>
      </c>
    </row>
    <row r="1709" spans="14:14">
      <c r="N1709" s="3">
        <v>1542132747.7758329</v>
      </c>
    </row>
    <row r="1710" spans="14:14">
      <c r="N1710" s="3">
        <v>1997763586.8181977</v>
      </c>
    </row>
    <row r="1711" spans="14:14">
      <c r="N1711" s="3">
        <v>1644261598.3539922</v>
      </c>
    </row>
    <row r="1712" spans="14:14">
      <c r="N1712" s="3">
        <v>1354462143.0888176</v>
      </c>
    </row>
    <row r="1713" spans="14:14">
      <c r="N1713" s="3">
        <v>2092914918.1215942</v>
      </c>
    </row>
    <row r="1714" spans="14:14">
      <c r="N1714" s="3">
        <v>1940826212.7887611</v>
      </c>
    </row>
    <row r="1715" spans="14:14">
      <c r="N1715" s="3">
        <v>2732924681.844903</v>
      </c>
    </row>
    <row r="1716" spans="14:14">
      <c r="N1716" s="3">
        <v>1610072922.8003516</v>
      </c>
    </row>
    <row r="1717" spans="14:14">
      <c r="N1717" s="3">
        <v>3730184952.0490127</v>
      </c>
    </row>
    <row r="1718" spans="14:14">
      <c r="N1718" s="3">
        <v>5394625858.8795862</v>
      </c>
    </row>
    <row r="1719" spans="14:14">
      <c r="N1719" s="3">
        <v>1521103228.1914108</v>
      </c>
    </row>
    <row r="1720" spans="14:14">
      <c r="N1720" s="3">
        <v>2746627659.0100403</v>
      </c>
    </row>
    <row r="1721" spans="14:14">
      <c r="N1721" s="3">
        <v>1592866910.9066727</v>
      </c>
    </row>
    <row r="1722" spans="14:14">
      <c r="N1722" s="3">
        <v>2256457838.6343861</v>
      </c>
    </row>
    <row r="1723" spans="14:14">
      <c r="N1723" s="3">
        <v>1564940018.7830625</v>
      </c>
    </row>
    <row r="1724" spans="14:14">
      <c r="N1724" s="3">
        <v>1417426800.8744307</v>
      </c>
    </row>
    <row r="1725" spans="14:14">
      <c r="N1725" s="3">
        <v>1315558422.2934346</v>
      </c>
    </row>
    <row r="1726" spans="14:14">
      <c r="N1726" s="3">
        <v>2632018831.4920278</v>
      </c>
    </row>
    <row r="1727" spans="14:14">
      <c r="N1727" s="3">
        <v>2844358282.0958815</v>
      </c>
    </row>
    <row r="1728" spans="14:14">
      <c r="N1728" s="3">
        <v>2870880542.8675604</v>
      </c>
    </row>
    <row r="1729" spans="14:14">
      <c r="N1729" s="3">
        <v>3536353247.4715848</v>
      </c>
    </row>
    <row r="1730" spans="14:14">
      <c r="N1730" s="3">
        <v>2496850458.351253</v>
      </c>
    </row>
    <row r="1731" spans="14:14">
      <c r="N1731" s="3">
        <v>1662312748.1077273</v>
      </c>
    </row>
    <row r="1732" spans="14:14">
      <c r="N1732" s="3">
        <v>1975982694.0919881</v>
      </c>
    </row>
    <row r="1733" spans="14:14">
      <c r="N1733" s="3">
        <v>3498084599.3382769</v>
      </c>
    </row>
    <row r="1734" spans="14:14">
      <c r="N1734" s="3">
        <v>1387247612.8277438</v>
      </c>
    </row>
    <row r="1735" spans="14:14">
      <c r="N1735" s="3">
        <v>1988620875.9337468</v>
      </c>
    </row>
    <row r="1736" spans="14:14">
      <c r="N1736" s="3">
        <v>3373353917.0192447</v>
      </c>
    </row>
    <row r="1737" spans="14:14">
      <c r="N1737" s="3">
        <v>1329507705.4552321</v>
      </c>
    </row>
    <row r="1738" spans="14:14">
      <c r="N1738" s="3">
        <v>1985318893.3364701</v>
      </c>
    </row>
    <row r="1739" spans="14:14">
      <c r="N1739" s="3">
        <v>1665547157.854239</v>
      </c>
    </row>
    <row r="1740" spans="14:14">
      <c r="N1740" s="3">
        <v>2211154822.1291881</v>
      </c>
    </row>
    <row r="1741" spans="14:14">
      <c r="N1741" s="3">
        <v>1903448350.9750535</v>
      </c>
    </row>
    <row r="1742" spans="14:14">
      <c r="N1742" s="3">
        <v>3764581155.4060974</v>
      </c>
    </row>
    <row r="1743" spans="14:14">
      <c r="N1743" s="3">
        <v>3315291963.8515968</v>
      </c>
    </row>
    <row r="1744" spans="14:14">
      <c r="N1744" s="3">
        <v>3483666490.5212574</v>
      </c>
    </row>
    <row r="1745" spans="14:14">
      <c r="N1745" s="3">
        <v>2209545480.7439475</v>
      </c>
    </row>
    <row r="1746" spans="14:14">
      <c r="N1746" s="3">
        <v>2300481625.1421113</v>
      </c>
    </row>
    <row r="1747" spans="14:14">
      <c r="N1747" s="3">
        <v>3007571313.197988</v>
      </c>
    </row>
    <row r="1748" spans="14:14">
      <c r="N1748" s="3">
        <v>1414324340.0547404</v>
      </c>
    </row>
    <row r="1749" spans="14:14">
      <c r="N1749" s="3">
        <v>2307441132.1761289</v>
      </c>
    </row>
    <row r="1750" spans="14:14">
      <c r="N1750" s="3">
        <v>2647874018.5534244</v>
      </c>
    </row>
    <row r="1751" spans="14:14">
      <c r="N1751" s="3">
        <v>2588946291.2261457</v>
      </c>
    </row>
    <row r="1752" spans="14:14">
      <c r="N1752" s="3">
        <v>1938479853.8199415</v>
      </c>
    </row>
    <row r="1753" spans="14:14">
      <c r="N1753" s="3">
        <v>2478788296.5534911</v>
      </c>
    </row>
    <row r="1754" spans="14:14">
      <c r="N1754" s="3">
        <v>1897839324.815351</v>
      </c>
    </row>
    <row r="1755" spans="14:14">
      <c r="N1755" s="3">
        <v>1826394229.7773666</v>
      </c>
    </row>
    <row r="1756" spans="14:14">
      <c r="N1756" s="3">
        <v>1500843074.3229461</v>
      </c>
    </row>
    <row r="1757" spans="14:14">
      <c r="N1757" s="3">
        <v>4232025597.602088</v>
      </c>
    </row>
    <row r="1758" spans="14:14">
      <c r="N1758" s="3">
        <v>1740179525.3961611</v>
      </c>
    </row>
    <row r="1759" spans="14:14">
      <c r="N1759" s="3">
        <v>1533205135.3043704</v>
      </c>
    </row>
    <row r="1760" spans="14:14">
      <c r="N1760" s="3">
        <v>2372295144.9974298</v>
      </c>
    </row>
    <row r="1761" spans="14:14">
      <c r="N1761" s="3">
        <v>2761955620.4123502</v>
      </c>
    </row>
    <row r="1762" spans="14:14">
      <c r="N1762" s="3">
        <v>1770965870.9607329</v>
      </c>
    </row>
    <row r="1763" spans="14:14">
      <c r="N1763" s="3">
        <v>2706541526.4594684</v>
      </c>
    </row>
    <row r="1764" spans="14:14">
      <c r="N1764" s="3">
        <v>2396966299.4096966</v>
      </c>
    </row>
    <row r="1765" spans="14:14">
      <c r="N1765" s="3">
        <v>2134651851.5107052</v>
      </c>
    </row>
    <row r="1766" spans="14:14">
      <c r="N1766" s="3">
        <v>1703810175.6895707</v>
      </c>
    </row>
    <row r="1767" spans="14:14">
      <c r="N1767" s="3">
        <v>2453506416.8378706</v>
      </c>
    </row>
    <row r="1768" spans="14:14">
      <c r="N1768" s="3">
        <v>2460177780.8837571</v>
      </c>
    </row>
    <row r="1769" spans="14:14">
      <c r="N1769" s="3">
        <v>2172964144.5933571</v>
      </c>
    </row>
    <row r="1770" spans="14:14">
      <c r="N1770" s="3">
        <v>1135049085.3441374</v>
      </c>
    </row>
    <row r="1771" spans="14:14">
      <c r="N1771" s="3">
        <v>1514584795.7520988</v>
      </c>
    </row>
    <row r="1772" spans="14:14">
      <c r="N1772" s="3">
        <v>2290373807.1412678</v>
      </c>
    </row>
    <row r="1773" spans="14:14">
      <c r="N1773" s="3">
        <v>1632180034.8559296</v>
      </c>
    </row>
    <row r="1774" spans="14:14">
      <c r="N1774" s="3">
        <v>1114958130.2461643</v>
      </c>
    </row>
    <row r="1775" spans="14:14">
      <c r="N1775" s="3">
        <v>2234993850.3751493</v>
      </c>
    </row>
    <row r="1776" spans="14:14">
      <c r="N1776" s="3">
        <v>2195897296.2513614</v>
      </c>
    </row>
    <row r="1777" spans="14:14">
      <c r="N1777" s="3">
        <v>1503864253.3349032</v>
      </c>
    </row>
    <row r="1778" spans="14:14">
      <c r="N1778" s="3">
        <v>1973732573.8003936</v>
      </c>
    </row>
    <row r="1779" spans="14:14">
      <c r="N1779" s="3">
        <v>2215390975.647656</v>
      </c>
    </row>
    <row r="1780" spans="14:14">
      <c r="N1780" s="3">
        <v>1404183352.6142035</v>
      </c>
    </row>
    <row r="1781" spans="14:14">
      <c r="N1781" s="3">
        <v>3104242549.276988</v>
      </c>
    </row>
    <row r="1782" spans="14:14">
      <c r="N1782" s="3">
        <v>1458931222.4333596</v>
      </c>
    </row>
    <row r="1783" spans="14:14">
      <c r="N1783" s="3">
        <v>2897589067.2955055</v>
      </c>
    </row>
    <row r="1784" spans="14:14">
      <c r="N1784" s="3">
        <v>3152412479.2979279</v>
      </c>
    </row>
    <row r="1785" spans="14:14">
      <c r="N1785" s="3">
        <v>1792174923.7265837</v>
      </c>
    </row>
    <row r="1786" spans="14:14">
      <c r="N1786" s="3">
        <v>2315730087.2537951</v>
      </c>
    </row>
    <row r="1787" spans="14:14">
      <c r="N1787" s="3">
        <v>1431749154.288394</v>
      </c>
    </row>
    <row r="1788" spans="14:14">
      <c r="N1788" s="3">
        <v>1622457890.3779113</v>
      </c>
    </row>
    <row r="1789" spans="14:14">
      <c r="N1789" s="3">
        <v>2342653840.700367</v>
      </c>
    </row>
    <row r="1790" spans="14:14">
      <c r="N1790" s="3">
        <v>2297481971.890399</v>
      </c>
    </row>
    <row r="1791" spans="14:14">
      <c r="N1791" s="3">
        <v>1693995834.7541316</v>
      </c>
    </row>
    <row r="1792" spans="14:14">
      <c r="N1792" s="3">
        <v>2948304920.1930165</v>
      </c>
    </row>
    <row r="1793" spans="14:14">
      <c r="N1793" s="3">
        <v>2539370434.6560855</v>
      </c>
    </row>
    <row r="1794" spans="14:14">
      <c r="N1794" s="3">
        <v>1540624373.2727532</v>
      </c>
    </row>
    <row r="1795" spans="14:14">
      <c r="N1795" s="3">
        <v>1263103848.578526</v>
      </c>
    </row>
    <row r="1796" spans="14:14">
      <c r="N1796" s="3">
        <v>2539383729.8292561</v>
      </c>
    </row>
    <row r="1797" spans="14:14">
      <c r="N1797" s="3">
        <v>2126194385.846432</v>
      </c>
    </row>
    <row r="1798" spans="14:14">
      <c r="N1798" s="3">
        <v>3472945142.3542886</v>
      </c>
    </row>
    <row r="1799" spans="14:14">
      <c r="N1799" s="3">
        <v>1785553445.782824</v>
      </c>
    </row>
    <row r="1800" spans="14:14">
      <c r="N1800" s="3">
        <v>1718163074.8987622</v>
      </c>
    </row>
    <row r="1801" spans="14:14">
      <c r="N1801" s="3">
        <v>2325595547.0760531</v>
      </c>
    </row>
    <row r="1802" spans="14:14">
      <c r="N1802" s="3">
        <v>1971657086.5296283</v>
      </c>
    </row>
    <row r="1803" spans="14:14">
      <c r="N1803" s="3">
        <v>1736585704.5065098</v>
      </c>
    </row>
    <row r="1804" spans="14:14">
      <c r="N1804" s="3">
        <v>1326579012.8198378</v>
      </c>
    </row>
    <row r="1805" spans="14:14">
      <c r="N1805" s="3">
        <v>1862259707.1297207</v>
      </c>
    </row>
    <row r="1806" spans="14:14">
      <c r="N1806" s="3">
        <v>2069500045.4794312</v>
      </c>
    </row>
    <row r="1807" spans="14:14">
      <c r="N1807" s="3">
        <v>2425265378.553452</v>
      </c>
    </row>
    <row r="1808" spans="14:14">
      <c r="N1808" s="3">
        <v>2111470676.2805653</v>
      </c>
    </row>
    <row r="1809" spans="14:14">
      <c r="N1809" s="3">
        <v>2405149805.1205292</v>
      </c>
    </row>
    <row r="1810" spans="14:14">
      <c r="N1810" s="3">
        <v>2661297452.058383</v>
      </c>
    </row>
    <row r="1811" spans="14:14">
      <c r="N1811" s="3">
        <v>1329828438.8421102</v>
      </c>
    </row>
    <row r="1812" spans="14:14">
      <c r="N1812" s="3">
        <v>1517245573.7461932</v>
      </c>
    </row>
    <row r="1813" spans="14:14">
      <c r="N1813" s="3">
        <v>2184735094.2383509</v>
      </c>
    </row>
    <row r="1814" spans="14:14">
      <c r="N1814" s="3">
        <v>1076511547.7316079</v>
      </c>
    </row>
    <row r="1815" spans="14:14">
      <c r="N1815" s="3">
        <v>2942035242.1061091</v>
      </c>
    </row>
    <row r="1816" spans="14:14">
      <c r="N1816" s="3">
        <v>1514084636.1908801</v>
      </c>
    </row>
    <row r="1817" spans="14:14">
      <c r="N1817" s="3">
        <v>2065368708.2653069</v>
      </c>
    </row>
    <row r="1818" spans="14:14">
      <c r="N1818" s="3">
        <v>2397073510.027328</v>
      </c>
    </row>
    <row r="1819" spans="14:14">
      <c r="N1819" s="3">
        <v>1691938503.6943371</v>
      </c>
    </row>
    <row r="1820" spans="14:14">
      <c r="N1820" s="3">
        <v>1503313829.2315087</v>
      </c>
    </row>
    <row r="1821" spans="14:14">
      <c r="N1821" s="3">
        <v>2620179909.2976604</v>
      </c>
    </row>
    <row r="1822" spans="14:14">
      <c r="N1822" s="3">
        <v>1995090849.5009601</v>
      </c>
    </row>
    <row r="1823" spans="14:14">
      <c r="N1823" s="3">
        <v>3355604899.2126155</v>
      </c>
    </row>
    <row r="1824" spans="14:14">
      <c r="N1824" s="3">
        <v>2457141349.3095613</v>
      </c>
    </row>
    <row r="1825" spans="14:14">
      <c r="N1825" s="3">
        <v>1407091941.4478157</v>
      </c>
    </row>
    <row r="1826" spans="14:14">
      <c r="N1826" s="3">
        <v>1978748000.7919533</v>
      </c>
    </row>
    <row r="1827" spans="14:14">
      <c r="N1827" s="3">
        <v>1665274545.4346821</v>
      </c>
    </row>
    <row r="1828" spans="14:14">
      <c r="N1828" s="3">
        <v>2545233868.5298972</v>
      </c>
    </row>
    <row r="1829" spans="14:14">
      <c r="N1829" s="3">
        <v>1742900762.1962643</v>
      </c>
    </row>
    <row r="1830" spans="14:14">
      <c r="N1830" s="3">
        <v>2497630248.8448443</v>
      </c>
    </row>
    <row r="1831" spans="14:14">
      <c r="N1831" s="3">
        <v>1373508962.476059</v>
      </c>
    </row>
    <row r="1832" spans="14:14">
      <c r="N1832" s="3">
        <v>2056008926.2727156</v>
      </c>
    </row>
    <row r="1833" spans="14:14">
      <c r="N1833" s="3">
        <v>1061968362.9243447</v>
      </c>
    </row>
    <row r="1834" spans="14:14">
      <c r="N1834" s="3">
        <v>1586636684.4198577</v>
      </c>
    </row>
    <row r="1835" spans="14:14">
      <c r="N1835" s="3">
        <v>1750232963.5715904</v>
      </c>
    </row>
    <row r="1836" spans="14:14">
      <c r="N1836" s="3">
        <v>1566616833.1310246</v>
      </c>
    </row>
    <row r="1837" spans="14:14">
      <c r="N1837" s="3">
        <v>1748044718.8507292</v>
      </c>
    </row>
    <row r="1838" spans="14:14">
      <c r="N1838" s="3">
        <v>2288933144.1283112</v>
      </c>
    </row>
    <row r="1839" spans="14:14">
      <c r="N1839" s="3">
        <v>2281204923.2347655</v>
      </c>
    </row>
    <row r="1840" spans="14:14">
      <c r="N1840" s="3">
        <v>4173954449.8971052</v>
      </c>
    </row>
    <row r="1841" spans="14:14">
      <c r="N1841" s="3">
        <v>3268032464.1431632</v>
      </c>
    </row>
    <row r="1842" spans="14:14">
      <c r="N1842" s="3">
        <v>1773177336.098346</v>
      </c>
    </row>
    <row r="1843" spans="14:14">
      <c r="N1843" s="3">
        <v>1096856149.2075052</v>
      </c>
    </row>
    <row r="1844" spans="14:14">
      <c r="N1844" s="3">
        <v>3099583605.3529668</v>
      </c>
    </row>
    <row r="1845" spans="14:14">
      <c r="N1845" s="3">
        <v>3349097103.1308055</v>
      </c>
    </row>
    <row r="1846" spans="14:14">
      <c r="N1846" s="3">
        <v>1647573255.7709348</v>
      </c>
    </row>
    <row r="1847" spans="14:14">
      <c r="N1847" s="3">
        <v>2405727719.994977</v>
      </c>
    </row>
    <row r="1848" spans="14:14">
      <c r="N1848" s="3">
        <v>2168985693.5254011</v>
      </c>
    </row>
    <row r="1849" spans="14:14">
      <c r="N1849" s="3">
        <v>2523259053.4554877</v>
      </c>
    </row>
    <row r="1850" spans="14:14">
      <c r="N1850" s="3">
        <v>3695477692.9445162</v>
      </c>
    </row>
    <row r="1851" spans="14:14">
      <c r="N1851" s="3">
        <v>2242881873.652873</v>
      </c>
    </row>
    <row r="1852" spans="14:14">
      <c r="N1852" s="3">
        <v>1604746157.2245398</v>
      </c>
    </row>
    <row r="1853" spans="14:14">
      <c r="N1853" s="3">
        <v>2882791872.9271364</v>
      </c>
    </row>
    <row r="1854" spans="14:14">
      <c r="N1854" s="3">
        <v>2658231920.9256868</v>
      </c>
    </row>
    <row r="1855" spans="14:14">
      <c r="N1855" s="3">
        <v>2677306173.7592106</v>
      </c>
    </row>
    <row r="1856" spans="14:14">
      <c r="N1856" s="3">
        <v>2077256866.4058447</v>
      </c>
    </row>
    <row r="1857" spans="14:14">
      <c r="N1857" s="3">
        <v>2353538423.1003079</v>
      </c>
    </row>
    <row r="1858" spans="14:14">
      <c r="N1858" s="3">
        <v>1935844627.9557383</v>
      </c>
    </row>
    <row r="1859" spans="14:14">
      <c r="N1859" s="3">
        <v>2016255690.014523</v>
      </c>
    </row>
    <row r="1860" spans="14:14">
      <c r="N1860" s="3">
        <v>1261054530.0083582</v>
      </c>
    </row>
    <row r="1861" spans="14:14">
      <c r="N1861" s="3">
        <v>2666499689.0147872</v>
      </c>
    </row>
    <row r="1862" spans="14:14">
      <c r="N1862" s="3">
        <v>2474079354.4319711</v>
      </c>
    </row>
    <row r="1863" spans="14:14">
      <c r="N1863" s="3">
        <v>2188023780.7217741</v>
      </c>
    </row>
    <row r="1864" spans="14:14">
      <c r="N1864" s="3">
        <v>2271204809.2630787</v>
      </c>
    </row>
    <row r="1865" spans="14:14">
      <c r="N1865" s="3">
        <v>2191374510.4651647</v>
      </c>
    </row>
    <row r="1866" spans="14:14">
      <c r="N1866" s="3">
        <v>1686065375.2339067</v>
      </c>
    </row>
    <row r="1867" spans="14:14">
      <c r="N1867" s="3">
        <v>2666958892.5557947</v>
      </c>
    </row>
    <row r="1868" spans="14:14">
      <c r="N1868" s="3">
        <v>4117221058.7185001</v>
      </c>
    </row>
    <row r="1869" spans="14:14">
      <c r="N1869" s="3">
        <v>2764368584.7997875</v>
      </c>
    </row>
    <row r="1870" spans="14:14">
      <c r="N1870" s="3">
        <v>2254659763.2554636</v>
      </c>
    </row>
    <row r="1871" spans="14:14">
      <c r="N1871" s="3">
        <v>2974879077.0028806</v>
      </c>
    </row>
    <row r="1872" spans="14:14">
      <c r="N1872" s="3">
        <v>1573364688.0505838</v>
      </c>
    </row>
    <row r="1873" spans="14:14">
      <c r="N1873" s="3">
        <v>1409160050.5882492</v>
      </c>
    </row>
    <row r="1874" spans="14:14">
      <c r="N1874" s="3">
        <v>776087409.5320127</v>
      </c>
    </row>
    <row r="1875" spans="14:14">
      <c r="N1875" s="3">
        <v>2179150621.155582</v>
      </c>
    </row>
    <row r="1876" spans="14:14">
      <c r="N1876" s="3">
        <v>3840071326.9595299</v>
      </c>
    </row>
    <row r="1877" spans="14:14">
      <c r="N1877" s="3">
        <v>1321969045.053741</v>
      </c>
    </row>
    <row r="1878" spans="14:14">
      <c r="N1878" s="3">
        <v>2248296954.5606103</v>
      </c>
    </row>
    <row r="1879" spans="14:14">
      <c r="N1879" s="3">
        <v>2155919324.1999884</v>
      </c>
    </row>
    <row r="1880" spans="14:14">
      <c r="N1880" s="3">
        <v>2957008156.173007</v>
      </c>
    </row>
    <row r="1881" spans="14:14">
      <c r="N1881" s="3">
        <v>1879366054.4261992</v>
      </c>
    </row>
    <row r="1882" spans="14:14">
      <c r="N1882" s="3">
        <v>1041310877.4434716</v>
      </c>
    </row>
    <row r="1883" spans="14:14">
      <c r="N1883" s="3">
        <v>1713263508.7173281</v>
      </c>
    </row>
    <row r="1884" spans="14:14">
      <c r="N1884" s="3">
        <v>2378688209.89148</v>
      </c>
    </row>
    <row r="1885" spans="14:14">
      <c r="N1885" s="3">
        <v>2805149454.511807</v>
      </c>
    </row>
    <row r="1886" spans="14:14">
      <c r="N1886" s="3">
        <v>2607032586.3993506</v>
      </c>
    </row>
    <row r="1887" spans="14:14">
      <c r="N1887" s="3">
        <v>3686973179.4573441</v>
      </c>
    </row>
    <row r="1888" spans="14:14">
      <c r="N1888" s="3">
        <v>3886751045.2341299</v>
      </c>
    </row>
    <row r="1889" spans="14:14">
      <c r="N1889" s="3">
        <v>2571222761.4030113</v>
      </c>
    </row>
    <row r="1890" spans="14:14">
      <c r="N1890" s="3">
        <v>2083939905.0855343</v>
      </c>
    </row>
    <row r="1891" spans="14:14">
      <c r="N1891" s="3">
        <v>1386434355.607707</v>
      </c>
    </row>
    <row r="1892" spans="14:14">
      <c r="N1892" s="3">
        <v>2507604467.5708027</v>
      </c>
    </row>
    <row r="1893" spans="14:14">
      <c r="N1893" s="3">
        <v>2620842890.6238642</v>
      </c>
    </row>
    <row r="1894" spans="14:14">
      <c r="N1894" s="3">
        <v>2806608357.2697115</v>
      </c>
    </row>
    <row r="1895" spans="14:14">
      <c r="N1895" s="3">
        <v>1953306807.8782396</v>
      </c>
    </row>
    <row r="1896" spans="14:14">
      <c r="N1896" s="3">
        <v>1587389665.1612816</v>
      </c>
    </row>
    <row r="1897" spans="14:14">
      <c r="N1897" s="3">
        <v>2688835773.2225099</v>
      </c>
    </row>
    <row r="1898" spans="14:14">
      <c r="N1898" s="3">
        <v>1907102577.317642</v>
      </c>
    </row>
    <row r="1899" spans="14:14">
      <c r="N1899" s="3">
        <v>1232837218.6818593</v>
      </c>
    </row>
    <row r="1900" spans="14:14">
      <c r="N1900" s="3">
        <v>968502742.60354292</v>
      </c>
    </row>
    <row r="1901" spans="14:14">
      <c r="N1901" s="3">
        <v>1884127597.9339511</v>
      </c>
    </row>
    <row r="1902" spans="14:14">
      <c r="N1902" s="3">
        <v>3247188769.6736493</v>
      </c>
    </row>
    <row r="1903" spans="14:14">
      <c r="N1903" s="3">
        <v>1646077096.8156674</v>
      </c>
    </row>
    <row r="1904" spans="14:14">
      <c r="N1904" s="3">
        <v>1298944003.7908795</v>
      </c>
    </row>
    <row r="1905" spans="14:14">
      <c r="N1905" s="3">
        <v>4077097337.3461986</v>
      </c>
    </row>
    <row r="1906" spans="14:14">
      <c r="N1906" s="3">
        <v>2882675684.2234693</v>
      </c>
    </row>
    <row r="1907" spans="14:14">
      <c r="N1907" s="3">
        <v>2124363030.5644548</v>
      </c>
    </row>
    <row r="1908" spans="14:14">
      <c r="N1908" s="3">
        <v>2424864806.4009523</v>
      </c>
    </row>
    <row r="1909" spans="14:14">
      <c r="N1909" s="3">
        <v>1687842895.9758284</v>
      </c>
    </row>
    <row r="1910" spans="14:14">
      <c r="N1910" s="3">
        <v>2382132223.0733323</v>
      </c>
    </row>
    <row r="1911" spans="14:14">
      <c r="N1911" s="3">
        <v>2878853395.6900163</v>
      </c>
    </row>
    <row r="1912" spans="14:14">
      <c r="N1912" s="3">
        <v>1690121990.7406883</v>
      </c>
    </row>
    <row r="1913" spans="14:14">
      <c r="N1913" s="3">
        <v>1580920180.5346336</v>
      </c>
    </row>
    <row r="1914" spans="14:14">
      <c r="N1914" s="3">
        <v>1965763021.1948087</v>
      </c>
    </row>
    <row r="1915" spans="14:14">
      <c r="N1915" s="3">
        <v>1680165929.6279299</v>
      </c>
    </row>
    <row r="1916" spans="14:14">
      <c r="N1916" s="3">
        <v>2394022459.9698629</v>
      </c>
    </row>
    <row r="1917" spans="14:14">
      <c r="N1917" s="3">
        <v>2612536088.4098682</v>
      </c>
    </row>
    <row r="1918" spans="14:14">
      <c r="N1918" s="3">
        <v>1940712272.8418908</v>
      </c>
    </row>
    <row r="1919" spans="14:14">
      <c r="N1919" s="3">
        <v>2026889266.9647248</v>
      </c>
    </row>
    <row r="1920" spans="14:14">
      <c r="N1920" s="3">
        <v>2659215425.0040598</v>
      </c>
    </row>
    <row r="1921" spans="14:14">
      <c r="N1921" s="3">
        <v>3029515239.8443232</v>
      </c>
    </row>
    <row r="1922" spans="14:14">
      <c r="N1922" s="3">
        <v>1836739201.8392599</v>
      </c>
    </row>
    <row r="1923" spans="14:14">
      <c r="N1923" s="3">
        <v>2295518997.9320288</v>
      </c>
    </row>
    <row r="1924" spans="14:14">
      <c r="N1924" s="3">
        <v>4858439242.0599413</v>
      </c>
    </row>
    <row r="1925" spans="14:14">
      <c r="N1925" s="3">
        <v>2119437385.2308238</v>
      </c>
    </row>
    <row r="1926" spans="14:14">
      <c r="N1926" s="3">
        <v>1138930067.7824793</v>
      </c>
    </row>
    <row r="1927" spans="14:14">
      <c r="N1927" s="3">
        <v>2086347910.2752545</v>
      </c>
    </row>
    <row r="1928" spans="14:14">
      <c r="N1928" s="3">
        <v>2121819150.4806831</v>
      </c>
    </row>
    <row r="1929" spans="14:14">
      <c r="N1929" s="3">
        <v>1234423248.7693846</v>
      </c>
    </row>
    <row r="1930" spans="14:14">
      <c r="N1930" s="3">
        <v>1186338094.2559686</v>
      </c>
    </row>
    <row r="1931" spans="14:14">
      <c r="N1931" s="3">
        <v>2749260934.3390965</v>
      </c>
    </row>
    <row r="1932" spans="14:14">
      <c r="N1932" s="3">
        <v>2369387266.714746</v>
      </c>
    </row>
    <row r="1933" spans="14:14">
      <c r="N1933" s="3">
        <v>2079881930.3837612</v>
      </c>
    </row>
    <row r="1934" spans="14:14">
      <c r="N1934" s="3">
        <v>2701254266.7152467</v>
      </c>
    </row>
    <row r="1935" spans="14:14">
      <c r="N1935" s="3">
        <v>2389113146.5977068</v>
      </c>
    </row>
    <row r="1936" spans="14:14">
      <c r="N1936" s="3">
        <v>1466272885.9430106</v>
      </c>
    </row>
    <row r="1937" spans="14:14">
      <c r="N1937" s="3">
        <v>2365259055.1646886</v>
      </c>
    </row>
    <row r="1938" spans="14:14">
      <c r="N1938" s="3">
        <v>4797218391.7607832</v>
      </c>
    </row>
    <row r="1939" spans="14:14">
      <c r="N1939" s="3">
        <v>1884348809.621778</v>
      </c>
    </row>
    <row r="1940" spans="14:14">
      <c r="N1940" s="3">
        <v>2467845559.6240082</v>
      </c>
    </row>
    <row r="1941" spans="14:14">
      <c r="N1941" s="3">
        <v>1908299345.4684865</v>
      </c>
    </row>
    <row r="1942" spans="14:14">
      <c r="N1942" s="3">
        <v>1514573642.2066686</v>
      </c>
    </row>
    <row r="1943" spans="14:14">
      <c r="N1943" s="3">
        <v>2399513675.3420997</v>
      </c>
    </row>
    <row r="1944" spans="14:14">
      <c r="N1944" s="3">
        <v>2508585883.7504053</v>
      </c>
    </row>
    <row r="1945" spans="14:14">
      <c r="N1945" s="3">
        <v>1671763405.7047229</v>
      </c>
    </row>
    <row r="1946" spans="14:14">
      <c r="N1946" s="3">
        <v>2245815935.8714113</v>
      </c>
    </row>
    <row r="1947" spans="14:14">
      <c r="N1947" s="3">
        <v>2454757247.0908365</v>
      </c>
    </row>
    <row r="1948" spans="14:14">
      <c r="N1948" s="3">
        <v>2064706788.4538882</v>
      </c>
    </row>
    <row r="1949" spans="14:14">
      <c r="N1949" s="3">
        <v>1714434323.2546027</v>
      </c>
    </row>
    <row r="1950" spans="14:14">
      <c r="N1950" s="3">
        <v>1943351639.4882581</v>
      </c>
    </row>
    <row r="1951" spans="14:14">
      <c r="N1951" s="3">
        <v>1775731263.6814921</v>
      </c>
    </row>
    <row r="1952" spans="14:14">
      <c r="N1952" s="3">
        <v>2169497886.4326296</v>
      </c>
    </row>
    <row r="1953" spans="14:14">
      <c r="N1953" s="3">
        <v>3923523869.8250513</v>
      </c>
    </row>
    <row r="1954" spans="14:14">
      <c r="N1954" s="3">
        <v>1719858895.6473961</v>
      </c>
    </row>
    <row r="1955" spans="14:14">
      <c r="N1955" s="3">
        <v>2104340295.0027421</v>
      </c>
    </row>
    <row r="1956" spans="14:14">
      <c r="N1956" s="3">
        <v>2258121549.12043</v>
      </c>
    </row>
    <row r="1957" spans="14:14">
      <c r="N1957" s="3">
        <v>2700435451.4964952</v>
      </c>
    </row>
    <row r="1958" spans="14:14">
      <c r="N1958" s="3">
        <v>1468051900.2011888</v>
      </c>
    </row>
    <row r="1959" spans="14:14">
      <c r="N1959" s="3">
        <v>3249951909.3070121</v>
      </c>
    </row>
    <row r="1960" spans="14:14">
      <c r="N1960" s="3">
        <v>2145274435.2284858</v>
      </c>
    </row>
    <row r="1961" spans="14:14">
      <c r="N1961" s="3">
        <v>1418148989.5061595</v>
      </c>
    </row>
    <row r="1962" spans="14:14">
      <c r="N1962" s="3">
        <v>1576909898.4849253</v>
      </c>
    </row>
    <row r="1963" spans="14:14">
      <c r="N1963" s="3">
        <v>2818733426.606813</v>
      </c>
    </row>
    <row r="1964" spans="14:14">
      <c r="N1964" s="3">
        <v>2194798516.7642336</v>
      </c>
    </row>
    <row r="1965" spans="14:14">
      <c r="N1965" s="3">
        <v>2920815635.4624472</v>
      </c>
    </row>
    <row r="1966" spans="14:14">
      <c r="N1966" s="3">
        <v>2443922611.8362164</v>
      </c>
    </row>
    <row r="1967" spans="14:14">
      <c r="N1967" s="3">
        <v>2534169873.7807565</v>
      </c>
    </row>
    <row r="1968" spans="14:14">
      <c r="N1968" s="3">
        <v>1283316590.9455588</v>
      </c>
    </row>
    <row r="1969" spans="14:14">
      <c r="N1969" s="3">
        <v>1441991579.4531696</v>
      </c>
    </row>
    <row r="1970" spans="14:14">
      <c r="N1970" s="3">
        <v>1474607741.2531087</v>
      </c>
    </row>
    <row r="1971" spans="14:14">
      <c r="N1971" s="3">
        <v>2598966650.0756416</v>
      </c>
    </row>
    <row r="1972" spans="14:14">
      <c r="N1972" s="3">
        <v>1635398391.5396986</v>
      </c>
    </row>
    <row r="1973" spans="14:14">
      <c r="N1973" s="3">
        <v>2125971665.4011526</v>
      </c>
    </row>
    <row r="1974" spans="14:14">
      <c r="N1974" s="3">
        <v>2187407644.3629198</v>
      </c>
    </row>
    <row r="1975" spans="14:14">
      <c r="N1975" s="3">
        <v>1331389305.2733784</v>
      </c>
    </row>
    <row r="1976" spans="14:14">
      <c r="N1976" s="3">
        <v>3657895259.3361602</v>
      </c>
    </row>
    <row r="1977" spans="14:14">
      <c r="N1977" s="3">
        <v>3205866701.0113287</v>
      </c>
    </row>
    <row r="1978" spans="14:14">
      <c r="N1978" s="3">
        <v>870255330.26915562</v>
      </c>
    </row>
    <row r="1979" spans="14:14">
      <c r="N1979" s="3">
        <v>2037062211.7957702</v>
      </c>
    </row>
    <row r="1980" spans="14:14">
      <c r="N1980" s="3">
        <v>4551536189.8775978</v>
      </c>
    </row>
    <row r="1981" spans="14:14">
      <c r="N1981" s="3">
        <v>2581940137.5501604</v>
      </c>
    </row>
    <row r="1982" spans="14:14">
      <c r="N1982" s="3">
        <v>2492475167.8107915</v>
      </c>
    </row>
    <row r="1983" spans="14:14">
      <c r="N1983" s="3">
        <v>4456290751.305604</v>
      </c>
    </row>
    <row r="1984" spans="14:14">
      <c r="N1984" s="3">
        <v>2070761724.3620663</v>
      </c>
    </row>
    <row r="1985" spans="14:14">
      <c r="N1985" s="3">
        <v>2878515738.1106315</v>
      </c>
    </row>
    <row r="1986" spans="14:14">
      <c r="N1986" s="3">
        <v>880297715.3966639</v>
      </c>
    </row>
    <row r="1987" spans="14:14">
      <c r="N1987" s="3">
        <v>1194949915.8207469</v>
      </c>
    </row>
    <row r="1988" spans="14:14">
      <c r="N1988" s="3">
        <v>2392500098.5275011</v>
      </c>
    </row>
    <row r="1989" spans="14:14">
      <c r="N1989" s="3">
        <v>2222221185.9275413</v>
      </c>
    </row>
    <row r="1990" spans="14:14">
      <c r="N1990" s="3">
        <v>1873019831.2662327</v>
      </c>
    </row>
    <row r="1991" spans="14:14">
      <c r="N1991" s="3">
        <v>3185813805.6021309</v>
      </c>
    </row>
    <row r="1992" spans="14:14">
      <c r="N1992" s="3">
        <v>2083778836.7194543</v>
      </c>
    </row>
    <row r="1993" spans="14:14">
      <c r="N1993" s="3">
        <v>4242063015.7640142</v>
      </c>
    </row>
    <row r="1994" spans="14:14">
      <c r="N1994" s="3">
        <v>2427725698.505084</v>
      </c>
    </row>
    <row r="1995" spans="14:14">
      <c r="N1995" s="3">
        <v>2026585892.4334476</v>
      </c>
    </row>
    <row r="1996" spans="14:14">
      <c r="N1996" s="3">
        <v>1178130870.3580191</v>
      </c>
    </row>
    <row r="1997" spans="14:14">
      <c r="N1997" s="3">
        <v>1758836471.9042923</v>
      </c>
    </row>
    <row r="1998" spans="14:14">
      <c r="N1998" s="3">
        <v>2817931830.8096962</v>
      </c>
    </row>
    <row r="1999" spans="14:14">
      <c r="N1999" s="3">
        <v>1987486171.4782715</v>
      </c>
    </row>
    <row r="2000" spans="14:14">
      <c r="N2000" s="3">
        <v>1320346328.4008574</v>
      </c>
    </row>
    <row r="2001" spans="14:14">
      <c r="N2001" s="3">
        <v>1614585704.7550004</v>
      </c>
    </row>
    <row r="2002" spans="14:14">
      <c r="N2002" s="3">
        <v>4974075827.2131062</v>
      </c>
    </row>
    <row r="2003" spans="14:14">
      <c r="N2003" s="3">
        <v>2644221165.4872622</v>
      </c>
    </row>
    <row r="2004" spans="14:14">
      <c r="N2004" s="3">
        <v>2372402133.2411075</v>
      </c>
    </row>
    <row r="2005" spans="14:14">
      <c r="N2005" s="3">
        <v>979663054.55916286</v>
      </c>
    </row>
    <row r="2006" spans="14:14">
      <c r="N2006" s="3">
        <v>2425501894.6294522</v>
      </c>
    </row>
    <row r="2007" spans="14:14">
      <c r="N2007" s="3">
        <v>4704991986.6341867</v>
      </c>
    </row>
    <row r="2008" spans="14:14">
      <c r="N2008" s="3">
        <v>1405493569.1566868</v>
      </c>
    </row>
    <row r="2009" spans="14:14">
      <c r="N2009" s="3">
        <v>745770899.70718145</v>
      </c>
    </row>
    <row r="2010" spans="14:14">
      <c r="N2010" s="3">
        <v>1804419237.0667551</v>
      </c>
    </row>
    <row r="2011" spans="14:14">
      <c r="N2011" s="3">
        <v>1531817929.4714911</v>
      </c>
    </row>
    <row r="2012" spans="14:14">
      <c r="N2012" s="3">
        <v>2628206711.1812258</v>
      </c>
    </row>
    <row r="2013" spans="14:14">
      <c r="N2013" s="3">
        <v>2329656955.5649481</v>
      </c>
    </row>
    <row r="2014" spans="14:14">
      <c r="N2014" s="3">
        <v>3668944854.176177</v>
      </c>
    </row>
    <row r="2015" spans="14:14">
      <c r="N2015" s="3">
        <v>2490273780.3873029</v>
      </c>
    </row>
    <row r="2016" spans="14:14">
      <c r="N2016" s="3">
        <v>3077497358.3815365</v>
      </c>
    </row>
    <row r="2017" spans="14:14">
      <c r="N2017" s="3">
        <v>1356617960.7184172</v>
      </c>
    </row>
    <row r="2018" spans="14:14">
      <c r="N2018" s="3">
        <v>1409481675.4147854</v>
      </c>
    </row>
    <row r="2019" spans="14:14">
      <c r="N2019" s="3">
        <v>2272919521.8682122</v>
      </c>
    </row>
    <row r="2020" spans="14:14">
      <c r="N2020" s="3">
        <v>1636506755.8989038</v>
      </c>
    </row>
    <row r="2021" spans="14:14">
      <c r="N2021" s="3">
        <v>1982892253.5231328</v>
      </c>
    </row>
    <row r="2022" spans="14:14">
      <c r="N2022" s="3">
        <v>1922903417.7877796</v>
      </c>
    </row>
    <row r="2023" spans="14:14">
      <c r="N2023" s="3">
        <v>1749995651.9937017</v>
      </c>
    </row>
    <row r="2024" spans="14:14">
      <c r="N2024" s="3">
        <v>836528536.44041538</v>
      </c>
    </row>
    <row r="2025" spans="14:14">
      <c r="N2025" s="3">
        <v>3860620812.7471638</v>
      </c>
    </row>
    <row r="2026" spans="14:14">
      <c r="N2026" s="3">
        <v>2023111027.7118013</v>
      </c>
    </row>
    <row r="2027" spans="14:14">
      <c r="N2027" s="3">
        <v>2670831442.2772141</v>
      </c>
    </row>
    <row r="2028" spans="14:14">
      <c r="N2028" s="3">
        <v>1267512400.7376504</v>
      </c>
    </row>
    <row r="2029" spans="14:14">
      <c r="N2029" s="3">
        <v>1956074339.8564928</v>
      </c>
    </row>
    <row r="2030" spans="14:14">
      <c r="N2030" s="3">
        <v>2769996480.1930985</v>
      </c>
    </row>
    <row r="2031" spans="14:14">
      <c r="N2031" s="3">
        <v>1698328507.3470304</v>
      </c>
    </row>
    <row r="2032" spans="14:14">
      <c r="N2032" s="3">
        <v>1085867803.3987834</v>
      </c>
    </row>
    <row r="2033" spans="14:14">
      <c r="N2033" s="3">
        <v>1338789016.8774397</v>
      </c>
    </row>
    <row r="2034" spans="14:14">
      <c r="N2034" s="3">
        <v>2382241181.7025442</v>
      </c>
    </row>
    <row r="2035" spans="14:14">
      <c r="N2035" s="3">
        <v>1358187503.0782073</v>
      </c>
    </row>
    <row r="2036" spans="14:14">
      <c r="N2036" s="3">
        <v>1700420628.9516749</v>
      </c>
    </row>
    <row r="2037" spans="14:14">
      <c r="N2037" s="3">
        <v>3198384652.5101557</v>
      </c>
    </row>
    <row r="2038" spans="14:14">
      <c r="N2038" s="3">
        <v>2387515192.2799668</v>
      </c>
    </row>
    <row r="2039" spans="14:14">
      <c r="N2039" s="3">
        <v>1838830359.3522553</v>
      </c>
    </row>
    <row r="2040" spans="14:14">
      <c r="N2040" s="3">
        <v>2498800051.4998765</v>
      </c>
    </row>
    <row r="2041" spans="14:14">
      <c r="N2041" s="3">
        <v>1668513223.5095906</v>
      </c>
    </row>
    <row r="2042" spans="14:14">
      <c r="N2042" s="3">
        <v>2173697564.2206411</v>
      </c>
    </row>
    <row r="2043" spans="14:14">
      <c r="N2043" s="3">
        <v>3512640855.0207796</v>
      </c>
    </row>
    <row r="2044" spans="14:14">
      <c r="N2044" s="3">
        <v>3934988851.7557635</v>
      </c>
    </row>
    <row r="2045" spans="14:14">
      <c r="N2045" s="3">
        <v>2756016251.8634038</v>
      </c>
    </row>
    <row r="2046" spans="14:14">
      <c r="N2046" s="3">
        <v>1952062625.2842438</v>
      </c>
    </row>
    <row r="2047" spans="14:14">
      <c r="N2047" s="3">
        <v>1643261822.6886904</v>
      </c>
    </row>
    <row r="2048" spans="14:14">
      <c r="N2048" s="3">
        <v>2915400094.2738118</v>
      </c>
    </row>
    <row r="2049" spans="14:14">
      <c r="N2049" s="3">
        <v>2082382066.7080829</v>
      </c>
    </row>
    <row r="2050" spans="14:14">
      <c r="N2050" s="3">
        <v>1744014208.6788905</v>
      </c>
    </row>
    <row r="2051" spans="14:14">
      <c r="N2051" s="3">
        <v>2326201989.0040827</v>
      </c>
    </row>
    <row r="2052" spans="14:14">
      <c r="N2052" s="3">
        <v>3339108791.8569031</v>
      </c>
    </row>
    <row r="2053" spans="14:14">
      <c r="N2053" s="3">
        <v>4278308621.0144539</v>
      </c>
    </row>
    <row r="2054" spans="14:14">
      <c r="N2054" s="3">
        <v>2072029176.6899633</v>
      </c>
    </row>
    <row r="2055" spans="14:14">
      <c r="N2055" s="3">
        <v>4290398541.2609859</v>
      </c>
    </row>
    <row r="2056" spans="14:14">
      <c r="N2056" s="3">
        <v>1071886210.9456528</v>
      </c>
    </row>
    <row r="2057" spans="14:14">
      <c r="N2057" s="3">
        <v>2491947078.9583373</v>
      </c>
    </row>
    <row r="2058" spans="14:14">
      <c r="N2058" s="3">
        <v>1949894203.644536</v>
      </c>
    </row>
    <row r="2059" spans="14:14">
      <c r="N2059" s="3">
        <v>4489642668.6326504</v>
      </c>
    </row>
    <row r="2060" spans="14:14">
      <c r="N2060" s="3">
        <v>1145048412.4242547</v>
      </c>
    </row>
    <row r="2061" spans="14:14">
      <c r="N2061" s="3">
        <v>2174270547.6688256</v>
      </c>
    </row>
    <row r="2062" spans="14:14">
      <c r="N2062" s="3">
        <v>2159131559.8775911</v>
      </c>
    </row>
    <row r="2063" spans="14:14">
      <c r="N2063" s="3">
        <v>1446573124.4103894</v>
      </c>
    </row>
    <row r="2064" spans="14:14">
      <c r="N2064" s="3">
        <v>1776061259.5915203</v>
      </c>
    </row>
    <row r="2065" spans="14:14">
      <c r="N2065" s="3">
        <v>1075195298.6662822</v>
      </c>
    </row>
    <row r="2066" spans="14:14">
      <c r="N2066" s="3">
        <v>3718010013.6063719</v>
      </c>
    </row>
    <row r="2067" spans="14:14">
      <c r="N2067" s="3">
        <v>1840918706.9509387</v>
      </c>
    </row>
    <row r="2068" spans="14:14">
      <c r="N2068" s="3">
        <v>2777553693.0598655</v>
      </c>
    </row>
    <row r="2069" spans="14:14">
      <c r="N2069" s="3">
        <v>2764705733.4093151</v>
      </c>
    </row>
    <row r="2070" spans="14:14">
      <c r="N2070" s="3">
        <v>1131242186.8704908</v>
      </c>
    </row>
    <row r="2071" spans="14:14">
      <c r="N2071" s="3">
        <v>1651801668.6264546</v>
      </c>
    </row>
    <row r="2072" spans="14:14">
      <c r="N2072" s="3">
        <v>3159941799.0322151</v>
      </c>
    </row>
    <row r="2073" spans="14:14">
      <c r="N2073" s="3">
        <v>2212088035.72715</v>
      </c>
    </row>
    <row r="2074" spans="14:14">
      <c r="N2074" s="3">
        <v>2965649593.976429</v>
      </c>
    </row>
    <row r="2075" spans="14:14">
      <c r="N2075" s="3">
        <v>2020555359.1128061</v>
      </c>
    </row>
    <row r="2076" spans="14:14">
      <c r="N2076" s="3">
        <v>1786427471.6361146</v>
      </c>
    </row>
    <row r="2077" spans="14:14">
      <c r="N2077" s="3">
        <v>1507606280.1823363</v>
      </c>
    </row>
    <row r="2078" spans="14:14">
      <c r="N2078" s="3">
        <v>1972542238.8598464</v>
      </c>
    </row>
    <row r="2079" spans="14:14">
      <c r="N2079" s="3">
        <v>2184899129.6329474</v>
      </c>
    </row>
    <row r="2080" spans="14:14">
      <c r="N2080" s="3">
        <v>2521814039.4329495</v>
      </c>
    </row>
    <row r="2081" spans="14:14">
      <c r="N2081" s="3">
        <v>2260790016.9693608</v>
      </c>
    </row>
    <row r="2082" spans="14:14">
      <c r="N2082" s="3">
        <v>2784478586.5571709</v>
      </c>
    </row>
    <row r="2083" spans="14:14">
      <c r="N2083" s="3">
        <v>2160563855.6195617</v>
      </c>
    </row>
    <row r="2084" spans="14:14">
      <c r="N2084" s="3">
        <v>1674843472.5622559</v>
      </c>
    </row>
    <row r="2085" spans="14:14">
      <c r="N2085" s="3">
        <v>1315655453.4756923</v>
      </c>
    </row>
    <row r="2086" spans="14:14">
      <c r="N2086" s="3">
        <v>2162534152.4192014</v>
      </c>
    </row>
    <row r="2087" spans="14:14">
      <c r="N2087" s="3">
        <v>1010225779.6075162</v>
      </c>
    </row>
    <row r="2088" spans="14:14">
      <c r="N2088" s="3">
        <v>1458072029.7333148</v>
      </c>
    </row>
    <row r="2089" spans="14:14">
      <c r="N2089" s="3">
        <v>1785013267.5870678</v>
      </c>
    </row>
    <row r="2090" spans="14:14">
      <c r="N2090" s="3">
        <v>1748095633.6307704</v>
      </c>
    </row>
    <row r="2091" spans="14:14">
      <c r="N2091" s="3">
        <v>2195548886.6254621</v>
      </c>
    </row>
    <row r="2092" spans="14:14">
      <c r="N2092" s="3">
        <v>1822785697.2092862</v>
      </c>
    </row>
    <row r="2093" spans="14:14">
      <c r="N2093" s="3">
        <v>2329524789.0171976</v>
      </c>
    </row>
    <row r="2094" spans="14:14">
      <c r="N2094" s="3">
        <v>1975589074.3982842</v>
      </c>
    </row>
    <row r="2095" spans="14:14">
      <c r="N2095" s="3">
        <v>1698959109.6640882</v>
      </c>
    </row>
    <row r="2096" spans="14:14">
      <c r="N2096" s="3">
        <v>1819057396.8242257</v>
      </c>
    </row>
    <row r="2097" spans="14:14">
      <c r="N2097" s="3">
        <v>2251291713.4329205</v>
      </c>
    </row>
    <row r="2098" spans="14:14">
      <c r="N2098" s="3">
        <v>2951849469.5158925</v>
      </c>
    </row>
    <row r="2099" spans="14:14">
      <c r="N2099" s="3">
        <v>2367773708.3028312</v>
      </c>
    </row>
    <row r="2100" spans="14:14">
      <c r="N2100" s="3">
        <v>3171124830.1141362</v>
      </c>
    </row>
    <row r="2101" spans="14:14">
      <c r="N2101" s="3">
        <v>2891505158.4906187</v>
      </c>
    </row>
    <row r="2102" spans="14:14">
      <c r="N2102" s="3">
        <v>2020549224.3373854</v>
      </c>
    </row>
    <row r="2103" spans="14:14">
      <c r="N2103" s="3">
        <v>1777917990.0407681</v>
      </c>
    </row>
    <row r="2104" spans="14:14">
      <c r="N2104" s="3">
        <v>1966662115.3056054</v>
      </c>
    </row>
    <row r="2105" spans="14:14">
      <c r="N2105" s="3">
        <v>2030341774.2693975</v>
      </c>
    </row>
    <row r="2106" spans="14:14">
      <c r="N2106" s="3">
        <v>2163621122.4706511</v>
      </c>
    </row>
    <row r="2107" spans="14:14">
      <c r="N2107" s="3">
        <v>1669697388.1418407</v>
      </c>
    </row>
    <row r="2108" spans="14:14">
      <c r="N2108" s="3">
        <v>1912070067.9494586</v>
      </c>
    </row>
    <row r="2109" spans="14:14">
      <c r="N2109" s="3">
        <v>1491320418.7061856</v>
      </c>
    </row>
    <row r="2110" spans="14:14">
      <c r="N2110" s="3">
        <v>1566085235.3719625</v>
      </c>
    </row>
    <row r="2111" spans="14:14">
      <c r="N2111" s="3">
        <v>1517905753.8911445</v>
      </c>
    </row>
    <row r="2112" spans="14:14">
      <c r="N2112" s="3">
        <v>1704350561.2122273</v>
      </c>
    </row>
    <row r="2113" spans="14:14">
      <c r="N2113" s="3">
        <v>2721819465.79602</v>
      </c>
    </row>
    <row r="2114" spans="14:14">
      <c r="N2114" s="3">
        <v>2391450848.8629174</v>
      </c>
    </row>
    <row r="2115" spans="14:14">
      <c r="N2115" s="3">
        <v>4291302610.2862301</v>
      </c>
    </row>
    <row r="2116" spans="14:14">
      <c r="N2116" s="3">
        <v>2536430562.6169429</v>
      </c>
    </row>
    <row r="2117" spans="14:14">
      <c r="N2117" s="3">
        <v>975952248.64126515</v>
      </c>
    </row>
    <row r="2118" spans="14:14">
      <c r="N2118" s="3">
        <v>1654123533.7431931</v>
      </c>
    </row>
    <row r="2119" spans="14:14">
      <c r="N2119" s="3">
        <v>1086192897.6321082</v>
      </c>
    </row>
    <row r="2120" spans="14:14">
      <c r="N2120" s="3">
        <v>1573436112.1667738</v>
      </c>
    </row>
    <row r="2121" spans="14:14">
      <c r="N2121" s="3">
        <v>2181369620.0871344</v>
      </c>
    </row>
    <row r="2122" spans="14:14">
      <c r="N2122" s="3">
        <v>1422215240.2135444</v>
      </c>
    </row>
    <row r="2123" spans="14:14">
      <c r="N2123" s="3">
        <v>2648698483.9194574</v>
      </c>
    </row>
    <row r="2124" spans="14:14">
      <c r="N2124" s="3">
        <v>3658548865.1666999</v>
      </c>
    </row>
    <row r="2125" spans="14:14">
      <c r="N2125" s="3">
        <v>2536569258.1652732</v>
      </c>
    </row>
    <row r="2126" spans="14:14">
      <c r="N2126" s="3">
        <v>2403560371.4099383</v>
      </c>
    </row>
    <row r="2127" spans="14:14">
      <c r="N2127" s="3">
        <v>2668426389.4673238</v>
      </c>
    </row>
    <row r="2128" spans="14:14">
      <c r="N2128" s="3">
        <v>1195815314.7655189</v>
      </c>
    </row>
    <row r="2129" spans="14:14">
      <c r="N2129" s="3">
        <v>2419643267.1027122</v>
      </c>
    </row>
    <row r="2130" spans="14:14">
      <c r="N2130" s="3">
        <v>1606392027.5973799</v>
      </c>
    </row>
    <row r="2131" spans="14:14">
      <c r="N2131" s="3">
        <v>1209749781.5691254</v>
      </c>
    </row>
    <row r="2132" spans="14:14">
      <c r="N2132" s="3">
        <v>2097622691.3821898</v>
      </c>
    </row>
    <row r="2133" spans="14:14">
      <c r="N2133" s="3">
        <v>3345799842.6311836</v>
      </c>
    </row>
    <row r="2134" spans="14:14">
      <c r="N2134" s="3">
        <v>1303979620.2526603</v>
      </c>
    </row>
    <row r="2135" spans="14:14">
      <c r="N2135" s="3">
        <v>1714239431.7730203</v>
      </c>
    </row>
    <row r="2136" spans="14:14">
      <c r="N2136" s="3">
        <v>1930550883.6919611</v>
      </c>
    </row>
    <row r="2137" spans="14:14">
      <c r="N2137" s="3">
        <v>1261071559.3464081</v>
      </c>
    </row>
    <row r="2138" spans="14:14">
      <c r="N2138" s="3">
        <v>2090899699.9968634</v>
      </c>
    </row>
    <row r="2139" spans="14:14">
      <c r="N2139" s="3">
        <v>2942766018.4971595</v>
      </c>
    </row>
    <row r="2140" spans="14:14">
      <c r="N2140" s="3">
        <v>921762064.06152248</v>
      </c>
    </row>
    <row r="2141" spans="14:14">
      <c r="N2141" s="3">
        <v>1501337285.9395366</v>
      </c>
    </row>
    <row r="2142" spans="14:14">
      <c r="N2142" s="3">
        <v>1467722504.8697171</v>
      </c>
    </row>
    <row r="2143" spans="14:14">
      <c r="N2143" s="3">
        <v>2696603412.6220675</v>
      </c>
    </row>
    <row r="2144" spans="14:14">
      <c r="N2144" s="3">
        <v>1229565635.7789707</v>
      </c>
    </row>
    <row r="2145" spans="14:14">
      <c r="N2145" s="3">
        <v>3109786921.7655315</v>
      </c>
    </row>
    <row r="2146" spans="14:14">
      <c r="N2146" s="3">
        <v>1441709474.3930399</v>
      </c>
    </row>
    <row r="2147" spans="14:14">
      <c r="N2147" s="3">
        <v>1296450993.0432415</v>
      </c>
    </row>
    <row r="2148" spans="14:14">
      <c r="N2148" s="3">
        <v>1987138291.3569608</v>
      </c>
    </row>
    <row r="2149" spans="14:14">
      <c r="N2149" s="3">
        <v>1909691790.0777311</v>
      </c>
    </row>
    <row r="2150" spans="14:14">
      <c r="N2150" s="3">
        <v>1528561641.7097604</v>
      </c>
    </row>
    <row r="2151" spans="14:14">
      <c r="N2151" s="3">
        <v>2488035012.4308734</v>
      </c>
    </row>
    <row r="2152" spans="14:14">
      <c r="N2152" s="3">
        <v>2495118650.5756412</v>
      </c>
    </row>
    <row r="2153" spans="14:14">
      <c r="N2153" s="3">
        <v>1162198953.815268</v>
      </c>
    </row>
    <row r="2154" spans="14:14">
      <c r="N2154" s="3">
        <v>1357041948.8387234</v>
      </c>
    </row>
    <row r="2155" spans="14:14">
      <c r="N2155" s="3">
        <v>1760007974.1497307</v>
      </c>
    </row>
    <row r="2156" spans="14:14">
      <c r="N2156" s="3">
        <v>3774313362.5480995</v>
      </c>
    </row>
    <row r="2157" spans="14:14">
      <c r="N2157" s="3">
        <v>2665181972.5956383</v>
      </c>
    </row>
    <row r="2158" spans="14:14">
      <c r="N2158" s="3">
        <v>3087904703.0341048</v>
      </c>
    </row>
    <row r="2159" spans="14:14">
      <c r="N2159" s="3">
        <v>2733113043.7275009</v>
      </c>
    </row>
    <row r="2160" spans="14:14">
      <c r="N2160" s="3">
        <v>3720253270.7080965</v>
      </c>
    </row>
    <row r="2161" spans="14:14">
      <c r="N2161" s="3">
        <v>2881126120.8234115</v>
      </c>
    </row>
    <row r="2162" spans="14:14">
      <c r="N2162" s="3">
        <v>1941619276.203258</v>
      </c>
    </row>
    <row r="2163" spans="14:14">
      <c r="N2163" s="3">
        <v>2525247540.967196</v>
      </c>
    </row>
    <row r="2164" spans="14:14">
      <c r="N2164" s="3">
        <v>1570413542.7199285</v>
      </c>
    </row>
    <row r="2165" spans="14:14">
      <c r="N2165" s="3">
        <v>1750757594.5461469</v>
      </c>
    </row>
    <row r="2166" spans="14:14">
      <c r="N2166" s="3">
        <v>1197008177.1940389</v>
      </c>
    </row>
    <row r="2167" spans="14:14">
      <c r="N2167" s="3">
        <v>2627174852.6721349</v>
      </c>
    </row>
    <row r="2168" spans="14:14">
      <c r="N2168" s="3">
        <v>2659053979.4921136</v>
      </c>
    </row>
    <row r="2169" spans="14:14">
      <c r="N2169" s="3">
        <v>1859329160.1660335</v>
      </c>
    </row>
    <row r="2170" spans="14:14">
      <c r="N2170" s="3">
        <v>1460619220.4784439</v>
      </c>
    </row>
    <row r="2171" spans="14:14">
      <c r="N2171" s="3">
        <v>2208513655.7520342</v>
      </c>
    </row>
    <row r="2172" spans="14:14">
      <c r="N2172" s="3">
        <v>2940879863.4329872</v>
      </c>
    </row>
    <row r="2173" spans="14:14">
      <c r="N2173" s="3">
        <v>1169112274.549387</v>
      </c>
    </row>
    <row r="2174" spans="14:14">
      <c r="N2174" s="3">
        <v>1361568607.1823587</v>
      </c>
    </row>
    <row r="2175" spans="14:14">
      <c r="N2175" s="3">
        <v>2698248988.7604742</v>
      </c>
    </row>
    <row r="2176" spans="14:14">
      <c r="N2176" s="3">
        <v>2861568701.1991129</v>
      </c>
    </row>
    <row r="2177" spans="14:14">
      <c r="N2177" s="3">
        <v>1190638069.5163774</v>
      </c>
    </row>
    <row r="2178" spans="14:14">
      <c r="N2178" s="3">
        <v>1404740153.5721705</v>
      </c>
    </row>
    <row r="2179" spans="14:14">
      <c r="N2179" s="3">
        <v>1587546664.4869714</v>
      </c>
    </row>
    <row r="2180" spans="14:14">
      <c r="N2180" s="3">
        <v>1389448682.3898499</v>
      </c>
    </row>
    <row r="2181" spans="14:14">
      <c r="N2181" s="3">
        <v>2109649003.4511204</v>
      </c>
    </row>
    <row r="2182" spans="14:14">
      <c r="N2182" s="3">
        <v>1862815612.074363</v>
      </c>
    </row>
    <row r="2183" spans="14:14">
      <c r="N2183" s="3">
        <v>1195132570.585793</v>
      </c>
    </row>
    <row r="2184" spans="14:14">
      <c r="N2184" s="3">
        <v>1749783153.8492861</v>
      </c>
    </row>
    <row r="2185" spans="14:14">
      <c r="N2185" s="3">
        <v>3169442205.3013268</v>
      </c>
    </row>
    <row r="2186" spans="14:14">
      <c r="N2186" s="3">
        <v>1564251772.3773439</v>
      </c>
    </row>
    <row r="2187" spans="14:14">
      <c r="N2187" s="3">
        <v>2184462744.2995825</v>
      </c>
    </row>
    <row r="2188" spans="14:14">
      <c r="N2188" s="3">
        <v>1053471225.1144767</v>
      </c>
    </row>
    <row r="2189" spans="14:14">
      <c r="N2189" s="3">
        <v>7006208662.5970907</v>
      </c>
    </row>
    <row r="2190" spans="14:14">
      <c r="N2190" s="3">
        <v>2688530545.3636022</v>
      </c>
    </row>
    <row r="2191" spans="14:14">
      <c r="N2191" s="3">
        <v>4306079987.0732546</v>
      </c>
    </row>
    <row r="2192" spans="14:14">
      <c r="N2192" s="3">
        <v>1102991820.430989</v>
      </c>
    </row>
    <row r="2193" spans="14:14">
      <c r="N2193" s="3">
        <v>2048027723.085916</v>
      </c>
    </row>
    <row r="2194" spans="14:14">
      <c r="N2194" s="3">
        <v>1094382234.6051071</v>
      </c>
    </row>
    <row r="2195" spans="14:14">
      <c r="N2195" s="3">
        <v>2736885656.8108306</v>
      </c>
    </row>
    <row r="2196" spans="14:14">
      <c r="N2196" s="3">
        <v>1859635253.2436497</v>
      </c>
    </row>
    <row r="2197" spans="14:14">
      <c r="N2197" s="3">
        <v>1281816687.4788802</v>
      </c>
    </row>
    <row r="2198" spans="14:14">
      <c r="N2198" s="3">
        <v>1634205810.3047111</v>
      </c>
    </row>
    <row r="2199" spans="14:14">
      <c r="N2199" s="3">
        <v>2373024768.2695837</v>
      </c>
    </row>
    <row r="2200" spans="14:14">
      <c r="N2200" s="3">
        <v>3680945181.9262137</v>
      </c>
    </row>
    <row r="2201" spans="14:14">
      <c r="N2201" s="3">
        <v>2237424761.8218842</v>
      </c>
    </row>
    <row r="2202" spans="14:14">
      <c r="N2202" s="3">
        <v>1600034883.938493</v>
      </c>
    </row>
    <row r="2203" spans="14:14">
      <c r="N2203" s="3">
        <v>1863758262.1128564</v>
      </c>
    </row>
    <row r="2204" spans="14:14">
      <c r="N2204" s="3">
        <v>1662949733.2808409</v>
      </c>
    </row>
    <row r="2205" spans="14:14">
      <c r="N2205" s="3">
        <v>1899787599.1499283</v>
      </c>
    </row>
    <row r="2206" spans="14:14">
      <c r="N2206" s="3">
        <v>1703723309.5788791</v>
      </c>
    </row>
    <row r="2207" spans="14:14">
      <c r="N2207" s="3">
        <v>3088781722.7362895</v>
      </c>
    </row>
    <row r="2208" spans="14:14">
      <c r="N2208" s="3">
        <v>2450635633.2368364</v>
      </c>
    </row>
    <row r="2209" spans="14:14">
      <c r="N2209" s="3">
        <v>2872808259.3316998</v>
      </c>
    </row>
    <row r="2210" spans="14:14">
      <c r="N2210" s="3">
        <v>1622244310.268769</v>
      </c>
    </row>
    <row r="2211" spans="14:14">
      <c r="N2211" s="3">
        <v>2526126536.4904933</v>
      </c>
    </row>
    <row r="2212" spans="14:14">
      <c r="N2212" s="3">
        <v>1548253439.4980869</v>
      </c>
    </row>
    <row r="2213" spans="14:14">
      <c r="N2213" s="3">
        <v>1160806594.7563989</v>
      </c>
    </row>
    <row r="2214" spans="14:14">
      <c r="N2214" s="3">
        <v>1494587860.4677966</v>
      </c>
    </row>
    <row r="2215" spans="14:14">
      <c r="N2215" s="3">
        <v>2147072103.6370552</v>
      </c>
    </row>
    <row r="2216" spans="14:14">
      <c r="N2216" s="3">
        <v>1088959198.6398594</v>
      </c>
    </row>
    <row r="2217" spans="14:14">
      <c r="N2217" s="3">
        <v>3475818198.3336649</v>
      </c>
    </row>
    <row r="2218" spans="14:14">
      <c r="N2218" s="3">
        <v>1607773627.586051</v>
      </c>
    </row>
    <row r="2219" spans="14:14">
      <c r="N2219" s="3">
        <v>2186744999.6150126</v>
      </c>
    </row>
    <row r="2220" spans="14:14">
      <c r="N2220" s="3">
        <v>2002831315.5529668</v>
      </c>
    </row>
    <row r="2221" spans="14:14">
      <c r="N2221" s="3">
        <v>3384264301.0508733</v>
      </c>
    </row>
    <row r="2222" spans="14:14">
      <c r="N2222" s="3">
        <v>2149716027.5738859</v>
      </c>
    </row>
    <row r="2223" spans="14:14">
      <c r="N2223" s="3">
        <v>1996684235.8818874</v>
      </c>
    </row>
    <row r="2224" spans="14:14">
      <c r="N2224" s="3">
        <v>1562714929.75758</v>
      </c>
    </row>
    <row r="2225" spans="14:14">
      <c r="N2225" s="3">
        <v>1929552821.4477501</v>
      </c>
    </row>
    <row r="2226" spans="14:14">
      <c r="N2226" s="3">
        <v>2802030006.030705</v>
      </c>
    </row>
    <row r="2227" spans="14:14">
      <c r="N2227" s="3">
        <v>1919578396.373615</v>
      </c>
    </row>
    <row r="2228" spans="14:14">
      <c r="N2228" s="3">
        <v>2235334832.8274374</v>
      </c>
    </row>
    <row r="2229" spans="14:14">
      <c r="N2229" s="3">
        <v>1549878296.1796596</v>
      </c>
    </row>
    <row r="2230" spans="14:14">
      <c r="N2230" s="3">
        <v>2258042286.6670833</v>
      </c>
    </row>
    <row r="2231" spans="14:14">
      <c r="N2231" s="3">
        <v>3323610877.383276</v>
      </c>
    </row>
    <row r="2232" spans="14:14">
      <c r="N2232" s="3">
        <v>2497918285.0830736</v>
      </c>
    </row>
    <row r="2233" spans="14:14">
      <c r="N2233" s="3">
        <v>1657607888.8258569</v>
      </c>
    </row>
    <row r="2234" spans="14:14">
      <c r="N2234" s="3">
        <v>2049791221.7438757</v>
      </c>
    </row>
    <row r="2235" spans="14:14">
      <c r="N2235" s="3">
        <v>2138574003.2227452</v>
      </c>
    </row>
    <row r="2236" spans="14:14">
      <c r="N2236" s="3">
        <v>2936690435.428194</v>
      </c>
    </row>
    <row r="2237" spans="14:14">
      <c r="N2237" s="3">
        <v>1985073600.5344129</v>
      </c>
    </row>
    <row r="2238" spans="14:14">
      <c r="N2238" s="3">
        <v>1615879807.2242911</v>
      </c>
    </row>
    <row r="2239" spans="14:14">
      <c r="N2239" s="3">
        <v>2502272384.7656708</v>
      </c>
    </row>
    <row r="2240" spans="14:14">
      <c r="N2240" s="3">
        <v>2423706662.0944862</v>
      </c>
    </row>
    <row r="2241" spans="14:14">
      <c r="N2241" s="3">
        <v>2973956803.3931799</v>
      </c>
    </row>
    <row r="2242" spans="14:14">
      <c r="N2242" s="3">
        <v>2611803884.8877559</v>
      </c>
    </row>
    <row r="2243" spans="14:14">
      <c r="N2243" s="3">
        <v>2660753358.3583255</v>
      </c>
    </row>
    <row r="2244" spans="14:14">
      <c r="N2244" s="3">
        <v>2037527819.1538043</v>
      </c>
    </row>
    <row r="2245" spans="14:14">
      <c r="N2245" s="3">
        <v>2755226706.8086085</v>
      </c>
    </row>
    <row r="2246" spans="14:14">
      <c r="N2246" s="3">
        <v>1134647026.585217</v>
      </c>
    </row>
    <row r="2247" spans="14:14">
      <c r="N2247" s="3">
        <v>1594272093.4064949</v>
      </c>
    </row>
    <row r="2248" spans="14:14">
      <c r="N2248" s="3">
        <v>3094910622.646358</v>
      </c>
    </row>
    <row r="2249" spans="14:14">
      <c r="N2249" s="3">
        <v>1111297802.8185523</v>
      </c>
    </row>
    <row r="2250" spans="14:14">
      <c r="N2250" s="3">
        <v>2499913471.3572311</v>
      </c>
    </row>
    <row r="2251" spans="14:14">
      <c r="N2251" s="3">
        <v>2161041570.1478891</v>
      </c>
    </row>
    <row r="2252" spans="14:14">
      <c r="N2252" s="3">
        <v>2129941056.3006401</v>
      </c>
    </row>
    <row r="2253" spans="14:14">
      <c r="N2253" s="3">
        <v>2960479653.3470449</v>
      </c>
    </row>
    <row r="2254" spans="14:14">
      <c r="N2254" s="3">
        <v>1454595877.6383038</v>
      </c>
    </row>
    <row r="2255" spans="14:14">
      <c r="N2255" s="3">
        <v>1205028041.2076054</v>
      </c>
    </row>
    <row r="2256" spans="14:14">
      <c r="N2256" s="3">
        <v>3197150513.6862583</v>
      </c>
    </row>
    <row r="2257" spans="14:14">
      <c r="N2257" s="3">
        <v>1015513502.6746458</v>
      </c>
    </row>
    <row r="2258" spans="14:14">
      <c r="N2258" s="3">
        <v>1493920049.8199232</v>
      </c>
    </row>
    <row r="2259" spans="14:14">
      <c r="N2259" s="3">
        <v>1551229297.4621294</v>
      </c>
    </row>
    <row r="2260" spans="14:14">
      <c r="N2260" s="3">
        <v>2338835614.9078617</v>
      </c>
    </row>
    <row r="2261" spans="14:14">
      <c r="N2261" s="3">
        <v>1728215983.7334549</v>
      </c>
    </row>
    <row r="2262" spans="14:14">
      <c r="N2262" s="3">
        <v>1679406721.3496535</v>
      </c>
    </row>
    <row r="2263" spans="14:14">
      <c r="N2263" s="3">
        <v>2379830001.9187217</v>
      </c>
    </row>
    <row r="2264" spans="14:14">
      <c r="N2264" s="3">
        <v>1056994544.8690548</v>
      </c>
    </row>
    <row r="2265" spans="14:14">
      <c r="N2265" s="3">
        <v>3767643181.4036655</v>
      </c>
    </row>
    <row r="2266" spans="14:14">
      <c r="N2266" s="3">
        <v>1224769600.2690606</v>
      </c>
    </row>
    <row r="2267" spans="14:14">
      <c r="N2267" s="3">
        <v>3061151757.5734482</v>
      </c>
    </row>
    <row r="2268" spans="14:14">
      <c r="N2268" s="3">
        <v>2476515957.0035014</v>
      </c>
    </row>
    <row r="2269" spans="14:14">
      <c r="N2269" s="3">
        <v>2464800614.4956913</v>
      </c>
    </row>
    <row r="2270" spans="14:14">
      <c r="N2270" s="3">
        <v>3613519929.6400723</v>
      </c>
    </row>
    <row r="2271" spans="14:14">
      <c r="N2271" s="3">
        <v>866257741.05203652</v>
      </c>
    </row>
    <row r="2272" spans="14:14">
      <c r="N2272" s="3">
        <v>2268834489.9695435</v>
      </c>
    </row>
    <row r="2273" spans="14:14">
      <c r="N2273" s="3">
        <v>1131474473.1476238</v>
      </c>
    </row>
    <row r="2274" spans="14:14">
      <c r="N2274" s="3">
        <v>2070148597.5434942</v>
      </c>
    </row>
    <row r="2275" spans="14:14">
      <c r="N2275" s="3">
        <v>1465150501.8353176</v>
      </c>
    </row>
    <row r="2276" spans="14:14">
      <c r="N2276" s="3">
        <v>2282377453.3588343</v>
      </c>
    </row>
    <row r="2277" spans="14:14">
      <c r="N2277" s="3">
        <v>1179683879.7512758</v>
      </c>
    </row>
    <row r="2278" spans="14:14">
      <c r="N2278" s="3">
        <v>1411927289.3464797</v>
      </c>
    </row>
    <row r="2279" spans="14:14">
      <c r="N2279" s="3">
        <v>1842992144.831604</v>
      </c>
    </row>
    <row r="2280" spans="14:14">
      <c r="N2280" s="3">
        <v>1684032886.8527648</v>
      </c>
    </row>
    <row r="2281" spans="14:14">
      <c r="N2281" s="3">
        <v>2811536089.0188594</v>
      </c>
    </row>
    <row r="2282" spans="14:14">
      <c r="N2282" s="3">
        <v>2246930218.1412439</v>
      </c>
    </row>
    <row r="2283" spans="14:14">
      <c r="N2283" s="3">
        <v>1501724216.4314506</v>
      </c>
    </row>
    <row r="2284" spans="14:14">
      <c r="N2284" s="3">
        <v>1748801391.6157393</v>
      </c>
    </row>
    <row r="2285" spans="14:14">
      <c r="N2285" s="3">
        <v>3344852457.9690666</v>
      </c>
    </row>
    <row r="2286" spans="14:14">
      <c r="N2286" s="3">
        <v>1795145521.8167462</v>
      </c>
    </row>
    <row r="2287" spans="14:14">
      <c r="N2287" s="3">
        <v>3486176548.7957211</v>
      </c>
    </row>
    <row r="2288" spans="14:14">
      <c r="N2288" s="3">
        <v>2242645351.7330341</v>
      </c>
    </row>
    <row r="2289" spans="14:14">
      <c r="N2289" s="3">
        <v>1466918108.6348441</v>
      </c>
    </row>
    <row r="2290" spans="14:14">
      <c r="N2290" s="3">
        <v>2087840268.8258488</v>
      </c>
    </row>
    <row r="2291" spans="14:14">
      <c r="N2291" s="3">
        <v>1970200057.2702935</v>
      </c>
    </row>
    <row r="2292" spans="14:14">
      <c r="N2292" s="3">
        <v>1516003599.2899578</v>
      </c>
    </row>
    <row r="2293" spans="14:14">
      <c r="N2293" s="3">
        <v>1623366884.7768061</v>
      </c>
    </row>
    <row r="2294" spans="14:14">
      <c r="N2294" s="3">
        <v>2651579753.7648764</v>
      </c>
    </row>
    <row r="2295" spans="14:14">
      <c r="N2295" s="3">
        <v>2442761375.7174692</v>
      </c>
    </row>
    <row r="2296" spans="14:14">
      <c r="N2296" s="3">
        <v>1542860257.2746458</v>
      </c>
    </row>
    <row r="2297" spans="14:14">
      <c r="N2297" s="3">
        <v>2162029790.3620043</v>
      </c>
    </row>
    <row r="2298" spans="14:14">
      <c r="N2298" s="3">
        <v>2034588212.0376742</v>
      </c>
    </row>
    <row r="2299" spans="14:14">
      <c r="N2299" s="3">
        <v>1925346195.2208912</v>
      </c>
    </row>
    <row r="2300" spans="14:14">
      <c r="N2300" s="3">
        <v>1459588368.4220285</v>
      </c>
    </row>
    <row r="2301" spans="14:14">
      <c r="N2301" s="3">
        <v>773578146.63385427</v>
      </c>
    </row>
    <row r="2302" spans="14:14">
      <c r="N2302" s="3">
        <v>1417494815.2763095</v>
      </c>
    </row>
    <row r="2303" spans="14:14">
      <c r="N2303" s="3">
        <v>1353334586.808804</v>
      </c>
    </row>
    <row r="2304" spans="14:14">
      <c r="N2304" s="3">
        <v>1736747990.8513625</v>
      </c>
    </row>
    <row r="2305" spans="14:14">
      <c r="N2305" s="3">
        <v>1206655662.2700837</v>
      </c>
    </row>
    <row r="2306" spans="14:14">
      <c r="N2306" s="3">
        <v>3717778489.1399021</v>
      </c>
    </row>
    <row r="2307" spans="14:14">
      <c r="N2307" s="3">
        <v>2089871188.4816778</v>
      </c>
    </row>
    <row r="2308" spans="14:14">
      <c r="N2308" s="3">
        <v>2245811762.0072474</v>
      </c>
    </row>
    <row r="2309" spans="14:14">
      <c r="N2309" s="3">
        <v>1960616998.8087513</v>
      </c>
    </row>
    <row r="2310" spans="14:14">
      <c r="N2310" s="3">
        <v>3435163125.4951925</v>
      </c>
    </row>
    <row r="2311" spans="14:14">
      <c r="N2311" s="3">
        <v>2260918075.5390468</v>
      </c>
    </row>
    <row r="2312" spans="14:14">
      <c r="N2312" s="3">
        <v>1766529718.8018003</v>
      </c>
    </row>
    <row r="2313" spans="14:14">
      <c r="N2313" s="3">
        <v>1949103432.6466725</v>
      </c>
    </row>
    <row r="2314" spans="14:14">
      <c r="N2314" s="3">
        <v>2033271391.5874147</v>
      </c>
    </row>
    <row r="2315" spans="14:14">
      <c r="N2315" s="3">
        <v>2588154905.4958243</v>
      </c>
    </row>
    <row r="2316" spans="14:14">
      <c r="N2316" s="3">
        <v>4550030207.1377058</v>
      </c>
    </row>
    <row r="2317" spans="14:14">
      <c r="N2317" s="3">
        <v>1574678256.8015304</v>
      </c>
    </row>
    <row r="2318" spans="14:14">
      <c r="N2318" s="3">
        <v>1456593862.7633481</v>
      </c>
    </row>
    <row r="2319" spans="14:14">
      <c r="N2319" s="3">
        <v>2236880617.859859</v>
      </c>
    </row>
    <row r="2320" spans="14:14">
      <c r="N2320" s="3">
        <v>2747498817.1287174</v>
      </c>
    </row>
    <row r="2321" spans="14:14">
      <c r="N2321" s="3">
        <v>1769106282.8219311</v>
      </c>
    </row>
    <row r="2322" spans="14:14">
      <c r="N2322" s="3">
        <v>1057671695.5756375</v>
      </c>
    </row>
    <row r="2323" spans="14:14">
      <c r="N2323" s="3">
        <v>1765819023.2589917</v>
      </c>
    </row>
    <row r="2324" spans="14:14">
      <c r="N2324" s="3">
        <v>2598513743.5820699</v>
      </c>
    </row>
    <row r="2325" spans="14:14">
      <c r="N2325" s="3">
        <v>2745387683.3388658</v>
      </c>
    </row>
    <row r="2326" spans="14:14">
      <c r="N2326" s="3">
        <v>6261414784.734704</v>
      </c>
    </row>
    <row r="2327" spans="14:14">
      <c r="N2327" s="3">
        <v>2393871730.0535688</v>
      </c>
    </row>
    <row r="2328" spans="14:14">
      <c r="N2328" s="3">
        <v>2008199508.5132859</v>
      </c>
    </row>
    <row r="2329" spans="14:14">
      <c r="N2329" s="3">
        <v>2480627593.600863</v>
      </c>
    </row>
    <row r="2330" spans="14:14">
      <c r="N2330" s="3">
        <v>2528978492.5769086</v>
      </c>
    </row>
    <row r="2331" spans="14:14">
      <c r="N2331" s="3">
        <v>2099749795.3068602</v>
      </c>
    </row>
    <row r="2332" spans="14:14">
      <c r="N2332" s="3">
        <v>1298129833.900233</v>
      </c>
    </row>
    <row r="2333" spans="14:14">
      <c r="N2333" s="3">
        <v>2498682192.5849195</v>
      </c>
    </row>
    <row r="2334" spans="14:14">
      <c r="N2334" s="3">
        <v>1924761775.5208282</v>
      </c>
    </row>
    <row r="2335" spans="14:14">
      <c r="N2335" s="3">
        <v>2519806174.7262392</v>
      </c>
    </row>
    <row r="2336" spans="14:14">
      <c r="N2336" s="3">
        <v>1951938771.5118496</v>
      </c>
    </row>
    <row r="2337" spans="14:14">
      <c r="N2337" s="3">
        <v>2446803679.4563494</v>
      </c>
    </row>
    <row r="2338" spans="14:14">
      <c r="N2338" s="3">
        <v>2569563652.2292004</v>
      </c>
    </row>
    <row r="2339" spans="14:14">
      <c r="N2339" s="3">
        <v>5119871019.7511578</v>
      </c>
    </row>
    <row r="2340" spans="14:14">
      <c r="N2340" s="3">
        <v>2119665089.6684272</v>
      </c>
    </row>
    <row r="2341" spans="14:14">
      <c r="N2341" s="3">
        <v>1915022641.6485126</v>
      </c>
    </row>
    <row r="2342" spans="14:14">
      <c r="N2342" s="3">
        <v>3214278506.3564453</v>
      </c>
    </row>
    <row r="2343" spans="14:14">
      <c r="N2343" s="3">
        <v>1796342092.5388718</v>
      </c>
    </row>
    <row r="2344" spans="14:14">
      <c r="N2344" s="3">
        <v>1553071801.3368614</v>
      </c>
    </row>
    <row r="2345" spans="14:14">
      <c r="N2345" s="3">
        <v>2318673164.8130679</v>
      </c>
    </row>
    <row r="2346" spans="14:14">
      <c r="N2346" s="3">
        <v>3091686853.7888889</v>
      </c>
    </row>
    <row r="2347" spans="14:14">
      <c r="N2347" s="3">
        <v>1476140091.9538212</v>
      </c>
    </row>
    <row r="2348" spans="14:14">
      <c r="N2348" s="3">
        <v>1850289042.2398973</v>
      </c>
    </row>
    <row r="2349" spans="14:14">
      <c r="N2349" s="3">
        <v>1764214026.0074899</v>
      </c>
    </row>
    <row r="2350" spans="14:14">
      <c r="N2350" s="3">
        <v>1999943840.2657843</v>
      </c>
    </row>
    <row r="2351" spans="14:14">
      <c r="N2351" s="3">
        <v>3670513974.6088738</v>
      </c>
    </row>
    <row r="2352" spans="14:14">
      <c r="N2352" s="3">
        <v>3792248823.3844838</v>
      </c>
    </row>
    <row r="2353" spans="14:14">
      <c r="N2353" s="3">
        <v>2081354197.2480037</v>
      </c>
    </row>
    <row r="2354" spans="14:14">
      <c r="N2354" s="3">
        <v>2609489794.6720405</v>
      </c>
    </row>
    <row r="2355" spans="14:14">
      <c r="N2355" s="3">
        <v>2629278295.9772701</v>
      </c>
    </row>
    <row r="2356" spans="14:14">
      <c r="N2356" s="3">
        <v>1842199667.2422023</v>
      </c>
    </row>
    <row r="2357" spans="14:14">
      <c r="N2357" s="3">
        <v>2813198306.5391712</v>
      </c>
    </row>
    <row r="2358" spans="14:14">
      <c r="N2358" s="3">
        <v>2434221430.6162691</v>
      </c>
    </row>
    <row r="2359" spans="14:14">
      <c r="N2359" s="3">
        <v>1845560128.6470964</v>
      </c>
    </row>
    <row r="2360" spans="14:14">
      <c r="N2360" s="3">
        <v>2971138773.3786311</v>
      </c>
    </row>
    <row r="2361" spans="14:14">
      <c r="N2361" s="3">
        <v>1688522266.3803248</v>
      </c>
    </row>
    <row r="2362" spans="14:14">
      <c r="N2362" s="3">
        <v>1758318986.0775554</v>
      </c>
    </row>
    <row r="2363" spans="14:14">
      <c r="N2363" s="3">
        <v>1366624009.2054656</v>
      </c>
    </row>
    <row r="2364" spans="14:14">
      <c r="N2364" s="3">
        <v>4103318302.9797664</v>
      </c>
    </row>
    <row r="2365" spans="14:14">
      <c r="N2365" s="3">
        <v>2139161477.8234098</v>
      </c>
    </row>
    <row r="2366" spans="14:14">
      <c r="N2366" s="3">
        <v>2652670889.6398573</v>
      </c>
    </row>
    <row r="2367" spans="14:14">
      <c r="N2367" s="3">
        <v>723726248.924981</v>
      </c>
    </row>
    <row r="2368" spans="14:14">
      <c r="N2368" s="3">
        <v>1810553510.3550427</v>
      </c>
    </row>
    <row r="2369" spans="14:14">
      <c r="N2369" s="3">
        <v>3520534633.7747679</v>
      </c>
    </row>
    <row r="2370" spans="14:14">
      <c r="N2370" s="3">
        <v>1417711670.9516253</v>
      </c>
    </row>
    <row r="2371" spans="14:14">
      <c r="N2371" s="3">
        <v>2017696603.8630469</v>
      </c>
    </row>
    <row r="2372" spans="14:14">
      <c r="N2372" s="3">
        <v>2287775569.92314</v>
      </c>
    </row>
    <row r="2373" spans="14:14">
      <c r="N2373" s="3">
        <v>1834871755.1922522</v>
      </c>
    </row>
    <row r="2374" spans="14:14">
      <c r="N2374" s="3">
        <v>2918508348.2648954</v>
      </c>
    </row>
    <row r="2375" spans="14:14">
      <c r="N2375" s="3">
        <v>1866396076.4744718</v>
      </c>
    </row>
    <row r="2376" spans="14:14">
      <c r="N2376" s="3">
        <v>1250828818.041935</v>
      </c>
    </row>
    <row r="2377" spans="14:14">
      <c r="N2377" s="3">
        <v>1261640855.6229696</v>
      </c>
    </row>
    <row r="2378" spans="14:14">
      <c r="N2378" s="3">
        <v>2445617522.5134239</v>
      </c>
    </row>
    <row r="2379" spans="14:14">
      <c r="N2379" s="3">
        <v>1152329626.9798045</v>
      </c>
    </row>
    <row r="2380" spans="14:14">
      <c r="N2380" s="3">
        <v>1805420342.6740627</v>
      </c>
    </row>
    <row r="2381" spans="14:14">
      <c r="N2381" s="3">
        <v>3499800622.9198561</v>
      </c>
    </row>
    <row r="2382" spans="14:14">
      <c r="N2382" s="3">
        <v>1734849235.7821989</v>
      </c>
    </row>
    <row r="2383" spans="14:14">
      <c r="N2383" s="3">
        <v>2426940736.3405147</v>
      </c>
    </row>
    <row r="2384" spans="14:14">
      <c r="N2384" s="3">
        <v>2117886706.1034803</v>
      </c>
    </row>
    <row r="2385" spans="14:14">
      <c r="N2385" s="3">
        <v>1706789721.8883758</v>
      </c>
    </row>
    <row r="2386" spans="14:14">
      <c r="N2386" s="3">
        <v>1721191239.7414243</v>
      </c>
    </row>
    <row r="2387" spans="14:14">
      <c r="N2387" s="3">
        <v>1838031263.2689173</v>
      </c>
    </row>
    <row r="2388" spans="14:14">
      <c r="N2388" s="3">
        <v>1381117005.9958518</v>
      </c>
    </row>
    <row r="2389" spans="14:14">
      <c r="N2389" s="3">
        <v>1921212246.4304726</v>
      </c>
    </row>
    <row r="2390" spans="14:14">
      <c r="N2390" s="3">
        <v>1898717810.0537729</v>
      </c>
    </row>
    <row r="2391" spans="14:14">
      <c r="N2391" s="3">
        <v>2084892442.7880237</v>
      </c>
    </row>
    <row r="2392" spans="14:14">
      <c r="N2392" s="3">
        <v>1920788226.6874199</v>
      </c>
    </row>
    <row r="2393" spans="14:14">
      <c r="N2393" s="3">
        <v>3697827596.4807744</v>
      </c>
    </row>
    <row r="2394" spans="14:14">
      <c r="N2394" s="3">
        <v>4611402056.6891794</v>
      </c>
    </row>
    <row r="2395" spans="14:14">
      <c r="N2395" s="3">
        <v>1535213606.8492935</v>
      </c>
    </row>
    <row r="2396" spans="14:14">
      <c r="N2396" s="3">
        <v>2366497108.1362314</v>
      </c>
    </row>
    <row r="2397" spans="14:14">
      <c r="N2397" s="3">
        <v>1452509188.3629396</v>
      </c>
    </row>
    <row r="2398" spans="14:14">
      <c r="N2398" s="3">
        <v>2912345595.3287687</v>
      </c>
    </row>
    <row r="2399" spans="14:14">
      <c r="N2399" s="3">
        <v>3471862017.0080833</v>
      </c>
    </row>
    <row r="2400" spans="14:14">
      <c r="N2400" s="3">
        <v>1848324948.1309462</v>
      </c>
    </row>
    <row r="2401" spans="14:14">
      <c r="N2401" s="3">
        <v>1749821254.507658</v>
      </c>
    </row>
    <row r="2402" spans="14:14">
      <c r="N2402" s="3">
        <v>5094275585.5405798</v>
      </c>
    </row>
    <row r="2403" spans="14:14">
      <c r="N2403" s="3">
        <v>1931221053.0220716</v>
      </c>
    </row>
    <row r="2404" spans="14:14">
      <c r="N2404" s="3">
        <v>1818892973.017354</v>
      </c>
    </row>
    <row r="2405" spans="14:14">
      <c r="N2405" s="3">
        <v>1443399142.9410956</v>
      </c>
    </row>
    <row r="2406" spans="14:14">
      <c r="N2406" s="3">
        <v>1561909122.9435549</v>
      </c>
    </row>
    <row r="2407" spans="14:14">
      <c r="N2407" s="3">
        <v>1933750140.3553345</v>
      </c>
    </row>
    <row r="2408" spans="14:14">
      <c r="N2408" s="3">
        <v>1509302659.8152001</v>
      </c>
    </row>
    <row r="2409" spans="14:14">
      <c r="N2409" s="3">
        <v>2077964815.6341093</v>
      </c>
    </row>
    <row r="2410" spans="14:14">
      <c r="N2410" s="3">
        <v>2589164450.5651803</v>
      </c>
    </row>
    <row r="2411" spans="14:14">
      <c r="N2411" s="3">
        <v>2411672017.4039693</v>
      </c>
    </row>
    <row r="2412" spans="14:14">
      <c r="N2412" s="3">
        <v>2171923644.9244647</v>
      </c>
    </row>
    <row r="2413" spans="14:14">
      <c r="N2413" s="3">
        <v>1824166713.534961</v>
      </c>
    </row>
    <row r="2414" spans="14:14">
      <c r="N2414" s="3">
        <v>2476625912.9208331</v>
      </c>
    </row>
    <row r="2415" spans="14:14">
      <c r="N2415" s="3">
        <v>1563995583.2198691</v>
      </c>
    </row>
    <row r="2416" spans="14:14">
      <c r="N2416" s="3">
        <v>2297161393.3973298</v>
      </c>
    </row>
    <row r="2417" spans="14:14">
      <c r="N2417" s="3">
        <v>2674654845.9295259</v>
      </c>
    </row>
    <row r="2418" spans="14:14">
      <c r="N2418" s="3">
        <v>1910534736.2001424</v>
      </c>
    </row>
    <row r="2419" spans="14:14">
      <c r="N2419" s="3">
        <v>1971068282.0070593</v>
      </c>
    </row>
    <row r="2420" spans="14:14">
      <c r="N2420" s="3">
        <v>1055590624.1409661</v>
      </c>
    </row>
    <row r="2421" spans="14:14">
      <c r="N2421" s="3">
        <v>4442415038.8029623</v>
      </c>
    </row>
    <row r="2422" spans="14:14">
      <c r="N2422" s="3">
        <v>1141237333.0562696</v>
      </c>
    </row>
    <row r="2423" spans="14:14">
      <c r="N2423" s="3">
        <v>1290137865.2521071</v>
      </c>
    </row>
    <row r="2424" spans="14:14">
      <c r="N2424" s="3">
        <v>2926687877.1806583</v>
      </c>
    </row>
    <row r="2425" spans="14:14">
      <c r="N2425" s="3">
        <v>2886934207.0898046</v>
      </c>
    </row>
    <row r="2426" spans="14:14">
      <c r="N2426" s="3">
        <v>2142070846.103724</v>
      </c>
    </row>
    <row r="2427" spans="14:14">
      <c r="N2427" s="3">
        <v>2141679253.4816937</v>
      </c>
    </row>
    <row r="2428" spans="14:14">
      <c r="N2428" s="3">
        <v>1905434803.7173195</v>
      </c>
    </row>
    <row r="2429" spans="14:14">
      <c r="N2429" s="3">
        <v>3977409775.6894803</v>
      </c>
    </row>
    <row r="2430" spans="14:14">
      <c r="N2430" s="3">
        <v>2004106448.3277967</v>
      </c>
    </row>
    <row r="2431" spans="14:14">
      <c r="N2431" s="3">
        <v>1490559431.059916</v>
      </c>
    </row>
    <row r="2432" spans="14:14">
      <c r="N2432" s="3">
        <v>2011534836.704447</v>
      </c>
    </row>
    <row r="2433" spans="14:14">
      <c r="N2433" s="3">
        <v>2815188760.5168815</v>
      </c>
    </row>
    <row r="2434" spans="14:14">
      <c r="N2434" s="3">
        <v>2440710976.6872535</v>
      </c>
    </row>
    <row r="2435" spans="14:14">
      <c r="N2435" s="3">
        <v>1543566131.7414293</v>
      </c>
    </row>
    <row r="2436" spans="14:14">
      <c r="N2436" s="3">
        <v>1280508402.824482</v>
      </c>
    </row>
    <row r="2437" spans="14:14">
      <c r="N2437" s="3">
        <v>1645112475.671973</v>
      </c>
    </row>
    <row r="2438" spans="14:14">
      <c r="N2438" s="3">
        <v>2218511177.7115393</v>
      </c>
    </row>
    <row r="2439" spans="14:14">
      <c r="N2439" s="3">
        <v>1766637280.7293544</v>
      </c>
    </row>
    <row r="2440" spans="14:14">
      <c r="N2440" s="3">
        <v>1538614338.51598</v>
      </c>
    </row>
    <row r="2441" spans="14:14">
      <c r="N2441" s="3">
        <v>1590100544.8327172</v>
      </c>
    </row>
    <row r="2442" spans="14:14">
      <c r="N2442" s="3">
        <v>3634752903.0401607</v>
      </c>
    </row>
    <row r="2443" spans="14:14">
      <c r="N2443" s="3">
        <v>1778790727.9601042</v>
      </c>
    </row>
    <row r="2444" spans="14:14">
      <c r="N2444" s="3">
        <v>2205538357.7662206</v>
      </c>
    </row>
    <row r="2445" spans="14:14">
      <c r="N2445" s="3">
        <v>1608388093.276238</v>
      </c>
    </row>
    <row r="2446" spans="14:14">
      <c r="N2446" s="3">
        <v>1079003245.214978</v>
      </c>
    </row>
    <row r="2447" spans="14:14">
      <c r="N2447" s="3">
        <v>1536290201.2422354</v>
      </c>
    </row>
    <row r="2448" spans="14:14">
      <c r="N2448" s="3">
        <v>2033984897.231818</v>
      </c>
    </row>
    <row r="2449" spans="14:14">
      <c r="N2449" s="3">
        <v>1593531231.8801398</v>
      </c>
    </row>
    <row r="2450" spans="14:14">
      <c r="N2450" s="3">
        <v>1879013488.1882091</v>
      </c>
    </row>
    <row r="2451" spans="14:14">
      <c r="N2451" s="3">
        <v>2104266631.4566653</v>
      </c>
    </row>
    <row r="2452" spans="14:14">
      <c r="N2452" s="3">
        <v>1954288596.8913183</v>
      </c>
    </row>
    <row r="2453" spans="14:14">
      <c r="N2453" s="3">
        <v>2113897448.4289005</v>
      </c>
    </row>
    <row r="2454" spans="14:14">
      <c r="N2454" s="3">
        <v>1869987809.2295065</v>
      </c>
    </row>
    <row r="2455" spans="14:14">
      <c r="N2455" s="3">
        <v>3072995042.662179</v>
      </c>
    </row>
    <row r="2456" spans="14:14">
      <c r="N2456" s="3">
        <v>1755032067.7260871</v>
      </c>
    </row>
    <row r="2457" spans="14:14">
      <c r="N2457" s="3">
        <v>3176576185.3944254</v>
      </c>
    </row>
    <row r="2458" spans="14:14">
      <c r="N2458" s="3">
        <v>1637273354.5969348</v>
      </c>
    </row>
    <row r="2459" spans="14:14">
      <c r="N2459" s="3">
        <v>2705871850.2590446</v>
      </c>
    </row>
    <row r="2460" spans="14:14">
      <c r="N2460" s="3">
        <v>1749906960.9585145</v>
      </c>
    </row>
    <row r="2461" spans="14:14">
      <c r="N2461" s="3">
        <v>2299579866.4714499</v>
      </c>
    </row>
    <row r="2462" spans="14:14">
      <c r="N2462" s="3">
        <v>3205634217.622416</v>
      </c>
    </row>
    <row r="2463" spans="14:14">
      <c r="N2463" s="3">
        <v>1115371695.332633</v>
      </c>
    </row>
    <row r="2464" spans="14:14">
      <c r="N2464" s="3">
        <v>1345695980.0083845</v>
      </c>
    </row>
    <row r="2465" spans="14:14">
      <c r="N2465" s="3">
        <v>1618736927.9656084</v>
      </c>
    </row>
    <row r="2466" spans="14:14">
      <c r="N2466" s="3">
        <v>1773208001.7092359</v>
      </c>
    </row>
    <row r="2467" spans="14:14">
      <c r="N2467" s="3">
        <v>2243496092.9011292</v>
      </c>
    </row>
    <row r="2468" spans="14:14">
      <c r="N2468" s="3">
        <v>3153156372.8894181</v>
      </c>
    </row>
    <row r="2469" spans="14:14">
      <c r="N2469" s="3">
        <v>1507958311.1735811</v>
      </c>
    </row>
    <row r="2470" spans="14:14">
      <c r="N2470" s="3">
        <v>1591213601.2613461</v>
      </c>
    </row>
    <row r="2471" spans="14:14">
      <c r="N2471" s="3">
        <v>2928416711.0678887</v>
      </c>
    </row>
    <row r="2472" spans="14:14">
      <c r="N2472" s="3">
        <v>1529320105.363827</v>
      </c>
    </row>
    <row r="2473" spans="14:14">
      <c r="N2473" s="3">
        <v>1671262055.4072289</v>
      </c>
    </row>
    <row r="2474" spans="14:14">
      <c r="N2474" s="3">
        <v>2165881634.9989209</v>
      </c>
    </row>
    <row r="2475" spans="14:14">
      <c r="N2475" s="3">
        <v>1017846617.0529321</v>
      </c>
    </row>
    <row r="2476" spans="14:14">
      <c r="N2476" s="3">
        <v>1369272865.3909247</v>
      </c>
    </row>
    <row r="2477" spans="14:14">
      <c r="N2477" s="3">
        <v>1483146293.2202265</v>
      </c>
    </row>
    <row r="2478" spans="14:14">
      <c r="N2478" s="3">
        <v>1497985710.8865583</v>
      </c>
    </row>
    <row r="2479" spans="14:14">
      <c r="N2479" s="3">
        <v>4461300028.4001303</v>
      </c>
    </row>
    <row r="2480" spans="14:14">
      <c r="N2480" s="3">
        <v>3007307447.9170685</v>
      </c>
    </row>
    <row r="2481" spans="14:14">
      <c r="N2481" s="3">
        <v>3264113560.6527152</v>
      </c>
    </row>
    <row r="2482" spans="14:14">
      <c r="N2482" s="3">
        <v>1702925061.5510116</v>
      </c>
    </row>
    <row r="2483" spans="14:14">
      <c r="N2483" s="3">
        <v>2179957777.797492</v>
      </c>
    </row>
    <row r="2484" spans="14:14">
      <c r="N2484" s="3">
        <v>1418746335.4935651</v>
      </c>
    </row>
    <row r="2485" spans="14:14">
      <c r="N2485" s="3">
        <v>2056981172.5550251</v>
      </c>
    </row>
    <row r="2486" spans="14:14">
      <c r="N2486" s="3">
        <v>1652562555.7089379</v>
      </c>
    </row>
    <row r="2487" spans="14:14">
      <c r="N2487" s="3">
        <v>3494703147.6914668</v>
      </c>
    </row>
    <row r="2488" spans="14:14">
      <c r="N2488" s="3">
        <v>3275265725.378006</v>
      </c>
    </row>
    <row r="2489" spans="14:14">
      <c r="N2489" s="3">
        <v>2752772458.0739298</v>
      </c>
    </row>
    <row r="2490" spans="14:14">
      <c r="N2490" s="3">
        <v>2400260820.1591468</v>
      </c>
    </row>
    <row r="2491" spans="14:14">
      <c r="N2491" s="3">
        <v>1452297715.0152533</v>
      </c>
    </row>
    <row r="2492" spans="14:14">
      <c r="N2492" s="3">
        <v>1172017605.978303</v>
      </c>
    </row>
    <row r="2493" spans="14:14">
      <c r="N2493" s="3">
        <v>2892711472.4125619</v>
      </c>
    </row>
    <row r="2494" spans="14:14">
      <c r="N2494" s="3">
        <v>1416391854.1825588</v>
      </c>
    </row>
    <row r="2495" spans="14:14">
      <c r="N2495" s="3">
        <v>2257160543.4755144</v>
      </c>
    </row>
    <row r="2496" spans="14:14">
      <c r="N2496" s="3">
        <v>1463748653.1436851</v>
      </c>
    </row>
    <row r="2497" spans="14:14">
      <c r="N2497" s="3">
        <v>2628027717.9060321</v>
      </c>
    </row>
    <row r="2498" spans="14:14">
      <c r="N2498" s="3">
        <v>2256003871.3871222</v>
      </c>
    </row>
    <row r="2499" spans="14:14">
      <c r="N2499" s="3">
        <v>3192031705.3360496</v>
      </c>
    </row>
    <row r="2500" spans="14:14">
      <c r="N2500" s="3">
        <v>756931677.82972527</v>
      </c>
    </row>
    <row r="2501" spans="14:14">
      <c r="N2501" s="3">
        <v>1173363883.7397852</v>
      </c>
    </row>
    <row r="2502" spans="14:14">
      <c r="N2502" s="3">
        <v>3154128418.9676013</v>
      </c>
    </row>
    <row r="2503" spans="14:14">
      <c r="N2503" s="3">
        <v>2273862590.1421828</v>
      </c>
    </row>
    <row r="2504" spans="14:14">
      <c r="N2504" s="3">
        <v>1603864831.8342662</v>
      </c>
    </row>
    <row r="2505" spans="14:14">
      <c r="N2505" s="3">
        <v>2135833610.3500566</v>
      </c>
    </row>
    <row r="2506" spans="14:14">
      <c r="N2506" s="3">
        <v>1539073488.9398248</v>
      </c>
    </row>
    <row r="2507" spans="14:14">
      <c r="N2507" s="3">
        <v>2138660094.5802622</v>
      </c>
    </row>
    <row r="2508" spans="14:14">
      <c r="N2508" s="3">
        <v>1873481374.469491</v>
      </c>
    </row>
    <row r="2509" spans="14:14">
      <c r="N2509" s="3">
        <v>2516738626.39254</v>
      </c>
    </row>
    <row r="2510" spans="14:14">
      <c r="N2510" s="3">
        <v>1684279219.0978646</v>
      </c>
    </row>
    <row r="2511" spans="14:14">
      <c r="N2511" s="3">
        <v>971118419.80332816</v>
      </c>
    </row>
    <row r="2512" spans="14:14">
      <c r="N2512" s="3">
        <v>2206852995.3319564</v>
      </c>
    </row>
    <row r="2513" spans="14:14">
      <c r="N2513" s="3">
        <v>1064418795.1485209</v>
      </c>
    </row>
    <row r="2514" spans="14:14">
      <c r="N2514" s="3">
        <v>2454220311.4823818</v>
      </c>
    </row>
    <row r="2515" spans="14:14">
      <c r="N2515" s="3">
        <v>3132390339.9105635</v>
      </c>
    </row>
    <row r="2516" spans="14:14">
      <c r="N2516" s="3">
        <v>2139190011.3540766</v>
      </c>
    </row>
    <row r="2517" spans="14:14">
      <c r="N2517" s="3">
        <v>1410025108.1887953</v>
      </c>
    </row>
    <row r="2518" spans="14:14">
      <c r="N2518" s="3">
        <v>2650252834.8248549</v>
      </c>
    </row>
    <row r="2519" spans="14:14">
      <c r="N2519" s="3">
        <v>1446791357.2224772</v>
      </c>
    </row>
    <row r="2520" spans="14:14">
      <c r="N2520" s="3">
        <v>2191277633.4772472</v>
      </c>
    </row>
    <row r="2521" spans="14:14">
      <c r="N2521" s="3">
        <v>2444605625.0466166</v>
      </c>
    </row>
    <row r="2522" spans="14:14">
      <c r="N2522" s="3">
        <v>1449911577.5362198</v>
      </c>
    </row>
    <row r="2523" spans="14:14">
      <c r="N2523" s="3">
        <v>1474917850.5914412</v>
      </c>
    </row>
    <row r="2524" spans="14:14">
      <c r="N2524" s="3">
        <v>1291872321.0228782</v>
      </c>
    </row>
    <row r="2525" spans="14:14">
      <c r="N2525" s="3">
        <v>5002721900.4934359</v>
      </c>
    </row>
    <row r="2526" spans="14:14">
      <c r="N2526" s="3">
        <v>1513663139.3983967</v>
      </c>
    </row>
    <row r="2527" spans="14:14">
      <c r="N2527" s="3">
        <v>2434750072.6398897</v>
      </c>
    </row>
    <row r="2528" spans="14:14">
      <c r="N2528" s="3">
        <v>1218544228.9761212</v>
      </c>
    </row>
    <row r="2529" spans="14:14">
      <c r="N2529" s="3">
        <v>1963478689.9866087</v>
      </c>
    </row>
    <row r="2530" spans="14:14">
      <c r="N2530" s="3">
        <v>1909796965.6088059</v>
      </c>
    </row>
    <row r="2531" spans="14:14">
      <c r="N2531" s="3">
        <v>2081608870.0015624</v>
      </c>
    </row>
    <row r="2532" spans="14:14">
      <c r="N2532" s="3">
        <v>3541187312.0329137</v>
      </c>
    </row>
    <row r="2533" spans="14:14">
      <c r="N2533" s="3">
        <v>1776431094.0914629</v>
      </c>
    </row>
    <row r="2534" spans="14:14">
      <c r="N2534" s="3">
        <v>1797424434.9325356</v>
      </c>
    </row>
    <row r="2535" spans="14:14">
      <c r="N2535" s="3">
        <v>2219110984.6757069</v>
      </c>
    </row>
    <row r="2536" spans="14:14">
      <c r="N2536" s="3">
        <v>2386033277.5998788</v>
      </c>
    </row>
    <row r="2537" spans="14:14">
      <c r="N2537" s="3">
        <v>1533517358.464659</v>
      </c>
    </row>
    <row r="2538" spans="14:14">
      <c r="N2538" s="3">
        <v>1443820731.4887717</v>
      </c>
    </row>
    <row r="2539" spans="14:14">
      <c r="N2539" s="3">
        <v>3945344787.451715</v>
      </c>
    </row>
    <row r="2540" spans="14:14">
      <c r="N2540" s="3">
        <v>1632082672.0666032</v>
      </c>
    </row>
    <row r="2541" spans="14:14">
      <c r="N2541" s="3">
        <v>3693587462.5502276</v>
      </c>
    </row>
    <row r="2542" spans="14:14">
      <c r="N2542" s="3">
        <v>2643346737.517313</v>
      </c>
    </row>
    <row r="2543" spans="14:14">
      <c r="N2543" s="3">
        <v>3033617576.9482303</v>
      </c>
    </row>
    <row r="2544" spans="14:14">
      <c r="N2544" s="3">
        <v>2019656259.2296622</v>
      </c>
    </row>
    <row r="2545" spans="14:14">
      <c r="N2545" s="3">
        <v>1642767634.5261331</v>
      </c>
    </row>
    <row r="2546" spans="14:14">
      <c r="N2546" s="3">
        <v>1878390126.2085721</v>
      </c>
    </row>
    <row r="2547" spans="14:14">
      <c r="N2547" s="3">
        <v>2471865475.5903797</v>
      </c>
    </row>
    <row r="2548" spans="14:14">
      <c r="N2548" s="3">
        <v>1381654517.9217038</v>
      </c>
    </row>
    <row r="2549" spans="14:14">
      <c r="N2549" s="3">
        <v>6095479776.2468643</v>
      </c>
    </row>
    <row r="2550" spans="14:14">
      <c r="N2550" s="3">
        <v>2806695971.348599</v>
      </c>
    </row>
    <row r="2551" spans="14:14">
      <c r="N2551" s="3">
        <v>1393904430.9759738</v>
      </c>
    </row>
    <row r="2552" spans="14:14">
      <c r="N2552" s="3">
        <v>3735698687.1538787</v>
      </c>
    </row>
    <row r="2553" spans="14:14">
      <c r="N2553" s="3">
        <v>1051785227.5591516</v>
      </c>
    </row>
    <row r="2554" spans="14:14">
      <c r="N2554" s="3">
        <v>2843231634.1812</v>
      </c>
    </row>
    <row r="2555" spans="14:14">
      <c r="N2555" s="3">
        <v>2519262358.9529777</v>
      </c>
    </row>
    <row r="2556" spans="14:14">
      <c r="N2556" s="3">
        <v>3027478588.2588367</v>
      </c>
    </row>
    <row r="2557" spans="14:14">
      <c r="N2557" s="3">
        <v>2398819428.1230268</v>
      </c>
    </row>
    <row r="2558" spans="14:14">
      <c r="N2558" s="3">
        <v>2394235782.3144946</v>
      </c>
    </row>
    <row r="2559" spans="14:14">
      <c r="N2559" s="3">
        <v>1019296627.4210951</v>
      </c>
    </row>
    <row r="2560" spans="14:14">
      <c r="N2560" s="3">
        <v>1701381818.5620077</v>
      </c>
    </row>
    <row r="2561" spans="14:14">
      <c r="N2561" s="3">
        <v>1506370140.4155009</v>
      </c>
    </row>
    <row r="2562" spans="14:14">
      <c r="N2562" s="3">
        <v>2706791863.0253763</v>
      </c>
    </row>
    <row r="2563" spans="14:14">
      <c r="N2563" s="3">
        <v>2133433241.2330158</v>
      </c>
    </row>
    <row r="2564" spans="14:14">
      <c r="N2564" s="3">
        <v>1177544444.9514351</v>
      </c>
    </row>
    <row r="2565" spans="14:14">
      <c r="N2565" s="3">
        <v>1282916342.8229408</v>
      </c>
    </row>
    <row r="2566" spans="14:14">
      <c r="N2566" s="3">
        <v>1179255383.2998176</v>
      </c>
    </row>
    <row r="2567" spans="14:14">
      <c r="N2567" s="3">
        <v>2260450666.4733648</v>
      </c>
    </row>
    <row r="2568" spans="14:14">
      <c r="N2568" s="3">
        <v>1344990885.8031087</v>
      </c>
    </row>
    <row r="2569" spans="14:14">
      <c r="N2569" s="3">
        <v>2071539327.1971536</v>
      </c>
    </row>
    <row r="2570" spans="14:14">
      <c r="N2570" s="3">
        <v>2151446074.5522432</v>
      </c>
    </row>
    <row r="2571" spans="14:14">
      <c r="N2571" s="3">
        <v>1917284922.2302346</v>
      </c>
    </row>
    <row r="2572" spans="14:14">
      <c r="N2572" s="3">
        <v>1245713797.7175198</v>
      </c>
    </row>
    <row r="2573" spans="14:14">
      <c r="N2573" s="3">
        <v>1136346582.2638092</v>
      </c>
    </row>
    <row r="2574" spans="14:14">
      <c r="N2574" s="3">
        <v>2218193591.2310619</v>
      </c>
    </row>
    <row r="2575" spans="14:14">
      <c r="N2575" s="3">
        <v>1825252047.0822995</v>
      </c>
    </row>
    <row r="2576" spans="14:14">
      <c r="N2576" s="3">
        <v>2174013827.5059028</v>
      </c>
    </row>
    <row r="2577" spans="14:14">
      <c r="N2577" s="3">
        <v>1110780465.5571687</v>
      </c>
    </row>
    <row r="2578" spans="14:14">
      <c r="N2578" s="3">
        <v>1833797198.188185</v>
      </c>
    </row>
    <row r="2579" spans="14:14">
      <c r="N2579" s="3">
        <v>2692086775.1946602</v>
      </c>
    </row>
    <row r="2580" spans="14:14">
      <c r="N2580" s="3">
        <v>2965143309.0031533</v>
      </c>
    </row>
    <row r="2581" spans="14:14">
      <c r="N2581" s="3">
        <v>2944805510.9518318</v>
      </c>
    </row>
    <row r="2582" spans="14:14">
      <c r="N2582" s="3">
        <v>1564205474.0274403</v>
      </c>
    </row>
    <row r="2583" spans="14:14">
      <c r="N2583" s="3">
        <v>1753394136.1469254</v>
      </c>
    </row>
    <row r="2584" spans="14:14">
      <c r="N2584" s="3">
        <v>2091260711.8258092</v>
      </c>
    </row>
    <row r="2585" spans="14:14">
      <c r="N2585" s="3">
        <v>2610719001.2513695</v>
      </c>
    </row>
    <row r="2586" spans="14:14">
      <c r="N2586" s="3">
        <v>2957031400.0777764</v>
      </c>
    </row>
    <row r="2587" spans="14:14">
      <c r="N2587" s="3">
        <v>1305996608.4916091</v>
      </c>
    </row>
    <row r="2588" spans="14:14">
      <c r="N2588" s="3">
        <v>3380239472.2389817</v>
      </c>
    </row>
    <row r="2589" spans="14:14">
      <c r="N2589" s="3">
        <v>1610040684.2253726</v>
      </c>
    </row>
    <row r="2590" spans="14:14">
      <c r="N2590" s="3">
        <v>1517668099.8715842</v>
      </c>
    </row>
    <row r="2591" spans="14:14">
      <c r="N2591" s="3">
        <v>1569756702.7467062</v>
      </c>
    </row>
    <row r="2592" spans="14:14">
      <c r="N2592" s="3">
        <v>3883006232.2706842</v>
      </c>
    </row>
    <row r="2593" spans="14:14">
      <c r="N2593" s="3">
        <v>2295176166.9485526</v>
      </c>
    </row>
    <row r="2594" spans="14:14">
      <c r="N2594" s="3">
        <v>3422559960.6660757</v>
      </c>
    </row>
    <row r="2595" spans="14:14">
      <c r="N2595" s="3">
        <v>3478919380.1345344</v>
      </c>
    </row>
    <row r="2596" spans="14:14">
      <c r="N2596" s="3">
        <v>4465731033.6377687</v>
      </c>
    </row>
    <row r="2597" spans="14:14">
      <c r="N2597" s="3">
        <v>1635094289.0066648</v>
      </c>
    </row>
    <row r="2598" spans="14:14">
      <c r="N2598" s="3">
        <v>1232933851.6936333</v>
      </c>
    </row>
    <row r="2599" spans="14:14">
      <c r="N2599" s="3">
        <v>4806010633.468049</v>
      </c>
    </row>
    <row r="2600" spans="14:14">
      <c r="N2600" s="3">
        <v>927392670.00169218</v>
      </c>
    </row>
    <row r="2601" spans="14:14">
      <c r="N2601" s="3">
        <v>1255963442.2776361</v>
      </c>
    </row>
    <row r="2602" spans="14:14">
      <c r="N2602" s="3">
        <v>2457351181.0795159</v>
      </c>
    </row>
    <row r="2603" spans="14:14">
      <c r="N2603" s="3">
        <v>2588383776.0059004</v>
      </c>
    </row>
    <row r="2604" spans="14:14">
      <c r="N2604" s="3">
        <v>1908758442.9384782</v>
      </c>
    </row>
    <row r="2605" spans="14:14">
      <c r="N2605" s="3">
        <v>1902879649.0581434</v>
      </c>
    </row>
    <row r="2606" spans="14:14">
      <c r="N2606" s="3">
        <v>1139413551.7978973</v>
      </c>
    </row>
    <row r="2607" spans="14:14">
      <c r="N2607" s="3">
        <v>3959855421.693562</v>
      </c>
    </row>
    <row r="2608" spans="14:14">
      <c r="N2608" s="3">
        <v>1660561179.2587333</v>
      </c>
    </row>
    <row r="2609" spans="14:14">
      <c r="N2609" s="3">
        <v>2272534337.297317</v>
      </c>
    </row>
    <row r="2610" spans="14:14">
      <c r="N2610" s="3">
        <v>1685585837.9533544</v>
      </c>
    </row>
    <row r="2611" spans="14:14">
      <c r="N2611" s="3">
        <v>2078988645.7501476</v>
      </c>
    </row>
    <row r="2612" spans="14:14">
      <c r="N2612" s="3">
        <v>3070170035.6257281</v>
      </c>
    </row>
    <row r="2613" spans="14:14">
      <c r="N2613" s="3">
        <v>1545670902.4095716</v>
      </c>
    </row>
    <row r="2614" spans="14:14">
      <c r="N2614" s="3">
        <v>2428112468.6634989</v>
      </c>
    </row>
    <row r="2615" spans="14:14">
      <c r="N2615" s="3">
        <v>1755877237.8206723</v>
      </c>
    </row>
    <row r="2616" spans="14:14">
      <c r="N2616" s="3">
        <v>3113963613.0821404</v>
      </c>
    </row>
    <row r="2617" spans="14:14">
      <c r="N2617" s="3">
        <v>2379719353.2285819</v>
      </c>
    </row>
    <row r="2618" spans="14:14">
      <c r="N2618" s="3">
        <v>1333502092.7252045</v>
      </c>
    </row>
    <row r="2619" spans="14:14">
      <c r="N2619" s="3">
        <v>1893649961.1658163</v>
      </c>
    </row>
    <row r="2620" spans="14:14">
      <c r="N2620" s="3">
        <v>2605646131.8824754</v>
      </c>
    </row>
    <row r="2621" spans="14:14">
      <c r="N2621" s="3">
        <v>2805721683.0349092</v>
      </c>
    </row>
    <row r="2622" spans="14:14">
      <c r="N2622" s="3">
        <v>2043923625.4196291</v>
      </c>
    </row>
    <row r="2623" spans="14:14">
      <c r="N2623" s="3">
        <v>2538719477.6496062</v>
      </c>
    </row>
    <row r="2624" spans="14:14">
      <c r="N2624" s="3">
        <v>2272047421.8561983</v>
      </c>
    </row>
    <row r="2625" spans="14:14">
      <c r="N2625" s="3">
        <v>2530029269.7313871</v>
      </c>
    </row>
    <row r="2626" spans="14:14">
      <c r="N2626" s="3">
        <v>3635521990.5414124</v>
      </c>
    </row>
    <row r="2627" spans="14:14">
      <c r="N2627" s="3">
        <v>3335222436.5687537</v>
      </c>
    </row>
    <row r="2628" spans="14:14">
      <c r="N2628" s="3">
        <v>2326083953.8370404</v>
      </c>
    </row>
    <row r="2629" spans="14:14">
      <c r="N2629" s="3">
        <v>2026895110.0448527</v>
      </c>
    </row>
    <row r="2630" spans="14:14">
      <c r="N2630" s="3">
        <v>1354879458.0340374</v>
      </c>
    </row>
    <row r="2631" spans="14:14">
      <c r="N2631" s="3">
        <v>1723213793.4024887</v>
      </c>
    </row>
    <row r="2632" spans="14:14">
      <c r="N2632" s="3">
        <v>1725810304.7648695</v>
      </c>
    </row>
    <row r="2633" spans="14:14">
      <c r="N2633" s="3">
        <v>2150374839.0978985</v>
      </c>
    </row>
    <row r="2634" spans="14:14">
      <c r="N2634" s="3">
        <v>3991253636.7528205</v>
      </c>
    </row>
    <row r="2635" spans="14:14">
      <c r="N2635" s="3">
        <v>1988859573.4865258</v>
      </c>
    </row>
    <row r="2636" spans="14:14">
      <c r="N2636" s="3">
        <v>1840890933.989259</v>
      </c>
    </row>
    <row r="2637" spans="14:14">
      <c r="N2637" s="3">
        <v>2511318434.6577635</v>
      </c>
    </row>
    <row r="2638" spans="14:14">
      <c r="N2638" s="3">
        <v>1563329264.7041957</v>
      </c>
    </row>
    <row r="2639" spans="14:14">
      <c r="N2639" s="3">
        <v>2886167203.0570793</v>
      </c>
    </row>
    <row r="2640" spans="14:14">
      <c r="N2640" s="3">
        <v>1578622392.0040371</v>
      </c>
    </row>
    <row r="2641" spans="14:14">
      <c r="N2641" s="3">
        <v>1625628367.1821404</v>
      </c>
    </row>
    <row r="2642" spans="14:14">
      <c r="N2642" s="3">
        <v>4583672468.9186478</v>
      </c>
    </row>
    <row r="2643" spans="14:14">
      <c r="N2643" s="3">
        <v>2690465935.1753845</v>
      </c>
    </row>
    <row r="2644" spans="14:14">
      <c r="N2644" s="3">
        <v>2310972010.5319309</v>
      </c>
    </row>
    <row r="2645" spans="14:14">
      <c r="N2645" s="3">
        <v>1399142946.1227841</v>
      </c>
    </row>
    <row r="2646" spans="14:14">
      <c r="N2646" s="3">
        <v>4043099978.5250931</v>
      </c>
    </row>
    <row r="2647" spans="14:14">
      <c r="N2647" s="3">
        <v>4806277863.0144587</v>
      </c>
    </row>
    <row r="2648" spans="14:14">
      <c r="N2648" s="3">
        <v>2338373437.3434615</v>
      </c>
    </row>
    <row r="2649" spans="14:14">
      <c r="N2649" s="3">
        <v>2681535757.523283</v>
      </c>
    </row>
    <row r="2650" spans="14:14">
      <c r="N2650" s="3">
        <v>1807817644.8143127</v>
      </c>
    </row>
    <row r="2651" spans="14:14">
      <c r="N2651" s="3">
        <v>2162552337.7671962</v>
      </c>
    </row>
    <row r="2652" spans="14:14">
      <c r="N2652" s="3">
        <v>1887013458.953361</v>
      </c>
    </row>
    <row r="2653" spans="14:14">
      <c r="N2653" s="3">
        <v>1634242766.3664637</v>
      </c>
    </row>
    <row r="2654" spans="14:14">
      <c r="N2654" s="3">
        <v>2985339598.8239808</v>
      </c>
    </row>
    <row r="2655" spans="14:14">
      <c r="N2655" s="3">
        <v>2624200342.5666814</v>
      </c>
    </row>
    <row r="2656" spans="14:14">
      <c r="N2656" s="3">
        <v>1682143145.4125907</v>
      </c>
    </row>
    <row r="2657" spans="14:14">
      <c r="N2657" s="3">
        <v>4780052491.1031475</v>
      </c>
    </row>
    <row r="2658" spans="14:14">
      <c r="N2658" s="3">
        <v>1374712107.9189842</v>
      </c>
    </row>
    <row r="2659" spans="14:14">
      <c r="N2659" s="3">
        <v>1030442963.4591196</v>
      </c>
    </row>
    <row r="2660" spans="14:14">
      <c r="N2660" s="3">
        <v>1949736537.9004812</v>
      </c>
    </row>
    <row r="2661" spans="14:14">
      <c r="N2661" s="3">
        <v>2859626531.6065788</v>
      </c>
    </row>
    <row r="2662" spans="14:14">
      <c r="N2662" s="3">
        <v>3485675893.1223431</v>
      </c>
    </row>
    <row r="2663" spans="14:14">
      <c r="N2663" s="3">
        <v>2791800329.1270809</v>
      </c>
    </row>
    <row r="2664" spans="14:14">
      <c r="N2664" s="3">
        <v>1038356303.1999398</v>
      </c>
    </row>
    <row r="2665" spans="14:14">
      <c r="N2665" s="3">
        <v>3672878617.9524903</v>
      </c>
    </row>
    <row r="2666" spans="14:14">
      <c r="N2666" s="3">
        <v>1492257774.1925838</v>
      </c>
    </row>
    <row r="2667" spans="14:14">
      <c r="N2667" s="3">
        <v>1360336022.1395915</v>
      </c>
    </row>
    <row r="2668" spans="14:14">
      <c r="N2668" s="3">
        <v>1208535662.7489789</v>
      </c>
    </row>
    <row r="2669" spans="14:14">
      <c r="N2669" s="3">
        <v>1985724943.9651654</v>
      </c>
    </row>
    <row r="2670" spans="14:14">
      <c r="N2670" s="3">
        <v>4016223761.7771459</v>
      </c>
    </row>
    <row r="2671" spans="14:14">
      <c r="N2671" s="3">
        <v>1793146538.9153934</v>
      </c>
    </row>
    <row r="2672" spans="14:14">
      <c r="N2672" s="3">
        <v>1685897531.8865917</v>
      </c>
    </row>
    <row r="2673" spans="14:14">
      <c r="N2673" s="3">
        <v>5090597982.6950579</v>
      </c>
    </row>
    <row r="2674" spans="14:14">
      <c r="N2674" s="3">
        <v>2705250524.576293</v>
      </c>
    </row>
    <row r="2675" spans="14:14">
      <c r="N2675" s="3">
        <v>1940882444.8381503</v>
      </c>
    </row>
    <row r="2676" spans="14:14">
      <c r="N2676" s="3">
        <v>2877126312.834209</v>
      </c>
    </row>
    <row r="2677" spans="14:14">
      <c r="N2677" s="3">
        <v>1668092640.3332789</v>
      </c>
    </row>
    <row r="2678" spans="14:14">
      <c r="N2678" s="3">
        <v>2243539543.956615</v>
      </c>
    </row>
    <row r="2679" spans="14:14">
      <c r="N2679" s="3">
        <v>2615962134.953794</v>
      </c>
    </row>
    <row r="2680" spans="14:14">
      <c r="N2680" s="3">
        <v>1768544576.2333183</v>
      </c>
    </row>
    <row r="2681" spans="14:14">
      <c r="N2681" s="3">
        <v>1640225272.5299489</v>
      </c>
    </row>
    <row r="2682" spans="14:14">
      <c r="N2682" s="3">
        <v>1931796254.0987034</v>
      </c>
    </row>
    <row r="2683" spans="14:14">
      <c r="N2683" s="3">
        <v>2286565241.8565068</v>
      </c>
    </row>
    <row r="2684" spans="14:14">
      <c r="N2684" s="3">
        <v>4991837755.9955549</v>
      </c>
    </row>
    <row r="2685" spans="14:14">
      <c r="N2685" s="3">
        <v>4077922372.4760089</v>
      </c>
    </row>
    <row r="2686" spans="14:14">
      <c r="N2686" s="3">
        <v>1699883506.335911</v>
      </c>
    </row>
    <row r="2687" spans="14:14">
      <c r="N2687" s="3">
        <v>2517418815.1145062</v>
      </c>
    </row>
    <row r="2688" spans="14:14">
      <c r="N2688" s="3">
        <v>1426505428.3747094</v>
      </c>
    </row>
    <row r="2689" spans="14:14">
      <c r="N2689" s="3">
        <v>2131805015.5645278</v>
      </c>
    </row>
    <row r="2690" spans="14:14">
      <c r="N2690" s="3">
        <v>2859787610.7362013</v>
      </c>
    </row>
    <row r="2691" spans="14:14">
      <c r="N2691" s="3">
        <v>1847007576.7835059</v>
      </c>
    </row>
    <row r="2692" spans="14:14">
      <c r="N2692" s="3">
        <v>1542425848.7637196</v>
      </c>
    </row>
    <row r="2693" spans="14:14">
      <c r="N2693" s="3">
        <v>1579176245.7049215</v>
      </c>
    </row>
    <row r="2694" spans="14:14">
      <c r="N2694" s="3">
        <v>4311435947.3097115</v>
      </c>
    </row>
    <row r="2695" spans="14:14">
      <c r="N2695" s="3">
        <v>2687453009.7969995</v>
      </c>
    </row>
    <row r="2696" spans="14:14">
      <c r="N2696" s="3">
        <v>1639140437.0782897</v>
      </c>
    </row>
    <row r="2697" spans="14:14">
      <c r="N2697" s="3">
        <v>2667881583.3274755</v>
      </c>
    </row>
    <row r="2698" spans="14:14">
      <c r="N2698" s="3">
        <v>2516335597.3298063</v>
      </c>
    </row>
    <row r="2699" spans="14:14">
      <c r="N2699" s="3">
        <v>1705260925.2899847</v>
      </c>
    </row>
    <row r="2700" spans="14:14">
      <c r="N2700" s="3">
        <v>3240075907.8186269</v>
      </c>
    </row>
    <row r="2701" spans="14:14">
      <c r="N2701" s="3">
        <v>2051322179.2361465</v>
      </c>
    </row>
    <row r="2702" spans="14:14">
      <c r="N2702" s="3">
        <v>2910895559.1283612</v>
      </c>
    </row>
    <row r="2703" spans="14:14">
      <c r="N2703" s="3">
        <v>2715445116.5623384</v>
      </c>
    </row>
    <row r="2704" spans="14:14">
      <c r="N2704" s="3">
        <v>1325445884.4732215</v>
      </c>
    </row>
    <row r="2705" spans="14:14">
      <c r="N2705" s="3">
        <v>2974690291.5316</v>
      </c>
    </row>
    <row r="2706" spans="14:14">
      <c r="N2706" s="3">
        <v>1990441041.7443125</v>
      </c>
    </row>
    <row r="2707" spans="14:14">
      <c r="N2707" s="3">
        <v>3869957534.3618479</v>
      </c>
    </row>
    <row r="2708" spans="14:14">
      <c r="N2708" s="3">
        <v>1675831800.2519629</v>
      </c>
    </row>
    <row r="2709" spans="14:14">
      <c r="N2709" s="3">
        <v>1536280817.8280132</v>
      </c>
    </row>
    <row r="2710" spans="14:14">
      <c r="N2710" s="3">
        <v>2037626224.4975057</v>
      </c>
    </row>
    <row r="2711" spans="14:14">
      <c r="N2711" s="3">
        <v>1961445257.1649435</v>
      </c>
    </row>
    <row r="2712" spans="14:14">
      <c r="N2712" s="3">
        <v>2328158500.1435452</v>
      </c>
    </row>
    <row r="2713" spans="14:14">
      <c r="N2713" s="3">
        <v>1275442684.4948583</v>
      </c>
    </row>
    <row r="2714" spans="14:14">
      <c r="N2714" s="3">
        <v>2166905819.2427783</v>
      </c>
    </row>
    <row r="2715" spans="14:14">
      <c r="N2715" s="3">
        <v>4296533495.2410069</v>
      </c>
    </row>
    <row r="2716" spans="14:14">
      <c r="N2716" s="3">
        <v>2547075708.9025574</v>
      </c>
    </row>
    <row r="2717" spans="14:14">
      <c r="N2717" s="3">
        <v>3659886968.5922699</v>
      </c>
    </row>
    <row r="2718" spans="14:14">
      <c r="N2718" s="3">
        <v>3314661534.8154445</v>
      </c>
    </row>
    <row r="2719" spans="14:14">
      <c r="N2719" s="3">
        <v>1780293538.9836013</v>
      </c>
    </row>
    <row r="2720" spans="14:14">
      <c r="N2720" s="3">
        <v>3373529661.0319185</v>
      </c>
    </row>
    <row r="2721" spans="14:14">
      <c r="N2721" s="3">
        <v>2754903658.8179631</v>
      </c>
    </row>
    <row r="2722" spans="14:14">
      <c r="N2722" s="3">
        <v>2279750925.5770555</v>
      </c>
    </row>
    <row r="2723" spans="14:14">
      <c r="N2723" s="3">
        <v>1278048385.8158</v>
      </c>
    </row>
    <row r="2724" spans="14:14">
      <c r="N2724" s="3">
        <v>1624943261.9396708</v>
      </c>
    </row>
    <row r="2725" spans="14:14">
      <c r="N2725" s="3">
        <v>2416481163.3814459</v>
      </c>
    </row>
    <row r="2726" spans="14:14">
      <c r="N2726" s="3">
        <v>1961050025.5986373</v>
      </c>
    </row>
    <row r="2727" spans="14:14">
      <c r="N2727" s="3">
        <v>3088298874.1983123</v>
      </c>
    </row>
    <row r="2728" spans="14:14">
      <c r="N2728" s="3">
        <v>1115863181.4056177</v>
      </c>
    </row>
    <row r="2729" spans="14:14">
      <c r="N2729" s="3">
        <v>1524148991.9430666</v>
      </c>
    </row>
    <row r="2730" spans="14:14">
      <c r="N2730" s="3">
        <v>2677889164.7479935</v>
      </c>
    </row>
    <row r="2731" spans="14:14">
      <c r="N2731" s="3">
        <v>2228836010.9955611</v>
      </c>
    </row>
    <row r="2732" spans="14:14">
      <c r="N2732" s="3">
        <v>1346709222.2929065</v>
      </c>
    </row>
    <row r="2733" spans="14:14">
      <c r="N2733" s="3">
        <v>1839244941.8004858</v>
      </c>
    </row>
    <row r="2734" spans="14:14">
      <c r="N2734" s="3">
        <v>2519177625.9448004</v>
      </c>
    </row>
    <row r="2735" spans="14:14">
      <c r="N2735" s="3">
        <v>2976427493.0705104</v>
      </c>
    </row>
    <row r="2736" spans="14:14">
      <c r="N2736" s="3">
        <v>2490387689.2482753</v>
      </c>
    </row>
    <row r="2737" spans="14:14">
      <c r="N2737" s="3">
        <v>1874066847.7929699</v>
      </c>
    </row>
    <row r="2738" spans="14:14">
      <c r="N2738" s="3">
        <v>1926034367.5920925</v>
      </c>
    </row>
    <row r="2739" spans="14:14">
      <c r="N2739" s="3">
        <v>1551716558.0122571</v>
      </c>
    </row>
    <row r="2740" spans="14:14">
      <c r="N2740" s="3">
        <v>2010002323.742583</v>
      </c>
    </row>
    <row r="2741" spans="14:14">
      <c r="N2741" s="3">
        <v>994997972.10380602</v>
      </c>
    </row>
    <row r="2742" spans="14:14">
      <c r="N2742" s="3">
        <v>2073160519.7840807</v>
      </c>
    </row>
    <row r="2743" spans="14:14">
      <c r="N2743" s="3">
        <v>2021837680.9315748</v>
      </c>
    </row>
    <row r="2744" spans="14:14">
      <c r="N2744" s="3">
        <v>1877573451.3998554</v>
      </c>
    </row>
    <row r="2745" spans="14:14">
      <c r="N2745" s="3">
        <v>2048737722.1406665</v>
      </c>
    </row>
    <row r="2746" spans="14:14">
      <c r="N2746" s="3">
        <v>2111492244.1641729</v>
      </c>
    </row>
    <row r="2747" spans="14:14">
      <c r="N2747" s="3">
        <v>1901372048.3511691</v>
      </c>
    </row>
    <row r="2748" spans="14:14">
      <c r="N2748" s="3">
        <v>3848496575.2656455</v>
      </c>
    </row>
    <row r="2749" spans="14:14">
      <c r="N2749" s="3">
        <v>1573345970.7276478</v>
      </c>
    </row>
    <row r="2750" spans="14:14">
      <c r="N2750" s="3">
        <v>2366344290.6285357</v>
      </c>
    </row>
    <row r="2751" spans="14:14">
      <c r="N2751" s="3">
        <v>1916735171.0196006</v>
      </c>
    </row>
    <row r="2752" spans="14:14">
      <c r="N2752" s="3">
        <v>3836452048.5136414</v>
      </c>
    </row>
    <row r="2753" spans="14:14">
      <c r="N2753" s="3">
        <v>2069279080.3185108</v>
      </c>
    </row>
    <row r="2754" spans="14:14">
      <c r="N2754" s="3">
        <v>1928711731.1403852</v>
      </c>
    </row>
    <row r="2755" spans="14:14">
      <c r="N2755" s="3">
        <v>1297789864.761847</v>
      </c>
    </row>
    <row r="2756" spans="14:14">
      <c r="N2756" s="3">
        <v>2236419880.8426867</v>
      </c>
    </row>
    <row r="2757" spans="14:14">
      <c r="N2757" s="3">
        <v>1916185514.1473122</v>
      </c>
    </row>
    <row r="2758" spans="14:14">
      <c r="N2758" s="3">
        <v>3362196629.0840721</v>
      </c>
    </row>
    <row r="2759" spans="14:14">
      <c r="N2759" s="3">
        <v>1786787219.3445828</v>
      </c>
    </row>
    <row r="2760" spans="14:14">
      <c r="N2760" s="3">
        <v>1535330891.6537971</v>
      </c>
    </row>
    <row r="2761" spans="14:14">
      <c r="N2761" s="3">
        <v>1739719971.4446743</v>
      </c>
    </row>
    <row r="2762" spans="14:14">
      <c r="N2762" s="3">
        <v>1836662981.2295749</v>
      </c>
    </row>
    <row r="2763" spans="14:14">
      <c r="N2763" s="3">
        <v>4060507646.4039516</v>
      </c>
    </row>
    <row r="2764" spans="14:14">
      <c r="N2764" s="3">
        <v>1037903717.5937867</v>
      </c>
    </row>
    <row r="2765" spans="14:14">
      <c r="N2765" s="3">
        <v>1944562010.7640755</v>
      </c>
    </row>
    <row r="2766" spans="14:14">
      <c r="N2766" s="3">
        <v>1504116748.5272627</v>
      </c>
    </row>
    <row r="2767" spans="14:14">
      <c r="N2767" s="3">
        <v>2028332427.6925645</v>
      </c>
    </row>
    <row r="2768" spans="14:14">
      <c r="N2768" s="3">
        <v>2432068199.3727546</v>
      </c>
    </row>
    <row r="2769" spans="14:14">
      <c r="N2769" s="3">
        <v>1767740364.7345469</v>
      </c>
    </row>
    <row r="2770" spans="14:14">
      <c r="N2770" s="3">
        <v>1268482160.9566696</v>
      </c>
    </row>
    <row r="2771" spans="14:14">
      <c r="N2771" s="3">
        <v>1856501892.827481</v>
      </c>
    </row>
    <row r="2772" spans="14:14">
      <c r="N2772" s="3">
        <v>1547997600.5283277</v>
      </c>
    </row>
    <row r="2773" spans="14:14">
      <c r="N2773" s="3">
        <v>1364752723.6781623</v>
      </c>
    </row>
    <row r="2774" spans="14:14">
      <c r="N2774" s="3">
        <v>1781349046.4216228</v>
      </c>
    </row>
    <row r="2775" spans="14:14">
      <c r="N2775" s="3">
        <v>4194327300.0891452</v>
      </c>
    </row>
    <row r="2776" spans="14:14">
      <c r="N2776" s="3">
        <v>3522313886.0768385</v>
      </c>
    </row>
    <row r="2777" spans="14:14">
      <c r="N2777" s="3">
        <v>3498432161.3008757</v>
      </c>
    </row>
    <row r="2778" spans="14:14">
      <c r="N2778" s="3">
        <v>1502757294.5624514</v>
      </c>
    </row>
    <row r="2779" spans="14:14">
      <c r="N2779" s="3">
        <v>2202382619.6474652</v>
      </c>
    </row>
    <row r="2780" spans="14:14">
      <c r="N2780" s="3">
        <v>2987599597.9839387</v>
      </c>
    </row>
    <row r="2781" spans="14:14">
      <c r="N2781" s="3">
        <v>3393623862.883749</v>
      </c>
    </row>
    <row r="2782" spans="14:14">
      <c r="N2782" s="3">
        <v>1421202019.9780836</v>
      </c>
    </row>
    <row r="2783" spans="14:14">
      <c r="N2783" s="3">
        <v>2016080397.5152168</v>
      </c>
    </row>
    <row r="2784" spans="14:14">
      <c r="N2784" s="3">
        <v>1898828150.1658373</v>
      </c>
    </row>
    <row r="2785" spans="14:14">
      <c r="N2785" s="3">
        <v>2154526980.6500759</v>
      </c>
    </row>
    <row r="2786" spans="14:14">
      <c r="N2786" s="3">
        <v>6571724203.8402157</v>
      </c>
    </row>
    <row r="2787" spans="14:14">
      <c r="N2787" s="3">
        <v>1534212569.0982375</v>
      </c>
    </row>
    <row r="2788" spans="14:14">
      <c r="N2788" s="3">
        <v>1628321501.3948574</v>
      </c>
    </row>
    <row r="2789" spans="14:14">
      <c r="N2789" s="3">
        <v>2041022433.0503089</v>
      </c>
    </row>
    <row r="2790" spans="14:14">
      <c r="N2790" s="3">
        <v>1508573501.0177722</v>
      </c>
    </row>
    <row r="2791" spans="14:14">
      <c r="N2791" s="3">
        <v>2950857284.8894081</v>
      </c>
    </row>
    <row r="2792" spans="14:14">
      <c r="N2792" s="3">
        <v>2950752873.268177</v>
      </c>
    </row>
    <row r="2793" spans="14:14">
      <c r="N2793" s="3">
        <v>1538465856.2240469</v>
      </c>
    </row>
    <row r="2794" spans="14:14">
      <c r="N2794" s="3">
        <v>677384813.43927217</v>
      </c>
    </row>
    <row r="2795" spans="14:14">
      <c r="N2795" s="3">
        <v>2756773067.3831849</v>
      </c>
    </row>
    <row r="2796" spans="14:14">
      <c r="N2796" s="3">
        <v>3249128114.1405602</v>
      </c>
    </row>
    <row r="2797" spans="14:14">
      <c r="N2797" s="3">
        <v>1284826305.7620645</v>
      </c>
    </row>
    <row r="2798" spans="14:14">
      <c r="N2798" s="3">
        <v>1949524068.6433697</v>
      </c>
    </row>
    <row r="2799" spans="14:14">
      <c r="N2799" s="3">
        <v>2386934930.2818937</v>
      </c>
    </row>
    <row r="2800" spans="14:14">
      <c r="N2800" s="3">
        <v>2477542497.869935</v>
      </c>
    </row>
    <row r="2801" spans="14:14">
      <c r="N2801" s="3">
        <v>2889021096.4859486</v>
      </c>
    </row>
    <row r="2802" spans="14:14">
      <c r="N2802" s="3">
        <v>2562285508.448483</v>
      </c>
    </row>
    <row r="2803" spans="14:14">
      <c r="N2803" s="3">
        <v>2174882413.4273882</v>
      </c>
    </row>
    <row r="2804" spans="14:14">
      <c r="N2804" s="3">
        <v>2593241157.0933518</v>
      </c>
    </row>
    <row r="2805" spans="14:14">
      <c r="N2805" s="3">
        <v>1358684870.323441</v>
      </c>
    </row>
    <row r="2806" spans="14:14">
      <c r="N2806" s="3">
        <v>4148901233.4042087</v>
      </c>
    </row>
    <row r="2807" spans="14:14">
      <c r="N2807" s="3">
        <v>2891204769.8427787</v>
      </c>
    </row>
    <row r="2808" spans="14:14">
      <c r="N2808" s="3">
        <v>1144884363.4087682</v>
      </c>
    </row>
    <row r="2809" spans="14:14">
      <c r="N2809" s="3">
        <v>3897469578.8010941</v>
      </c>
    </row>
    <row r="2810" spans="14:14">
      <c r="N2810" s="3">
        <v>1725601844.0195696</v>
      </c>
    </row>
    <row r="2811" spans="14:14">
      <c r="N2811" s="3">
        <v>1956887329.6372192</v>
      </c>
    </row>
    <row r="2812" spans="14:14">
      <c r="N2812" s="3">
        <v>1262471808.9551413</v>
      </c>
    </row>
    <row r="2813" spans="14:14">
      <c r="N2813" s="3">
        <v>2856985676.3728852</v>
      </c>
    </row>
    <row r="2814" spans="14:14">
      <c r="N2814" s="3">
        <v>2461086327.6434898</v>
      </c>
    </row>
    <row r="2815" spans="14:14">
      <c r="N2815" s="3">
        <v>1515796006.4898431</v>
      </c>
    </row>
    <row r="2816" spans="14:14">
      <c r="N2816" s="3">
        <v>1603373156.5544307</v>
      </c>
    </row>
    <row r="2817" spans="14:14">
      <c r="N2817" s="3">
        <v>2342474880.4354863</v>
      </c>
    </row>
    <row r="2818" spans="14:14">
      <c r="N2818" s="3">
        <v>1464374056.7014084</v>
      </c>
    </row>
    <row r="2819" spans="14:14">
      <c r="N2819" s="3">
        <v>1309824610.216089</v>
      </c>
    </row>
    <row r="2820" spans="14:14">
      <c r="N2820" s="3">
        <v>2452130949.856461</v>
      </c>
    </row>
    <row r="2821" spans="14:14">
      <c r="N2821" s="3">
        <v>4165085666.4187999</v>
      </c>
    </row>
    <row r="2822" spans="14:14">
      <c r="N2822" s="3">
        <v>1213960048.2856202</v>
      </c>
    </row>
    <row r="2823" spans="14:14">
      <c r="N2823" s="3">
        <v>1337185647.4324636</v>
      </c>
    </row>
    <row r="2824" spans="14:14">
      <c r="N2824" s="3">
        <v>3466340256.8056402</v>
      </c>
    </row>
    <row r="2825" spans="14:14">
      <c r="N2825" s="3">
        <v>4749933219.4510345</v>
      </c>
    </row>
    <row r="2826" spans="14:14">
      <c r="N2826" s="3">
        <v>2097932738.0361996</v>
      </c>
    </row>
    <row r="2827" spans="14:14">
      <c r="N2827" s="3">
        <v>2879943220.0922022</v>
      </c>
    </row>
    <row r="2828" spans="14:14">
      <c r="N2828" s="3">
        <v>1954822215.931766</v>
      </c>
    </row>
    <row r="2829" spans="14:14">
      <c r="N2829" s="3">
        <v>1068026520.2427932</v>
      </c>
    </row>
    <row r="2830" spans="14:14">
      <c r="N2830" s="3">
        <v>3412764737.0466075</v>
      </c>
    </row>
    <row r="2831" spans="14:14">
      <c r="N2831" s="3">
        <v>1826988132.8461392</v>
      </c>
    </row>
    <row r="2832" spans="14:14">
      <c r="N2832" s="3">
        <v>936880928.89873004</v>
      </c>
    </row>
    <row r="2833" spans="14:14">
      <c r="N2833" s="3">
        <v>2263271207.6959944</v>
      </c>
    </row>
    <row r="2834" spans="14:14">
      <c r="N2834" s="3">
        <v>4509807921.8945522</v>
      </c>
    </row>
    <row r="2835" spans="14:14">
      <c r="N2835" s="3">
        <v>2042081653.6603951</v>
      </c>
    </row>
    <row r="2836" spans="14:14">
      <c r="N2836" s="3">
        <v>2581000457.5560155</v>
      </c>
    </row>
    <row r="2837" spans="14:14">
      <c r="N2837" s="3">
        <v>2987781257.2801189</v>
      </c>
    </row>
    <row r="2838" spans="14:14">
      <c r="N2838" s="3">
        <v>1410095077.5322814</v>
      </c>
    </row>
    <row r="2839" spans="14:14">
      <c r="N2839" s="3">
        <v>2778995207.4340272</v>
      </c>
    </row>
    <row r="2840" spans="14:14">
      <c r="N2840" s="3">
        <v>1142810395.092391</v>
      </c>
    </row>
    <row r="2841" spans="14:14">
      <c r="N2841" s="3">
        <v>1698984298.4836485</v>
      </c>
    </row>
    <row r="2842" spans="14:14">
      <c r="N2842" s="3">
        <v>1873098497.2142344</v>
      </c>
    </row>
    <row r="2843" spans="14:14">
      <c r="N2843" s="3">
        <v>2352309435.4832568</v>
      </c>
    </row>
    <row r="2844" spans="14:14">
      <c r="N2844" s="3">
        <v>1774720718.4354427</v>
      </c>
    </row>
    <row r="2845" spans="14:14">
      <c r="N2845" s="3">
        <v>3405159779.0139318</v>
      </c>
    </row>
    <row r="2846" spans="14:14">
      <c r="N2846" s="3">
        <v>2194796215.6111035</v>
      </c>
    </row>
    <row r="2847" spans="14:14">
      <c r="N2847" s="3">
        <v>2133728210.1420939</v>
      </c>
    </row>
    <row r="2848" spans="14:14">
      <c r="N2848" s="3">
        <v>2336416677.7197938</v>
      </c>
    </row>
    <row r="2849" spans="14:14">
      <c r="N2849" s="3">
        <v>1273011569.2606218</v>
      </c>
    </row>
    <row r="2850" spans="14:14">
      <c r="N2850" s="3">
        <v>4905545396.8743925</v>
      </c>
    </row>
    <row r="2851" spans="14:14">
      <c r="N2851" s="3">
        <v>2359352789.6852832</v>
      </c>
    </row>
    <row r="2852" spans="14:14">
      <c r="N2852" s="3">
        <v>1905633738.3395548</v>
      </c>
    </row>
    <row r="2853" spans="14:14">
      <c r="N2853" s="3">
        <v>1604174431.1640522</v>
      </c>
    </row>
    <row r="2854" spans="14:14">
      <c r="N2854" s="3">
        <v>1575482971.0395036</v>
      </c>
    </row>
    <row r="2855" spans="14:14">
      <c r="N2855" s="3">
        <v>1476366970.3997076</v>
      </c>
    </row>
    <row r="2856" spans="14:14">
      <c r="N2856" s="3">
        <v>2475822585.1951933</v>
      </c>
    </row>
    <row r="2857" spans="14:14">
      <c r="N2857" s="3">
        <v>4010857781.1512275</v>
      </c>
    </row>
    <row r="2858" spans="14:14">
      <c r="N2858" s="3">
        <v>1672764389.6978333</v>
      </c>
    </row>
    <row r="2859" spans="14:14">
      <c r="N2859" s="3">
        <v>1275072657.7799246</v>
      </c>
    </row>
    <row r="2860" spans="14:14">
      <c r="N2860" s="3">
        <v>1663379292.7984791</v>
      </c>
    </row>
    <row r="2861" spans="14:14">
      <c r="N2861" s="3">
        <v>1776328692.9673572</v>
      </c>
    </row>
    <row r="2862" spans="14:14">
      <c r="N2862" s="3">
        <v>1494821372.2351332</v>
      </c>
    </row>
    <row r="2863" spans="14:14">
      <c r="N2863" s="3">
        <v>3151688229.1253209</v>
      </c>
    </row>
    <row r="2864" spans="14:14">
      <c r="N2864" s="3">
        <v>1467091076.2153382</v>
      </c>
    </row>
    <row r="2865" spans="14:14">
      <c r="N2865" s="3">
        <v>1927271219.1161959</v>
      </c>
    </row>
    <row r="2866" spans="14:14">
      <c r="N2866" s="3">
        <v>2288641417.2522182</v>
      </c>
    </row>
    <row r="2867" spans="14:14">
      <c r="N2867" s="3">
        <v>5245539251.5263014</v>
      </c>
    </row>
    <row r="2868" spans="14:14">
      <c r="N2868" s="3">
        <v>1859455878.5245531</v>
      </c>
    </row>
    <row r="2869" spans="14:14">
      <c r="N2869" s="3">
        <v>1764535942.8025117</v>
      </c>
    </row>
    <row r="2870" spans="14:14">
      <c r="N2870" s="3">
        <v>2082568076.8931379</v>
      </c>
    </row>
    <row r="2871" spans="14:14">
      <c r="N2871" s="3">
        <v>953540883.67887437</v>
      </c>
    </row>
    <row r="2872" spans="14:14">
      <c r="N2872" s="3">
        <v>1529104478.5354357</v>
      </c>
    </row>
    <row r="2873" spans="14:14">
      <c r="N2873" s="3">
        <v>1697672046.1768255</v>
      </c>
    </row>
    <row r="2874" spans="14:14">
      <c r="N2874" s="3">
        <v>1068569256.5636653</v>
      </c>
    </row>
    <row r="2875" spans="14:14">
      <c r="N2875" s="3">
        <v>1406603723.437176</v>
      </c>
    </row>
    <row r="2876" spans="14:14">
      <c r="N2876" s="3">
        <v>1362977123.7758157</v>
      </c>
    </row>
    <row r="2877" spans="14:14">
      <c r="N2877" s="3">
        <v>3854258001.5960789</v>
      </c>
    </row>
    <row r="2878" spans="14:14">
      <c r="N2878" s="3">
        <v>2904276565.3957725</v>
      </c>
    </row>
    <row r="2879" spans="14:14">
      <c r="N2879" s="3">
        <v>1487420033.0417824</v>
      </c>
    </row>
    <row r="2880" spans="14:14">
      <c r="N2880" s="3">
        <v>1503568611.7832866</v>
      </c>
    </row>
    <row r="2881" spans="14:14">
      <c r="N2881" s="3">
        <v>2150372702.3997154</v>
      </c>
    </row>
    <row r="2882" spans="14:14">
      <c r="N2882" s="3">
        <v>1273774810.8089271</v>
      </c>
    </row>
    <row r="2883" spans="14:14">
      <c r="N2883" s="3">
        <v>1202030747.5210052</v>
      </c>
    </row>
    <row r="2884" spans="14:14">
      <c r="N2884" s="3">
        <v>2350079832.4124928</v>
      </c>
    </row>
    <row r="2885" spans="14:14">
      <c r="N2885" s="3">
        <v>2542699864.1764183</v>
      </c>
    </row>
    <row r="2886" spans="14:14">
      <c r="N2886" s="3">
        <v>1416436902.0726292</v>
      </c>
    </row>
    <row r="2887" spans="14:14">
      <c r="N2887" s="3">
        <v>1431001972.4518125</v>
      </c>
    </row>
    <row r="2888" spans="14:14">
      <c r="N2888" s="3">
        <v>2118839608.4251373</v>
      </c>
    </row>
    <row r="2889" spans="14:14">
      <c r="N2889" s="3">
        <v>2498791147.9499388</v>
      </c>
    </row>
    <row r="2890" spans="14:14">
      <c r="N2890" s="3">
        <v>2580924829.3646612</v>
      </c>
    </row>
    <row r="2891" spans="14:14">
      <c r="N2891" s="3">
        <v>1561790723.4863672</v>
      </c>
    </row>
    <row r="2892" spans="14:14">
      <c r="N2892" s="3">
        <v>1482655205.5424123</v>
      </c>
    </row>
    <row r="2893" spans="14:14">
      <c r="N2893" s="3">
        <v>2435016030.888309</v>
      </c>
    </row>
    <row r="2894" spans="14:14">
      <c r="N2894" s="3">
        <v>2521485382.0280652</v>
      </c>
    </row>
    <row r="2895" spans="14:14">
      <c r="N2895" s="3">
        <v>1611225114.0681005</v>
      </c>
    </row>
    <row r="2896" spans="14:14">
      <c r="N2896" s="3">
        <v>1535597818.527494</v>
      </c>
    </row>
    <row r="2897" spans="14:14">
      <c r="N2897" s="3">
        <v>2209881014.1716075</v>
      </c>
    </row>
    <row r="2898" spans="14:14">
      <c r="N2898" s="3">
        <v>1791616184.2543168</v>
      </c>
    </row>
    <row r="2899" spans="14:14">
      <c r="N2899" s="3">
        <v>2672930974.4031258</v>
      </c>
    </row>
    <row r="2900" spans="14:14">
      <c r="N2900" s="3">
        <v>3566592636.097692</v>
      </c>
    </row>
    <row r="2901" spans="14:14">
      <c r="N2901" s="3">
        <v>3190571692.7881804</v>
      </c>
    </row>
    <row r="2902" spans="14:14">
      <c r="N2902" s="3">
        <v>1225106213.1825302</v>
      </c>
    </row>
    <row r="2903" spans="14:14">
      <c r="N2903" s="3">
        <v>1869628378.2006614</v>
      </c>
    </row>
    <row r="2904" spans="14:14">
      <c r="N2904" s="3">
        <v>1985559911.1262491</v>
      </c>
    </row>
    <row r="2905" spans="14:14">
      <c r="N2905" s="3">
        <v>2031078661.5060866</v>
      </c>
    </row>
    <row r="2906" spans="14:14">
      <c r="N2906" s="3">
        <v>2045656772.6321113</v>
      </c>
    </row>
    <row r="2907" spans="14:14">
      <c r="N2907" s="3">
        <v>1220040873.4370437</v>
      </c>
    </row>
    <row r="2908" spans="14:14">
      <c r="N2908" s="3">
        <v>1723868199.3373005</v>
      </c>
    </row>
    <row r="2909" spans="14:14">
      <c r="N2909" s="3">
        <v>2326106910.0319519</v>
      </c>
    </row>
    <row r="2910" spans="14:14">
      <c r="N2910" s="3">
        <v>1042343279.4521093</v>
      </c>
    </row>
    <row r="2911" spans="14:14">
      <c r="N2911" s="3">
        <v>1907681742.6732368</v>
      </c>
    </row>
    <row r="2912" spans="14:14">
      <c r="N2912" s="3">
        <v>1448544928.7430489</v>
      </c>
    </row>
    <row r="2913" spans="14:14">
      <c r="N2913" s="3">
        <v>3475404625.6720362</v>
      </c>
    </row>
    <row r="2914" spans="14:14">
      <c r="N2914" s="3">
        <v>2497137423.6389861</v>
      </c>
    </row>
    <row r="2915" spans="14:14">
      <c r="N2915" s="3">
        <v>1803791213.7699254</v>
      </c>
    </row>
    <row r="2916" spans="14:14">
      <c r="N2916" s="3">
        <v>1426720079.6456883</v>
      </c>
    </row>
    <row r="2917" spans="14:14">
      <c r="N2917" s="3">
        <v>2136044766.6172769</v>
      </c>
    </row>
    <row r="2918" spans="14:14">
      <c r="N2918" s="3">
        <v>1986980770.3262076</v>
      </c>
    </row>
    <row r="2919" spans="14:14">
      <c r="N2919" s="3">
        <v>2599129010.3150721</v>
      </c>
    </row>
    <row r="2920" spans="14:14">
      <c r="N2920" s="3">
        <v>3310670772.29703</v>
      </c>
    </row>
    <row r="2921" spans="14:14">
      <c r="N2921" s="3">
        <v>2660924763.097362</v>
      </c>
    </row>
    <row r="2922" spans="14:14">
      <c r="N2922" s="3">
        <v>769117680.52191103</v>
      </c>
    </row>
    <row r="2923" spans="14:14">
      <c r="N2923" s="3">
        <v>1603872133.9104927</v>
      </c>
    </row>
    <row r="2924" spans="14:14">
      <c r="N2924" s="3">
        <v>2894830849.6384435</v>
      </c>
    </row>
    <row r="2925" spans="14:14">
      <c r="N2925" s="3">
        <v>1346117465.7436283</v>
      </c>
    </row>
    <row r="2926" spans="14:14">
      <c r="N2926" s="3">
        <v>1206058728.5912235</v>
      </c>
    </row>
    <row r="2927" spans="14:14">
      <c r="N2927" s="3">
        <v>3801041019.0530777</v>
      </c>
    </row>
    <row r="2928" spans="14:14">
      <c r="N2928" s="3">
        <v>1862448719.8661985</v>
      </c>
    </row>
    <row r="2929" spans="14:14">
      <c r="N2929" s="3">
        <v>1471290051.6253407</v>
      </c>
    </row>
    <row r="2930" spans="14:14">
      <c r="N2930" s="3">
        <v>2682549666.5689979</v>
      </c>
    </row>
    <row r="2931" spans="14:14">
      <c r="N2931" s="3">
        <v>3730913194.9022789</v>
      </c>
    </row>
    <row r="2932" spans="14:14">
      <c r="N2932" s="3">
        <v>1723107593.0534196</v>
      </c>
    </row>
    <row r="2933" spans="14:14">
      <c r="N2933" s="3">
        <v>3490813551.1309075</v>
      </c>
    </row>
    <row r="2934" spans="14:14">
      <c r="N2934" s="3">
        <v>1550697746.341114</v>
      </c>
    </row>
    <row r="2935" spans="14:14">
      <c r="N2935" s="3">
        <v>1005405053.0778613</v>
      </c>
    </row>
    <row r="2936" spans="14:14">
      <c r="N2936" s="3">
        <v>2018437120.9154673</v>
      </c>
    </row>
    <row r="2937" spans="14:14">
      <c r="N2937" s="3">
        <v>1351881195.7341661</v>
      </c>
    </row>
    <row r="2938" spans="14:14">
      <c r="N2938" s="3">
        <v>1702271139.5961521</v>
      </c>
    </row>
    <row r="2939" spans="14:14">
      <c r="N2939" s="3">
        <v>2131151295.8837354</v>
      </c>
    </row>
    <row r="2940" spans="14:14">
      <c r="N2940" s="3">
        <v>984215852.58996511</v>
      </c>
    </row>
    <row r="2941" spans="14:14">
      <c r="N2941" s="3">
        <v>1550889939.7862043</v>
      </c>
    </row>
    <row r="2942" spans="14:14">
      <c r="N2942" s="3">
        <v>1560593618.93117</v>
      </c>
    </row>
    <row r="2943" spans="14:14">
      <c r="N2943" s="3">
        <v>829472819.7546469</v>
      </c>
    </row>
    <row r="2944" spans="14:14">
      <c r="N2944" s="3">
        <v>1646037500.9154646</v>
      </c>
    </row>
    <row r="2945" spans="14:14">
      <c r="N2945" s="3">
        <v>1227791479.3347902</v>
      </c>
    </row>
    <row r="2946" spans="14:14">
      <c r="N2946" s="3">
        <v>2713352646.7469697</v>
      </c>
    </row>
    <row r="2947" spans="14:14">
      <c r="N2947" s="3">
        <v>2969206143.8850064</v>
      </c>
    </row>
    <row r="2948" spans="14:14">
      <c r="N2948" s="3">
        <v>1968471565.3581569</v>
      </c>
    </row>
    <row r="2949" spans="14:14">
      <c r="N2949" s="3">
        <v>3047625906.0929208</v>
      </c>
    </row>
    <row r="2950" spans="14:14">
      <c r="N2950" s="3">
        <v>1889080959.0832577</v>
      </c>
    </row>
    <row r="2951" spans="14:14">
      <c r="N2951" s="3">
        <v>5974689648.5994282</v>
      </c>
    </row>
    <row r="2952" spans="14:14">
      <c r="N2952" s="3">
        <v>3701950047.6804461</v>
      </c>
    </row>
    <row r="2953" spans="14:14">
      <c r="N2953" s="3">
        <v>3644352239.9848361</v>
      </c>
    </row>
    <row r="2954" spans="14:14">
      <c r="N2954" s="3">
        <v>2439074454.0837765</v>
      </c>
    </row>
    <row r="2955" spans="14:14">
      <c r="N2955" s="3">
        <v>2156528572.1490908</v>
      </c>
    </row>
    <row r="2956" spans="14:14">
      <c r="N2956" s="3">
        <v>1914956703.8902683</v>
      </c>
    </row>
    <row r="2957" spans="14:14">
      <c r="N2957" s="3">
        <v>1459822768.63083</v>
      </c>
    </row>
    <row r="2958" spans="14:14">
      <c r="N2958" s="3">
        <v>837584863.58935905</v>
      </c>
    </row>
    <row r="2959" spans="14:14">
      <c r="N2959" s="3">
        <v>1664105548.4585867</v>
      </c>
    </row>
    <row r="2960" spans="14:14">
      <c r="N2960" s="3">
        <v>1648833274.7937241</v>
      </c>
    </row>
    <row r="2961" spans="14:14">
      <c r="N2961" s="3">
        <v>2611600949.4630852</v>
      </c>
    </row>
    <row r="2962" spans="14:14">
      <c r="N2962" s="3">
        <v>1869766945.1309266</v>
      </c>
    </row>
    <row r="2963" spans="14:14">
      <c r="N2963" s="3">
        <v>1913920521.2423902</v>
      </c>
    </row>
    <row r="2964" spans="14:14">
      <c r="N2964" s="3">
        <v>2090015076.8203824</v>
      </c>
    </row>
    <row r="2965" spans="14:14">
      <c r="N2965" s="3">
        <v>1425550444.1904531</v>
      </c>
    </row>
    <row r="2966" spans="14:14">
      <c r="N2966" s="3">
        <v>2346967936.062408</v>
      </c>
    </row>
    <row r="2967" spans="14:14">
      <c r="N2967" s="3">
        <v>3612342236.4470181</v>
      </c>
    </row>
    <row r="2968" spans="14:14">
      <c r="N2968" s="3">
        <v>1930940266.867682</v>
      </c>
    </row>
    <row r="2969" spans="14:14">
      <c r="N2969" s="3">
        <v>1551439728.043998</v>
      </c>
    </row>
    <row r="2970" spans="14:14">
      <c r="N2970" s="3">
        <v>4860034886.9871683</v>
      </c>
    </row>
    <row r="2971" spans="14:14">
      <c r="N2971" s="3">
        <v>1192517106.863276</v>
      </c>
    </row>
    <row r="2972" spans="14:14">
      <c r="N2972" s="3">
        <v>1768884305.2214684</v>
      </c>
    </row>
    <row r="2973" spans="14:14">
      <c r="N2973" s="3">
        <v>1516155701.4054275</v>
      </c>
    </row>
    <row r="2974" spans="14:14">
      <c r="N2974" s="3">
        <v>1288578402.8449199</v>
      </c>
    </row>
    <row r="2975" spans="14:14">
      <c r="N2975" s="3">
        <v>2857520596.1169915</v>
      </c>
    </row>
    <row r="2976" spans="14:14">
      <c r="N2976" s="3">
        <v>2099444106.6325169</v>
      </c>
    </row>
    <row r="2977" spans="14:14">
      <c r="N2977" s="3">
        <v>1486200354.2919497</v>
      </c>
    </row>
    <row r="2978" spans="14:14">
      <c r="N2978" s="3">
        <v>1842788352.2490883</v>
      </c>
    </row>
    <row r="2979" spans="14:14">
      <c r="N2979" s="3">
        <v>1229085528.9076684</v>
      </c>
    </row>
    <row r="2980" spans="14:14">
      <c r="N2980" s="3">
        <v>1758230088.6194634</v>
      </c>
    </row>
    <row r="2981" spans="14:14">
      <c r="N2981" s="3">
        <v>2265858597.7474008</v>
      </c>
    </row>
    <row r="2982" spans="14:14">
      <c r="N2982" s="3">
        <v>1801105682.42419</v>
      </c>
    </row>
    <row r="2983" spans="14:14">
      <c r="N2983" s="3">
        <v>2262665445.3806624</v>
      </c>
    </row>
    <row r="2984" spans="14:14">
      <c r="N2984" s="3">
        <v>1910978838.1486344</v>
      </c>
    </row>
    <row r="2985" spans="14:14">
      <c r="N2985" s="3">
        <v>1681900041.2846048</v>
      </c>
    </row>
    <row r="2986" spans="14:14">
      <c r="N2986" s="3">
        <v>1251936451.1633275</v>
      </c>
    </row>
    <row r="2987" spans="14:14">
      <c r="N2987" s="3">
        <v>2071856498.7125142</v>
      </c>
    </row>
    <row r="2988" spans="14:14">
      <c r="N2988" s="3">
        <v>3224316032.406877</v>
      </c>
    </row>
    <row r="2989" spans="14:14">
      <c r="N2989" s="3">
        <v>1234740020.3477437</v>
      </c>
    </row>
    <row r="2990" spans="14:14">
      <c r="N2990" s="3">
        <v>2375640614.5070786</v>
      </c>
    </row>
    <row r="2991" spans="14:14">
      <c r="N2991" s="3">
        <v>2481593245.4895911</v>
      </c>
    </row>
    <row r="2992" spans="14:14">
      <c r="N2992" s="3">
        <v>2407080116.9379034</v>
      </c>
    </row>
    <row r="2993" spans="14:14">
      <c r="N2993" s="3">
        <v>1759336532.1149187</v>
      </c>
    </row>
    <row r="2994" spans="14:14">
      <c r="N2994" s="3">
        <v>2583333732.0002742</v>
      </c>
    </row>
    <row r="2995" spans="14:14">
      <c r="N2995" s="3">
        <v>1676789546.4456737</v>
      </c>
    </row>
    <row r="2996" spans="14:14">
      <c r="N2996" s="3">
        <v>2094959129.1147037</v>
      </c>
    </row>
    <row r="2997" spans="14:14">
      <c r="N2997" s="3">
        <v>2436015630.1257358</v>
      </c>
    </row>
    <row r="2998" spans="14:14">
      <c r="N2998" s="3">
        <v>1105995794.6942596</v>
      </c>
    </row>
    <row r="2999" spans="14:14">
      <c r="N2999" s="3">
        <v>1298883215.8336871</v>
      </c>
    </row>
    <row r="3000" spans="14:14">
      <c r="N3000" s="3">
        <v>4424382479.9859037</v>
      </c>
    </row>
    <row r="3001" spans="14:14">
      <c r="N3001" s="3">
        <v>1589709110.7230978</v>
      </c>
    </row>
    <row r="3002" spans="14:14">
      <c r="N3002" s="3">
        <v>1931654423.6817713</v>
      </c>
    </row>
    <row r="3003" spans="14:14">
      <c r="N3003" s="3">
        <v>2119025909.7292702</v>
      </c>
    </row>
    <row r="3004" spans="14:14">
      <c r="N3004" s="3">
        <v>2875116645.6073256</v>
      </c>
    </row>
    <row r="3005" spans="14:14">
      <c r="N3005" s="3">
        <v>2544601769.5781579</v>
      </c>
    </row>
    <row r="3006" spans="14:14">
      <c r="N3006" s="3">
        <v>1096112528.6191468</v>
      </c>
    </row>
    <row r="3007" spans="14:14">
      <c r="N3007" s="3">
        <v>3146791910.0836692</v>
      </c>
    </row>
    <row r="3008" spans="14:14">
      <c r="N3008" s="3">
        <v>1978208238.328485</v>
      </c>
    </row>
    <row r="3009" spans="14:14">
      <c r="N3009" s="3">
        <v>1954043229.395525</v>
      </c>
    </row>
    <row r="3010" spans="14:14">
      <c r="N3010" s="3">
        <v>1504711808.1498466</v>
      </c>
    </row>
    <row r="3011" spans="14:14">
      <c r="N3011" s="3">
        <v>3507839225.660799</v>
      </c>
    </row>
    <row r="3012" spans="14:14">
      <c r="N3012" s="3">
        <v>2482083689.0712109</v>
      </c>
    </row>
    <row r="3013" spans="14:14">
      <c r="N3013" s="3">
        <v>1927893965.1417205</v>
      </c>
    </row>
    <row r="3014" spans="14:14">
      <c r="N3014" s="3">
        <v>1671276884.954066</v>
      </c>
    </row>
    <row r="3015" spans="14:14">
      <c r="N3015" s="3">
        <v>1400885241.2208049</v>
      </c>
    </row>
    <row r="3016" spans="14:14">
      <c r="N3016" s="3">
        <v>2192735730.9821491</v>
      </c>
    </row>
    <row r="3017" spans="14:14">
      <c r="N3017" s="3">
        <v>1549058666.3561754</v>
      </c>
    </row>
    <row r="3018" spans="14:14">
      <c r="N3018" s="3">
        <v>2766898384.7264266</v>
      </c>
    </row>
    <row r="3019" spans="14:14">
      <c r="N3019" s="3">
        <v>2057916424.4515862</v>
      </c>
    </row>
    <row r="3020" spans="14:14">
      <c r="N3020" s="3">
        <v>1713337084.1924582</v>
      </c>
    </row>
    <row r="3021" spans="14:14">
      <c r="N3021" s="3">
        <v>1525258936.2911966</v>
      </c>
    </row>
    <row r="3022" spans="14:14">
      <c r="N3022" s="3">
        <v>1633518354.6830022</v>
      </c>
    </row>
    <row r="3023" spans="14:14">
      <c r="N3023" s="3">
        <v>1399394212.8336782</v>
      </c>
    </row>
    <row r="3024" spans="14:14">
      <c r="N3024" s="3">
        <v>1196287700.9285507</v>
      </c>
    </row>
    <row r="3025" spans="14:14">
      <c r="N3025" s="3">
        <v>1574043479.3689904</v>
      </c>
    </row>
    <row r="3026" spans="14:14">
      <c r="N3026" s="3">
        <v>2782466372.4236403</v>
      </c>
    </row>
    <row r="3027" spans="14:14">
      <c r="N3027" s="3">
        <v>2372959391.1012716</v>
      </c>
    </row>
    <row r="3028" spans="14:14">
      <c r="N3028" s="3">
        <v>3577013154.7313433</v>
      </c>
    </row>
    <row r="3029" spans="14:14">
      <c r="N3029" s="3">
        <v>2489884210.0322957</v>
      </c>
    </row>
    <row r="3030" spans="14:14">
      <c r="N3030" s="3">
        <v>1098781391.9658458</v>
      </c>
    </row>
    <row r="3031" spans="14:14">
      <c r="N3031" s="3">
        <v>1790078325.9472401</v>
      </c>
    </row>
    <row r="3032" spans="14:14">
      <c r="N3032" s="3">
        <v>1497699153.5325456</v>
      </c>
    </row>
    <row r="3033" spans="14:14">
      <c r="N3033" s="3">
        <v>2135425108.8299024</v>
      </c>
    </row>
    <row r="3034" spans="14:14">
      <c r="N3034" s="3">
        <v>2015667309.3898795</v>
      </c>
    </row>
    <row r="3035" spans="14:14">
      <c r="N3035" s="3">
        <v>2273773828.5620661</v>
      </c>
    </row>
    <row r="3036" spans="14:14">
      <c r="N3036" s="3">
        <v>1618740906.8650959</v>
      </c>
    </row>
    <row r="3037" spans="14:14">
      <c r="N3037" s="3">
        <v>2310427884.9491572</v>
      </c>
    </row>
    <row r="3038" spans="14:14">
      <c r="N3038" s="3">
        <v>2347721108.3244734</v>
      </c>
    </row>
    <row r="3039" spans="14:14">
      <c r="N3039" s="3">
        <v>1583823234.6213136</v>
      </c>
    </row>
    <row r="3040" spans="14:14">
      <c r="N3040" s="3">
        <v>1858689219.6967661</v>
      </c>
    </row>
    <row r="3041" spans="14:14">
      <c r="N3041" s="3">
        <v>1771772208.5429304</v>
      </c>
    </row>
    <row r="3042" spans="14:14">
      <c r="N3042" s="3">
        <v>2192730317.6065035</v>
      </c>
    </row>
    <row r="3043" spans="14:14">
      <c r="N3043" s="3">
        <v>1570009473.4918075</v>
      </c>
    </row>
    <row r="3044" spans="14:14">
      <c r="N3044" s="3">
        <v>1518695141.3286934</v>
      </c>
    </row>
    <row r="3045" spans="14:14">
      <c r="N3045" s="3">
        <v>2815417701.8605642</v>
      </c>
    </row>
    <row r="3046" spans="14:14">
      <c r="N3046" s="3">
        <v>4047755624.1928349</v>
      </c>
    </row>
    <row r="3047" spans="14:14">
      <c r="N3047" s="3">
        <v>1387133311.7718568</v>
      </c>
    </row>
    <row r="3048" spans="14:14">
      <c r="N3048" s="3">
        <v>1926683944.0336518</v>
      </c>
    </row>
    <row r="3049" spans="14:14">
      <c r="N3049" s="3">
        <v>2857629189.7238402</v>
      </c>
    </row>
    <row r="3050" spans="14:14">
      <c r="N3050" s="3">
        <v>5828261371.7106533</v>
      </c>
    </row>
    <row r="3051" spans="14:14">
      <c r="N3051" s="3">
        <v>2339871101.3629537</v>
      </c>
    </row>
    <row r="3052" spans="14:14">
      <c r="N3052" s="3">
        <v>2939953552.5735021</v>
      </c>
    </row>
    <row r="3053" spans="14:14">
      <c r="N3053" s="3">
        <v>2070216460.4681678</v>
      </c>
    </row>
    <row r="3054" spans="14:14">
      <c r="N3054" s="3">
        <v>2404285344.2368174</v>
      </c>
    </row>
    <row r="3055" spans="14:14">
      <c r="N3055" s="3">
        <v>2177805481.9036021</v>
      </c>
    </row>
    <row r="3056" spans="14:14">
      <c r="N3056" s="3">
        <v>1266195179.366087</v>
      </c>
    </row>
    <row r="3057" spans="14:14">
      <c r="N3057" s="3">
        <v>4149459099.2043695</v>
      </c>
    </row>
    <row r="3058" spans="14:14">
      <c r="N3058" s="3">
        <v>2422835962.9625397</v>
      </c>
    </row>
    <row r="3059" spans="14:14">
      <c r="N3059" s="3">
        <v>2145539524.8318448</v>
      </c>
    </row>
    <row r="3060" spans="14:14">
      <c r="N3060" s="3">
        <v>1717125764.7739186</v>
      </c>
    </row>
    <row r="3061" spans="14:14">
      <c r="N3061" s="3">
        <v>2688899350.2566676</v>
      </c>
    </row>
    <row r="3062" spans="14:14">
      <c r="N3062" s="3">
        <v>1802073341.2571371</v>
      </c>
    </row>
    <row r="3063" spans="14:14">
      <c r="N3063" s="3">
        <v>1479697347.3270741</v>
      </c>
    </row>
    <row r="3064" spans="14:14">
      <c r="N3064" s="3">
        <v>3150642004.9738531</v>
      </c>
    </row>
    <row r="3065" spans="14:14">
      <c r="N3065" s="3">
        <v>4835202621.4845657</v>
      </c>
    </row>
    <row r="3066" spans="14:14">
      <c r="N3066" s="3">
        <v>1338605711.4431238</v>
      </c>
    </row>
    <row r="3067" spans="14:14">
      <c r="N3067" s="3">
        <v>2134669142.7097642</v>
      </c>
    </row>
    <row r="3068" spans="14:14">
      <c r="N3068" s="3">
        <v>4758393615.285428</v>
      </c>
    </row>
    <row r="3069" spans="14:14">
      <c r="N3069" s="3">
        <v>2864100705.2369804</v>
      </c>
    </row>
    <row r="3070" spans="14:14">
      <c r="N3070" s="3">
        <v>3249416121.4143281</v>
      </c>
    </row>
    <row r="3071" spans="14:14">
      <c r="N3071" s="3">
        <v>2452231300.9712887</v>
      </c>
    </row>
    <row r="3072" spans="14:14">
      <c r="N3072" s="3">
        <v>2211030428.1307855</v>
      </c>
    </row>
    <row r="3073" spans="14:14">
      <c r="N3073" s="3">
        <v>2296792722.2366157</v>
      </c>
    </row>
    <row r="3074" spans="14:14">
      <c r="N3074" s="3">
        <v>3542146140.706265</v>
      </c>
    </row>
    <row r="3075" spans="14:14">
      <c r="N3075" s="3">
        <v>1494399981.0676694</v>
      </c>
    </row>
    <row r="3076" spans="14:14">
      <c r="N3076" s="3">
        <v>1635585696.1545334</v>
      </c>
    </row>
    <row r="3077" spans="14:14">
      <c r="N3077" s="3">
        <v>2041744827.450984</v>
      </c>
    </row>
    <row r="3078" spans="14:14">
      <c r="N3078" s="3">
        <v>2148363577.8648143</v>
      </c>
    </row>
    <row r="3079" spans="14:14">
      <c r="N3079" s="3">
        <v>2066448407.2189813</v>
      </c>
    </row>
    <row r="3080" spans="14:14">
      <c r="N3080" s="3">
        <v>2173827266.4209366</v>
      </c>
    </row>
    <row r="3081" spans="14:14">
      <c r="N3081" s="3">
        <v>1830732964.9500303</v>
      </c>
    </row>
    <row r="3082" spans="14:14">
      <c r="N3082" s="3">
        <v>3166225340.5775347</v>
      </c>
    </row>
    <row r="3083" spans="14:14">
      <c r="N3083" s="3">
        <v>3352431936.133091</v>
      </c>
    </row>
    <row r="3084" spans="14:14">
      <c r="N3084" s="3">
        <v>1623668007.568644</v>
      </c>
    </row>
    <row r="3085" spans="14:14">
      <c r="N3085" s="3">
        <v>1221542520.873122</v>
      </c>
    </row>
    <row r="3086" spans="14:14">
      <c r="N3086" s="3">
        <v>2904896172.5508246</v>
      </c>
    </row>
    <row r="3087" spans="14:14">
      <c r="N3087" s="3">
        <v>1877277145.1979859</v>
      </c>
    </row>
    <row r="3088" spans="14:14">
      <c r="N3088" s="3">
        <v>3265255859.4451575</v>
      </c>
    </row>
    <row r="3089" spans="14:14">
      <c r="N3089" s="3">
        <v>3445909858.3735552</v>
      </c>
    </row>
    <row r="3090" spans="14:14">
      <c r="N3090" s="3">
        <v>1838409895.5177343</v>
      </c>
    </row>
    <row r="3091" spans="14:14">
      <c r="N3091" s="3">
        <v>1890979007.8350363</v>
      </c>
    </row>
    <row r="3092" spans="14:14">
      <c r="N3092" s="3">
        <v>1182039238.3448975</v>
      </c>
    </row>
    <row r="3093" spans="14:14">
      <c r="N3093" s="3">
        <v>1655739869.8965793</v>
      </c>
    </row>
    <row r="3094" spans="14:14">
      <c r="N3094" s="3">
        <v>1596344697.1346779</v>
      </c>
    </row>
    <row r="3095" spans="14:14">
      <c r="N3095" s="3">
        <v>1275736842.7760921</v>
      </c>
    </row>
    <row r="3096" spans="14:14">
      <c r="N3096" s="3">
        <v>1697378381.657306</v>
      </c>
    </row>
    <row r="3097" spans="14:14">
      <c r="N3097" s="3">
        <v>1499739152.0158341</v>
      </c>
    </row>
    <row r="3098" spans="14:14">
      <c r="N3098" s="3">
        <v>2493514288.3796773</v>
      </c>
    </row>
    <row r="3099" spans="14:14">
      <c r="N3099" s="3">
        <v>1959145292.1846604</v>
      </c>
    </row>
    <row r="3100" spans="14:14">
      <c r="N3100" s="3">
        <v>1190170864.1580157</v>
      </c>
    </row>
    <row r="3101" spans="14:14">
      <c r="N3101" s="3">
        <v>3185063132.9055958</v>
      </c>
    </row>
    <row r="3102" spans="14:14">
      <c r="N3102" s="3">
        <v>1630419065.473598</v>
      </c>
    </row>
    <row r="3103" spans="14:14">
      <c r="N3103" s="3">
        <v>2263313630.234725</v>
      </c>
    </row>
    <row r="3104" spans="14:14">
      <c r="N3104" s="3">
        <v>2601755224.6292782</v>
      </c>
    </row>
    <row r="3105" spans="14:14">
      <c r="N3105" s="3">
        <v>1084210660.3887241</v>
      </c>
    </row>
    <row r="3106" spans="14:14">
      <c r="N3106" s="3">
        <v>2021150572.3349669</v>
      </c>
    </row>
    <row r="3107" spans="14:14">
      <c r="N3107" s="3">
        <v>1557630592.4321594</v>
      </c>
    </row>
    <row r="3108" spans="14:14">
      <c r="N3108" s="3">
        <v>2519736832.6532407</v>
      </c>
    </row>
    <row r="3109" spans="14:14">
      <c r="N3109" s="3">
        <v>1879020047.0871401</v>
      </c>
    </row>
    <row r="3110" spans="14:14">
      <c r="N3110" s="3">
        <v>4417721764.1181583</v>
      </c>
    </row>
    <row r="3111" spans="14:14">
      <c r="N3111" s="3">
        <v>1650938624.06392</v>
      </c>
    </row>
    <row r="3112" spans="14:14">
      <c r="N3112" s="3">
        <v>2558070106.9647813</v>
      </c>
    </row>
    <row r="3113" spans="14:14">
      <c r="N3113" s="3">
        <v>4986804926.7755394</v>
      </c>
    </row>
    <row r="3114" spans="14:14">
      <c r="N3114" s="3">
        <v>1310044332.5041618</v>
      </c>
    </row>
    <row r="3115" spans="14:14">
      <c r="N3115" s="3">
        <v>1257115197.1343043</v>
      </c>
    </row>
    <row r="3116" spans="14:14">
      <c r="N3116" s="3">
        <v>5184691834.3524027</v>
      </c>
    </row>
    <row r="3117" spans="14:14">
      <c r="N3117" s="3">
        <v>1929147285.8079774</v>
      </c>
    </row>
    <row r="3118" spans="14:14">
      <c r="N3118" s="3">
        <v>1195243377.5202398</v>
      </c>
    </row>
    <row r="3119" spans="14:14">
      <c r="N3119" s="3">
        <v>2395804594.9349394</v>
      </c>
    </row>
    <row r="3120" spans="14:14">
      <c r="N3120" s="3">
        <v>2511207396.2325716</v>
      </c>
    </row>
    <row r="3121" spans="14:14">
      <c r="N3121" s="3">
        <v>2839770188.8283763</v>
      </c>
    </row>
    <row r="3122" spans="14:14">
      <c r="N3122" s="3">
        <v>2084542179.582778</v>
      </c>
    </row>
    <row r="3123" spans="14:14">
      <c r="N3123" s="3">
        <v>1604644913.3575966</v>
      </c>
    </row>
    <row r="3124" spans="14:14">
      <c r="N3124" s="3">
        <v>2814664741.4929123</v>
      </c>
    </row>
    <row r="3125" spans="14:14">
      <c r="N3125" s="3">
        <v>2025686946.5250592</v>
      </c>
    </row>
    <row r="3126" spans="14:14">
      <c r="N3126" s="3">
        <v>2497160497.2587848</v>
      </c>
    </row>
    <row r="3127" spans="14:14">
      <c r="N3127" s="3">
        <v>1180903814.8701985</v>
      </c>
    </row>
    <row r="3128" spans="14:14">
      <c r="N3128" s="3">
        <v>1915888648.7498901</v>
      </c>
    </row>
    <row r="3129" spans="14:14">
      <c r="N3129" s="3">
        <v>3133002194.2237682</v>
      </c>
    </row>
    <row r="3130" spans="14:14">
      <c r="N3130" s="3">
        <v>3388098203.6311593</v>
      </c>
    </row>
    <row r="3131" spans="14:14">
      <c r="N3131" s="3">
        <v>3898473739.4289808</v>
      </c>
    </row>
    <row r="3132" spans="14:14">
      <c r="N3132" s="3">
        <v>2810761137.624125</v>
      </c>
    </row>
    <row r="3133" spans="14:14">
      <c r="N3133" s="3">
        <v>1759411862.2152135</v>
      </c>
    </row>
    <row r="3134" spans="14:14">
      <c r="N3134" s="3">
        <v>1362839199.1573009</v>
      </c>
    </row>
    <row r="3135" spans="14:14">
      <c r="N3135" s="3">
        <v>2341028628.0178828</v>
      </c>
    </row>
    <row r="3136" spans="14:14">
      <c r="N3136" s="3">
        <v>1421207069.2461381</v>
      </c>
    </row>
    <row r="3137" spans="14:14">
      <c r="N3137" s="3">
        <v>2146996879.4863663</v>
      </c>
    </row>
    <row r="3138" spans="14:14">
      <c r="N3138" s="3">
        <v>3871892865.9819021</v>
      </c>
    </row>
    <row r="3139" spans="14:14">
      <c r="N3139" s="3">
        <v>3101939338.8824902</v>
      </c>
    </row>
    <row r="3140" spans="14:14">
      <c r="N3140" s="3">
        <v>1165501027.839886</v>
      </c>
    </row>
    <row r="3141" spans="14:14">
      <c r="N3141" s="3">
        <v>2161203901.7968616</v>
      </c>
    </row>
    <row r="3142" spans="14:14">
      <c r="N3142" s="3">
        <v>1621565966.1281049</v>
      </c>
    </row>
    <row r="3143" spans="14:14">
      <c r="N3143" s="3">
        <v>1595848278.7325876</v>
      </c>
    </row>
    <row r="3144" spans="14:14">
      <c r="N3144" s="3">
        <v>2213736593.581099</v>
      </c>
    </row>
    <row r="3145" spans="14:14">
      <c r="N3145" s="3">
        <v>2268052001.8096547</v>
      </c>
    </row>
    <row r="3146" spans="14:14">
      <c r="N3146" s="3">
        <v>2336587445.501647</v>
      </c>
    </row>
    <row r="3147" spans="14:14">
      <c r="N3147" s="3">
        <v>1557012046.9071355</v>
      </c>
    </row>
    <row r="3148" spans="14:14">
      <c r="N3148" s="3">
        <v>2700669762.5626626</v>
      </c>
    </row>
    <row r="3149" spans="14:14">
      <c r="N3149" s="3">
        <v>1520402894.160152</v>
      </c>
    </row>
    <row r="3150" spans="14:14">
      <c r="N3150" s="3">
        <v>2855362769.7476883</v>
      </c>
    </row>
    <row r="3151" spans="14:14">
      <c r="N3151" s="3">
        <v>1486782093.4180028</v>
      </c>
    </row>
    <row r="3152" spans="14:14">
      <c r="N3152" s="3">
        <v>2316284697.2927747</v>
      </c>
    </row>
    <row r="3153" spans="14:14">
      <c r="N3153" s="3">
        <v>2129030396.4126592</v>
      </c>
    </row>
    <row r="3154" spans="14:14">
      <c r="N3154" s="3">
        <v>2914313245.6025987</v>
      </c>
    </row>
    <row r="3155" spans="14:14">
      <c r="N3155" s="3">
        <v>1521911923.3049157</v>
      </c>
    </row>
    <row r="3156" spans="14:14">
      <c r="N3156" s="3">
        <v>2924194522.6742425</v>
      </c>
    </row>
    <row r="3157" spans="14:14">
      <c r="N3157" s="3">
        <v>1662589561.1562967</v>
      </c>
    </row>
    <row r="3158" spans="14:14">
      <c r="N3158" s="3">
        <v>4422857149.6959391</v>
      </c>
    </row>
    <row r="3159" spans="14:14">
      <c r="N3159" s="3">
        <v>2320822693.0919147</v>
      </c>
    </row>
    <row r="3160" spans="14:14">
      <c r="N3160" s="3">
        <v>1393857400.7394249</v>
      </c>
    </row>
    <row r="3161" spans="14:14">
      <c r="N3161" s="3">
        <v>1456522024.4731059</v>
      </c>
    </row>
    <row r="3162" spans="14:14">
      <c r="N3162" s="3">
        <v>1215925120.877419</v>
      </c>
    </row>
    <row r="3163" spans="14:14">
      <c r="N3163" s="3">
        <v>2273199611.6144252</v>
      </c>
    </row>
    <row r="3164" spans="14:14">
      <c r="N3164" s="3">
        <v>1425123933.2666528</v>
      </c>
    </row>
    <row r="3165" spans="14:14">
      <c r="N3165" s="3">
        <v>2046979934.8702021</v>
      </c>
    </row>
    <row r="3166" spans="14:14">
      <c r="N3166" s="3">
        <v>1959588675.4373453</v>
      </c>
    </row>
    <row r="3167" spans="14:14">
      <c r="N3167" s="3">
        <v>1735093894.7958729</v>
      </c>
    </row>
    <row r="3168" spans="14:14">
      <c r="N3168" s="3">
        <v>1582662040.1512911</v>
      </c>
    </row>
    <row r="3169" spans="14:14">
      <c r="N3169" s="3">
        <v>1482777270.1800859</v>
      </c>
    </row>
    <row r="3170" spans="14:14">
      <c r="N3170" s="3">
        <v>2960774764.2337737</v>
      </c>
    </row>
    <row r="3171" spans="14:14">
      <c r="N3171" s="3">
        <v>3604677536.2801404</v>
      </c>
    </row>
    <row r="3172" spans="14:14">
      <c r="N3172" s="3">
        <v>1601868340.6822112</v>
      </c>
    </row>
    <row r="3173" spans="14:14">
      <c r="N3173" s="3">
        <v>3030980921.5882206</v>
      </c>
    </row>
    <row r="3174" spans="14:14">
      <c r="N3174" s="3">
        <v>4399177890.7447109</v>
      </c>
    </row>
    <row r="3175" spans="14:14">
      <c r="N3175" s="3">
        <v>2087428735.88009</v>
      </c>
    </row>
    <row r="3176" spans="14:14">
      <c r="N3176" s="3">
        <v>1487632740.6138399</v>
      </c>
    </row>
    <row r="3177" spans="14:14">
      <c r="N3177" s="3">
        <v>2087225207.4850857</v>
      </c>
    </row>
    <row r="3178" spans="14:14">
      <c r="N3178" s="3">
        <v>1857097027.7267249</v>
      </c>
    </row>
    <row r="3179" spans="14:14">
      <c r="N3179" s="3">
        <v>3587673742.6971321</v>
      </c>
    </row>
    <row r="3180" spans="14:14">
      <c r="N3180" s="3">
        <v>2287189524.7989964</v>
      </c>
    </row>
    <row r="3181" spans="14:14">
      <c r="N3181" s="3">
        <v>1565354366.698777</v>
      </c>
    </row>
    <row r="3182" spans="14:14">
      <c r="N3182" s="3">
        <v>840275787.96782398</v>
      </c>
    </row>
    <row r="3183" spans="14:14">
      <c r="N3183" s="3">
        <v>2580631504.4615631</v>
      </c>
    </row>
    <row r="3184" spans="14:14">
      <c r="N3184" s="3">
        <v>2194230197.4224296</v>
      </c>
    </row>
    <row r="3185" spans="14:14">
      <c r="N3185" s="3">
        <v>3322755975.8406625</v>
      </c>
    </row>
    <row r="3186" spans="14:14">
      <c r="N3186" s="3">
        <v>2521187530.6831813</v>
      </c>
    </row>
    <row r="3187" spans="14:14">
      <c r="N3187" s="3">
        <v>2531479423.9625978</v>
      </c>
    </row>
    <row r="3188" spans="14:14">
      <c r="N3188" s="3">
        <v>960304805.70088804</v>
      </c>
    </row>
    <row r="3189" spans="14:14">
      <c r="N3189" s="3">
        <v>4621154532.1797361</v>
      </c>
    </row>
    <row r="3190" spans="14:14">
      <c r="N3190" s="3">
        <v>3778180872.3113165</v>
      </c>
    </row>
    <row r="3191" spans="14:14">
      <c r="N3191" s="3">
        <v>2061535598.5752854</v>
      </c>
    </row>
    <row r="3192" spans="14:14">
      <c r="N3192" s="3">
        <v>2175948299.3019233</v>
      </c>
    </row>
    <row r="3193" spans="14:14">
      <c r="N3193" s="3">
        <v>2460891054.3557749</v>
      </c>
    </row>
    <row r="3194" spans="14:14">
      <c r="N3194" s="3">
        <v>1292387328.1807978</v>
      </c>
    </row>
    <row r="3195" spans="14:14">
      <c r="N3195" s="3">
        <v>1402071511.4325607</v>
      </c>
    </row>
    <row r="3196" spans="14:14">
      <c r="N3196" s="3">
        <v>2533772860.9695621</v>
      </c>
    </row>
    <row r="3197" spans="14:14">
      <c r="N3197" s="3">
        <v>3580429066.2033291</v>
      </c>
    </row>
    <row r="3198" spans="14:14">
      <c r="N3198" s="3">
        <v>1123692804.210377</v>
      </c>
    </row>
    <row r="3199" spans="14:14">
      <c r="N3199" s="3">
        <v>2912064489.8243814</v>
      </c>
    </row>
    <row r="3200" spans="14:14">
      <c r="N3200" s="3">
        <v>2311514241.5779634</v>
      </c>
    </row>
    <row r="3201" spans="14:14">
      <c r="N3201" s="3">
        <v>1791676127.6748669</v>
      </c>
    </row>
    <row r="3202" spans="14:14">
      <c r="N3202" s="3">
        <v>2613903558.896368</v>
      </c>
    </row>
    <row r="3203" spans="14:14">
      <c r="N3203" s="3">
        <v>2489377876.4455714</v>
      </c>
    </row>
    <row r="3204" spans="14:14">
      <c r="N3204" s="3">
        <v>1540222320.4691052</v>
      </c>
    </row>
    <row r="3205" spans="14:14">
      <c r="N3205" s="3">
        <v>2070801892.5201585</v>
      </c>
    </row>
    <row r="3206" spans="14:14">
      <c r="N3206" s="3">
        <v>3109348818.2403393</v>
      </c>
    </row>
    <row r="3207" spans="14:14">
      <c r="N3207" s="3">
        <v>2772818201.8198404</v>
      </c>
    </row>
    <row r="3208" spans="14:14">
      <c r="N3208" s="3">
        <v>2138302932.9139149</v>
      </c>
    </row>
    <row r="3209" spans="14:14">
      <c r="N3209" s="3">
        <v>2024492646.8221703</v>
      </c>
    </row>
    <row r="3210" spans="14:14">
      <c r="N3210" s="3">
        <v>1626511704.5455706</v>
      </c>
    </row>
    <row r="3211" spans="14:14">
      <c r="N3211" s="3">
        <v>3173349505.8418784</v>
      </c>
    </row>
    <row r="3212" spans="14:14">
      <c r="N3212" s="3">
        <v>1535509066.4364874</v>
      </c>
    </row>
    <row r="3213" spans="14:14">
      <c r="N3213" s="3">
        <v>1518754075.8345101</v>
      </c>
    </row>
    <row r="3214" spans="14:14">
      <c r="N3214" s="3">
        <v>3022005092.4303632</v>
      </c>
    </row>
    <row r="3215" spans="14:14">
      <c r="N3215" s="3">
        <v>2764298656.2099843</v>
      </c>
    </row>
    <row r="3216" spans="14:14">
      <c r="N3216" s="3">
        <v>2039199970.980758</v>
      </c>
    </row>
    <row r="3217" spans="14:14">
      <c r="N3217" s="3">
        <v>1846166168.2540071</v>
      </c>
    </row>
    <row r="3218" spans="14:14">
      <c r="N3218" s="3">
        <v>3698023200.9961481</v>
      </c>
    </row>
    <row r="3219" spans="14:14">
      <c r="N3219" s="3">
        <v>1118549019.7552834</v>
      </c>
    </row>
    <row r="3220" spans="14:14">
      <c r="N3220" s="3">
        <v>1690019411.4248195</v>
      </c>
    </row>
    <row r="3221" spans="14:14">
      <c r="N3221" s="3">
        <v>3915493656.7591572</v>
      </c>
    </row>
    <row r="3222" spans="14:14">
      <c r="N3222" s="3">
        <v>2939243327.0690684</v>
      </c>
    </row>
    <row r="3223" spans="14:14">
      <c r="N3223" s="3">
        <v>3959501141.7727885</v>
      </c>
    </row>
    <row r="3224" spans="14:14">
      <c r="N3224" s="3">
        <v>5090680566.1081352</v>
      </c>
    </row>
    <row r="3225" spans="14:14">
      <c r="N3225" s="3">
        <v>2845273898.3181434</v>
      </c>
    </row>
    <row r="3226" spans="14:14">
      <c r="N3226" s="3">
        <v>1233281778.2786319</v>
      </c>
    </row>
    <row r="3227" spans="14:14">
      <c r="N3227" s="3">
        <v>2103881266.5985296</v>
      </c>
    </row>
    <row r="3228" spans="14:14">
      <c r="N3228" s="3">
        <v>1236974145.6351683</v>
      </c>
    </row>
    <row r="3229" spans="14:14">
      <c r="N3229" s="3">
        <v>2247860997.4029813</v>
      </c>
    </row>
    <row r="3230" spans="14:14">
      <c r="N3230" s="3">
        <v>3374243907.0462766</v>
      </c>
    </row>
    <row r="3231" spans="14:14">
      <c r="N3231" s="3">
        <v>1922895596.7921219</v>
      </c>
    </row>
    <row r="3232" spans="14:14">
      <c r="N3232" s="3">
        <v>2079417109.3547125</v>
      </c>
    </row>
    <row r="3233" spans="14:14">
      <c r="N3233" s="3">
        <v>1660064621.0460522</v>
      </c>
    </row>
    <row r="3234" spans="14:14">
      <c r="N3234" s="3">
        <v>3389207202.5957937</v>
      </c>
    </row>
    <row r="3235" spans="14:14">
      <c r="N3235" s="3">
        <v>1492989055.7736907</v>
      </c>
    </row>
    <row r="3236" spans="14:14">
      <c r="N3236" s="3">
        <v>2163863921.0229774</v>
      </c>
    </row>
    <row r="3237" spans="14:14">
      <c r="N3237" s="3">
        <v>1770768251.5755455</v>
      </c>
    </row>
    <row r="3238" spans="14:14">
      <c r="N3238" s="3">
        <v>2443058331.0502973</v>
      </c>
    </row>
    <row r="3239" spans="14:14">
      <c r="N3239" s="3">
        <v>1350609945.0575285</v>
      </c>
    </row>
    <row r="3240" spans="14:14">
      <c r="N3240" s="3">
        <v>3201771670.2318473</v>
      </c>
    </row>
    <row r="3241" spans="14:14">
      <c r="N3241" s="3">
        <v>2205169595.8174753</v>
      </c>
    </row>
    <row r="3242" spans="14:14">
      <c r="N3242" s="3">
        <v>1479136305.660037</v>
      </c>
    </row>
    <row r="3243" spans="14:14">
      <c r="N3243" s="3">
        <v>2328566430.135221</v>
      </c>
    </row>
    <row r="3244" spans="14:14">
      <c r="N3244" s="3">
        <v>1617251008.3245122</v>
      </c>
    </row>
    <row r="3245" spans="14:14">
      <c r="N3245" s="3">
        <v>2609455128.9079933</v>
      </c>
    </row>
    <row r="3246" spans="14:14">
      <c r="N3246" s="3">
        <v>2247907597.2170138</v>
      </c>
    </row>
    <row r="3247" spans="14:14">
      <c r="N3247" s="3">
        <v>2146643729.8436561</v>
      </c>
    </row>
    <row r="3248" spans="14:14">
      <c r="N3248" s="3">
        <v>2251150530.821198</v>
      </c>
    </row>
    <row r="3249" spans="14:14">
      <c r="N3249" s="3">
        <v>3580296594.9782686</v>
      </c>
    </row>
    <row r="3250" spans="14:14">
      <c r="N3250" s="3">
        <v>1790884679.5645845</v>
      </c>
    </row>
    <row r="3251" spans="14:14">
      <c r="N3251" s="3">
        <v>2607733456.2221246</v>
      </c>
    </row>
    <row r="3252" spans="14:14">
      <c r="N3252" s="3">
        <v>1511805519.0693555</v>
      </c>
    </row>
    <row r="3253" spans="14:14">
      <c r="N3253" s="3">
        <v>3269851119.552525</v>
      </c>
    </row>
    <row r="3254" spans="14:14">
      <c r="N3254" s="3">
        <v>3242818823.8164883</v>
      </c>
    </row>
    <row r="3255" spans="14:14">
      <c r="N3255" s="3">
        <v>3226899732.5157399</v>
      </c>
    </row>
    <row r="3256" spans="14:14">
      <c r="N3256" s="3">
        <v>2141473818.5730062</v>
      </c>
    </row>
    <row r="3257" spans="14:14">
      <c r="N3257" s="3">
        <v>2375787843.8956027</v>
      </c>
    </row>
    <row r="3258" spans="14:14">
      <c r="N3258" s="3">
        <v>1569823276.7876191</v>
      </c>
    </row>
    <row r="3259" spans="14:14">
      <c r="N3259" s="3">
        <v>1389523715.7822878</v>
      </c>
    </row>
    <row r="3260" spans="14:14">
      <c r="N3260" s="3">
        <v>1388744196.1667051</v>
      </c>
    </row>
    <row r="3261" spans="14:14">
      <c r="N3261" s="3">
        <v>2033460372.4732699</v>
      </c>
    </row>
    <row r="3262" spans="14:14">
      <c r="N3262" s="3">
        <v>2413912535.7956057</v>
      </c>
    </row>
    <row r="3263" spans="14:14">
      <c r="N3263" s="3">
        <v>3696582889.7309246</v>
      </c>
    </row>
    <row r="3264" spans="14:14">
      <c r="N3264" s="3">
        <v>2226211196.1080823</v>
      </c>
    </row>
    <row r="3265" spans="14:14">
      <c r="N3265" s="3">
        <v>1548196213.702152</v>
      </c>
    </row>
    <row r="3266" spans="14:14">
      <c r="N3266" s="3">
        <v>1113009606.5068905</v>
      </c>
    </row>
    <row r="3267" spans="14:14">
      <c r="N3267" s="3">
        <v>1984466014.2585466</v>
      </c>
    </row>
    <row r="3268" spans="14:14">
      <c r="N3268" s="3">
        <v>1851607365.6893988</v>
      </c>
    </row>
    <row r="3269" spans="14:14">
      <c r="N3269" s="3">
        <v>2744083967.3548231</v>
      </c>
    </row>
    <row r="3270" spans="14:14">
      <c r="N3270" s="3">
        <v>3278031444.2280836</v>
      </c>
    </row>
    <row r="3271" spans="14:14">
      <c r="N3271" s="3">
        <v>1670200708.8791482</v>
      </c>
    </row>
    <row r="3272" spans="14:14">
      <c r="N3272" s="3">
        <v>2319335836.6315351</v>
      </c>
    </row>
    <row r="3273" spans="14:14">
      <c r="N3273" s="3">
        <v>2945952413.7322707</v>
      </c>
    </row>
    <row r="3274" spans="14:14">
      <c r="N3274" s="3">
        <v>1522963368.8257456</v>
      </c>
    </row>
    <row r="3275" spans="14:14">
      <c r="N3275" s="3">
        <v>2371733245.7723274</v>
      </c>
    </row>
    <row r="3276" spans="14:14">
      <c r="N3276" s="3">
        <v>1970211667.8467381</v>
      </c>
    </row>
    <row r="3277" spans="14:14">
      <c r="N3277" s="3">
        <v>1668024042.7494814</v>
      </c>
    </row>
    <row r="3278" spans="14:14">
      <c r="N3278" s="3">
        <v>2784549501.6116052</v>
      </c>
    </row>
    <row r="3279" spans="14:14">
      <c r="N3279" s="3">
        <v>2923111103.1963587</v>
      </c>
    </row>
    <row r="3280" spans="14:14">
      <c r="N3280" s="3">
        <v>1984463282.6350405</v>
      </c>
    </row>
    <row r="3281" spans="14:14">
      <c r="N3281" s="3">
        <v>1919010956.4028351</v>
      </c>
    </row>
    <row r="3282" spans="14:14">
      <c r="N3282" s="3">
        <v>2271579957.3848224</v>
      </c>
    </row>
    <row r="3283" spans="14:14">
      <c r="N3283" s="3">
        <v>2426461477.3342862</v>
      </c>
    </row>
    <row r="3284" spans="14:14">
      <c r="N3284" s="3">
        <v>1714898760.3995509</v>
      </c>
    </row>
    <row r="3285" spans="14:14">
      <c r="N3285" s="3">
        <v>2067088713.0882151</v>
      </c>
    </row>
    <row r="3286" spans="14:14">
      <c r="N3286" s="3">
        <v>1380162081.2845387</v>
      </c>
    </row>
    <row r="3287" spans="14:14">
      <c r="N3287" s="3">
        <v>1520788696.6908839</v>
      </c>
    </row>
    <row r="3288" spans="14:14">
      <c r="N3288" s="3">
        <v>1557097814.2758074</v>
      </c>
    </row>
    <row r="3289" spans="14:14">
      <c r="N3289" s="3">
        <v>1975807811.4524214</v>
      </c>
    </row>
    <row r="3290" spans="14:14">
      <c r="N3290" s="3">
        <v>1574365730.3787632</v>
      </c>
    </row>
    <row r="3291" spans="14:14">
      <c r="N3291" s="3">
        <v>3062066763.23136</v>
      </c>
    </row>
    <row r="3292" spans="14:14">
      <c r="N3292" s="3">
        <v>1894598005.1712589</v>
      </c>
    </row>
    <row r="3293" spans="14:14">
      <c r="N3293" s="3">
        <v>1780616963.1616073</v>
      </c>
    </row>
    <row r="3294" spans="14:14">
      <c r="N3294" s="3">
        <v>3186704946.792944</v>
      </c>
    </row>
    <row r="3295" spans="14:14">
      <c r="N3295" s="3">
        <v>4184893544.2145123</v>
      </c>
    </row>
    <row r="3296" spans="14:14">
      <c r="N3296" s="3">
        <v>2379982603.1775289</v>
      </c>
    </row>
    <row r="3297" spans="14:14">
      <c r="N3297" s="3">
        <v>1805759339.2837396</v>
      </c>
    </row>
    <row r="3298" spans="14:14">
      <c r="N3298" s="3">
        <v>1913561872.9935284</v>
      </c>
    </row>
    <row r="3299" spans="14:14">
      <c r="N3299" s="3">
        <v>1885873662.6965115</v>
      </c>
    </row>
    <row r="3300" spans="14:14">
      <c r="N3300" s="3">
        <v>2247608265.9430766</v>
      </c>
    </row>
    <row r="3301" spans="14:14">
      <c r="N3301" s="3">
        <v>3386970570.5922275</v>
      </c>
    </row>
    <row r="3302" spans="14:14">
      <c r="N3302" s="3">
        <v>2100440524.3766789</v>
      </c>
    </row>
    <row r="3303" spans="14:14">
      <c r="N3303" s="3">
        <v>2087105763.877748</v>
      </c>
    </row>
    <row r="3304" spans="14:14">
      <c r="N3304" s="3">
        <v>978536054.2074405</v>
      </c>
    </row>
    <row r="3305" spans="14:14">
      <c r="N3305" s="3">
        <v>2526755917.492147</v>
      </c>
    </row>
    <row r="3306" spans="14:14">
      <c r="N3306" s="3">
        <v>2201628694.0220647</v>
      </c>
    </row>
    <row r="3307" spans="14:14">
      <c r="N3307" s="3">
        <v>1901957624.948415</v>
      </c>
    </row>
    <row r="3308" spans="14:14">
      <c r="N3308" s="3">
        <v>4358393943.6763802</v>
      </c>
    </row>
    <row r="3309" spans="14:14">
      <c r="N3309" s="3">
        <v>1823771085.549499</v>
      </c>
    </row>
    <row r="3310" spans="14:14">
      <c r="N3310" s="3">
        <v>1557237778.1277781</v>
      </c>
    </row>
    <row r="3311" spans="14:14">
      <c r="N3311" s="3">
        <v>1180209283.3649857</v>
      </c>
    </row>
    <row r="3312" spans="14:14">
      <c r="N3312" s="3">
        <v>1432121422.8532743</v>
      </c>
    </row>
    <row r="3313" spans="14:14">
      <c r="N3313" s="3">
        <v>1379194907.8144586</v>
      </c>
    </row>
    <row r="3314" spans="14:14">
      <c r="N3314" s="3">
        <v>2459250727.1787629</v>
      </c>
    </row>
    <row r="3315" spans="14:14">
      <c r="N3315" s="3">
        <v>1172123379.7618616</v>
      </c>
    </row>
    <row r="3316" spans="14:14">
      <c r="N3316" s="3">
        <v>2649259327.1210837</v>
      </c>
    </row>
    <row r="3317" spans="14:14">
      <c r="N3317" s="3">
        <v>1722121062.3306735</v>
      </c>
    </row>
    <row r="3318" spans="14:14">
      <c r="N3318" s="3">
        <v>2421790664.549726</v>
      </c>
    </row>
    <row r="3319" spans="14:14">
      <c r="N3319" s="3">
        <v>3254982424.6708989</v>
      </c>
    </row>
    <row r="3320" spans="14:14">
      <c r="N3320" s="3">
        <v>1846706741.5602305</v>
      </c>
    </row>
    <row r="3321" spans="14:14">
      <c r="N3321" s="3">
        <v>1190359821.786263</v>
      </c>
    </row>
    <row r="3322" spans="14:14">
      <c r="N3322" s="3">
        <v>1522385233.9255524</v>
      </c>
    </row>
    <row r="3323" spans="14:14">
      <c r="N3323" s="3">
        <v>2124494556.1512902</v>
      </c>
    </row>
    <row r="3324" spans="14:14">
      <c r="N3324" s="3">
        <v>2538045197.4105568</v>
      </c>
    </row>
    <row r="3325" spans="14:14">
      <c r="N3325" s="3">
        <v>2327019119.4822412</v>
      </c>
    </row>
    <row r="3326" spans="14:14">
      <c r="N3326" s="3">
        <v>1301977495.0149407</v>
      </c>
    </row>
    <row r="3327" spans="14:14">
      <c r="N3327" s="3">
        <v>3056751811.5503821</v>
      </c>
    </row>
    <row r="3328" spans="14:14">
      <c r="N3328" s="3">
        <v>2328897755.5527105</v>
      </c>
    </row>
    <row r="3329" spans="14:14">
      <c r="N3329" s="3">
        <v>2465338260.6600361</v>
      </c>
    </row>
    <row r="3330" spans="14:14">
      <c r="N3330" s="3">
        <v>2282846544.8177662</v>
      </c>
    </row>
    <row r="3331" spans="14:14">
      <c r="N3331" s="3">
        <v>1624233749.3674314</v>
      </c>
    </row>
    <row r="3332" spans="14:14">
      <c r="N3332" s="3">
        <v>3236817469.3303037</v>
      </c>
    </row>
    <row r="3333" spans="14:14">
      <c r="N3333" s="3">
        <v>1375932014.940232</v>
      </c>
    </row>
    <row r="3334" spans="14:14">
      <c r="N3334" s="3">
        <v>2936552516.5166411</v>
      </c>
    </row>
    <row r="3335" spans="14:14">
      <c r="N3335" s="3">
        <v>1827448816.3121984</v>
      </c>
    </row>
    <row r="3336" spans="14:14">
      <c r="N3336" s="3">
        <v>1859314899.1604996</v>
      </c>
    </row>
    <row r="3337" spans="14:14">
      <c r="N3337" s="3">
        <v>1864153480.1315434</v>
      </c>
    </row>
    <row r="3338" spans="14:14">
      <c r="N3338" s="3">
        <v>2095787670.5153282</v>
      </c>
    </row>
    <row r="3339" spans="14:14">
      <c r="N3339" s="3">
        <v>3026707709.7655864</v>
      </c>
    </row>
    <row r="3340" spans="14:14">
      <c r="N3340" s="3">
        <v>2737483383.9790416</v>
      </c>
    </row>
    <row r="3341" spans="14:14">
      <c r="N3341" s="3">
        <v>1463010949.8418882</v>
      </c>
    </row>
    <row r="3342" spans="14:14">
      <c r="N3342" s="3">
        <v>1299132147.6544697</v>
      </c>
    </row>
    <row r="3343" spans="14:14">
      <c r="N3343" s="3">
        <v>2174589645.9498258</v>
      </c>
    </row>
    <row r="3344" spans="14:14">
      <c r="N3344" s="3">
        <v>1773324767.3833153</v>
      </c>
    </row>
    <row r="3345" spans="14:14">
      <c r="N3345" s="3">
        <v>3694059116.1564708</v>
      </c>
    </row>
    <row r="3346" spans="14:14">
      <c r="N3346" s="3">
        <v>2773600812.3039775</v>
      </c>
    </row>
    <row r="3347" spans="14:14">
      <c r="N3347" s="3">
        <v>4517292510.8166809</v>
      </c>
    </row>
    <row r="3348" spans="14:14">
      <c r="N3348" s="3">
        <v>2168108314.7733626</v>
      </c>
    </row>
    <row r="3349" spans="14:14">
      <c r="N3349" s="3">
        <v>1253865865.8009126</v>
      </c>
    </row>
    <row r="3350" spans="14:14">
      <c r="N3350" s="3">
        <v>2480664260.1976404</v>
      </c>
    </row>
    <row r="3351" spans="14:14">
      <c r="N3351" s="3">
        <v>2507828199.7282944</v>
      </c>
    </row>
    <row r="3352" spans="14:14">
      <c r="N3352" s="3">
        <v>3525316969.2396355</v>
      </c>
    </row>
    <row r="3353" spans="14:14">
      <c r="N3353" s="3">
        <v>3040218380.9242601</v>
      </c>
    </row>
    <row r="3354" spans="14:14">
      <c r="N3354" s="3">
        <v>1544857706.9665279</v>
      </c>
    </row>
    <row r="3355" spans="14:14">
      <c r="N3355" s="3">
        <v>1841784734.1267884</v>
      </c>
    </row>
    <row r="3356" spans="14:14">
      <c r="N3356" s="3">
        <v>1710488208.473933</v>
      </c>
    </row>
    <row r="3357" spans="14:14">
      <c r="N3357" s="3">
        <v>1537370296.3543491</v>
      </c>
    </row>
    <row r="3358" spans="14:14">
      <c r="N3358" s="3">
        <v>1678605828.1767831</v>
      </c>
    </row>
    <row r="3359" spans="14:14">
      <c r="N3359" s="3">
        <v>1702018290.8107314</v>
      </c>
    </row>
    <row r="3360" spans="14:14">
      <c r="N3360" s="3">
        <v>1657417860.1966457</v>
      </c>
    </row>
    <row r="3361" spans="14:14">
      <c r="N3361" s="3">
        <v>1763608186.2267687</v>
      </c>
    </row>
    <row r="3362" spans="14:14">
      <c r="N3362" s="3">
        <v>2391555913.6909685</v>
      </c>
    </row>
    <row r="3363" spans="14:14">
      <c r="N3363" s="3">
        <v>2528814969.0319681</v>
      </c>
    </row>
    <row r="3364" spans="14:14">
      <c r="N3364" s="3">
        <v>2094077546.7537272</v>
      </c>
    </row>
    <row r="3365" spans="14:14">
      <c r="N3365" s="3">
        <v>2198327568.7463632</v>
      </c>
    </row>
    <row r="3366" spans="14:14">
      <c r="N3366" s="3">
        <v>2028442622.2385113</v>
      </c>
    </row>
    <row r="3367" spans="14:14">
      <c r="N3367" s="3">
        <v>1676499517.702574</v>
      </c>
    </row>
    <row r="3368" spans="14:14">
      <c r="N3368" s="3">
        <v>2015180603.0423102</v>
      </c>
    </row>
    <row r="3369" spans="14:14">
      <c r="N3369" s="3">
        <v>4504028093.505187</v>
      </c>
    </row>
    <row r="3370" spans="14:14">
      <c r="N3370" s="3">
        <v>1354421101.4961185</v>
      </c>
    </row>
    <row r="3371" spans="14:14">
      <c r="N3371" s="3">
        <v>2921283397.2667236</v>
      </c>
    </row>
    <row r="3372" spans="14:14">
      <c r="N3372" s="3">
        <v>1462758185.9387217</v>
      </c>
    </row>
    <row r="3373" spans="14:14">
      <c r="N3373" s="3">
        <v>3740505606.5010858</v>
      </c>
    </row>
    <row r="3374" spans="14:14">
      <c r="N3374" s="3">
        <v>1857450675.8106022</v>
      </c>
    </row>
    <row r="3375" spans="14:14">
      <c r="N3375" s="3">
        <v>3196768261.244349</v>
      </c>
    </row>
    <row r="3376" spans="14:14">
      <c r="N3376" s="3">
        <v>1611708433.4411414</v>
      </c>
    </row>
    <row r="3377" spans="14:14">
      <c r="N3377" s="3">
        <v>2422642212.7970295</v>
      </c>
    </row>
    <row r="3378" spans="14:14">
      <c r="N3378" s="3">
        <v>2377118407.6170058</v>
      </c>
    </row>
    <row r="3379" spans="14:14">
      <c r="N3379" s="3">
        <v>1625322063.8446288</v>
      </c>
    </row>
    <row r="3380" spans="14:14">
      <c r="N3380" s="3">
        <v>1403236709.6879964</v>
      </c>
    </row>
    <row r="3381" spans="14:14">
      <c r="N3381" s="3">
        <v>2519211181.8044729</v>
      </c>
    </row>
    <row r="3382" spans="14:14">
      <c r="N3382" s="3">
        <v>2562525620.6900845</v>
      </c>
    </row>
    <row r="3383" spans="14:14">
      <c r="N3383" s="3">
        <v>1538851739.7480879</v>
      </c>
    </row>
    <row r="3384" spans="14:14">
      <c r="N3384" s="3">
        <v>1265814215.0198522</v>
      </c>
    </row>
    <row r="3385" spans="14:14">
      <c r="N3385" s="3">
        <v>1595991661.3056614</v>
      </c>
    </row>
    <row r="3386" spans="14:14">
      <c r="N3386" s="3">
        <v>4477991564.4183931</v>
      </c>
    </row>
    <row r="3387" spans="14:14">
      <c r="N3387" s="3">
        <v>1549151684.178051</v>
      </c>
    </row>
    <row r="3388" spans="14:14">
      <c r="N3388" s="3">
        <v>2231934661.6883559</v>
      </c>
    </row>
    <row r="3389" spans="14:14">
      <c r="N3389" s="3">
        <v>2636074574.9028034</v>
      </c>
    </row>
    <row r="3390" spans="14:14">
      <c r="N3390" s="3">
        <v>1513272292.5860167</v>
      </c>
    </row>
    <row r="3391" spans="14:14">
      <c r="N3391" s="3">
        <v>1521278404.5489233</v>
      </c>
    </row>
    <row r="3392" spans="14:14">
      <c r="N3392" s="3">
        <v>2577868629.2735357</v>
      </c>
    </row>
    <row r="3393" spans="14:14">
      <c r="N3393" s="3">
        <v>937032451.60296714</v>
      </c>
    </row>
    <row r="3394" spans="14:14">
      <c r="N3394" s="3">
        <v>1954354791.7729628</v>
      </c>
    </row>
    <row r="3395" spans="14:14">
      <c r="N3395" s="3">
        <v>3246052704.9891634</v>
      </c>
    </row>
    <row r="3396" spans="14:14">
      <c r="N3396" s="3">
        <v>2519180449.4105043</v>
      </c>
    </row>
    <row r="3397" spans="14:14">
      <c r="N3397" s="3">
        <v>2679302882.7932739</v>
      </c>
    </row>
    <row r="3398" spans="14:14">
      <c r="N3398" s="3">
        <v>1446881954.1520779</v>
      </c>
    </row>
    <row r="3399" spans="14:14">
      <c r="N3399" s="3">
        <v>1681922440.2556241</v>
      </c>
    </row>
    <row r="3400" spans="14:14">
      <c r="N3400" s="3">
        <v>3059492548.9564052</v>
      </c>
    </row>
    <row r="3401" spans="14:14">
      <c r="N3401" s="3">
        <v>1899662021.6858163</v>
      </c>
    </row>
    <row r="3402" spans="14:14">
      <c r="N3402" s="3">
        <v>1973654038.1637347</v>
      </c>
    </row>
    <row r="3403" spans="14:14">
      <c r="N3403" s="3">
        <v>4712504053.9189529</v>
      </c>
    </row>
    <row r="3404" spans="14:14">
      <c r="N3404" s="3">
        <v>1850409071.5022805</v>
      </c>
    </row>
    <row r="3405" spans="14:14">
      <c r="N3405" s="3">
        <v>1784223473.3453343</v>
      </c>
    </row>
    <row r="3406" spans="14:14">
      <c r="N3406" s="3">
        <v>1609298146.2074089</v>
      </c>
    </row>
    <row r="3407" spans="14:14">
      <c r="N3407" s="3">
        <v>1591062199.9759994</v>
      </c>
    </row>
    <row r="3408" spans="14:14">
      <c r="N3408" s="3">
        <v>3711359839.8654723</v>
      </c>
    </row>
    <row r="3409" spans="14:14">
      <c r="N3409" s="3">
        <v>3142996637.8492794</v>
      </c>
    </row>
    <row r="3410" spans="14:14">
      <c r="N3410" s="3">
        <v>1814822509.3814671</v>
      </c>
    </row>
    <row r="3411" spans="14:14">
      <c r="N3411" s="3">
        <v>3733681341.467679</v>
      </c>
    </row>
    <row r="3412" spans="14:14">
      <c r="N3412" s="3">
        <v>2830463792.4018226</v>
      </c>
    </row>
    <row r="3413" spans="14:14">
      <c r="N3413" s="3">
        <v>2816676649.880228</v>
      </c>
    </row>
    <row r="3414" spans="14:14">
      <c r="N3414" s="3">
        <v>2535258032.3943491</v>
      </c>
    </row>
    <row r="3415" spans="14:14">
      <c r="N3415" s="3">
        <v>1223205111.7950068</v>
      </c>
    </row>
    <row r="3416" spans="14:14">
      <c r="N3416" s="3">
        <v>1381038180.7467484</v>
      </c>
    </row>
    <row r="3417" spans="14:14">
      <c r="N3417" s="3">
        <v>2068943725.8572316</v>
      </c>
    </row>
    <row r="3418" spans="14:14">
      <c r="N3418" s="3">
        <v>1844627123.5341992</v>
      </c>
    </row>
    <row r="3419" spans="14:14">
      <c r="N3419" s="3">
        <v>1950301642.5310402</v>
      </c>
    </row>
    <row r="3420" spans="14:14">
      <c r="N3420" s="3">
        <v>1883824725.5519543</v>
      </c>
    </row>
    <row r="3421" spans="14:14">
      <c r="N3421" s="3">
        <v>1287514684.4225602</v>
      </c>
    </row>
    <row r="3422" spans="14:14">
      <c r="N3422" s="3">
        <v>2110314959.8442323</v>
      </c>
    </row>
    <row r="3423" spans="14:14">
      <c r="N3423" s="3">
        <v>1765103550.1913149</v>
      </c>
    </row>
    <row r="3424" spans="14:14">
      <c r="N3424" s="3">
        <v>974157827.09825563</v>
      </c>
    </row>
    <row r="3425" spans="14:14">
      <c r="N3425" s="3">
        <v>1941480355.2861376</v>
      </c>
    </row>
    <row r="3426" spans="14:14">
      <c r="N3426" s="3">
        <v>2626766893.4263515</v>
      </c>
    </row>
    <row r="3427" spans="14:14">
      <c r="N3427" s="3">
        <v>2472975041.9899964</v>
      </c>
    </row>
    <row r="3428" spans="14:14">
      <c r="N3428" s="3">
        <v>2145294523.7808599</v>
      </c>
    </row>
    <row r="3429" spans="14:14">
      <c r="N3429" s="3">
        <v>3869235770.2063217</v>
      </c>
    </row>
    <row r="3430" spans="14:14">
      <c r="N3430" s="3">
        <v>2228943271.1954417</v>
      </c>
    </row>
    <row r="3431" spans="14:14">
      <c r="N3431" s="3">
        <v>2889850613.4110761</v>
      </c>
    </row>
    <row r="3432" spans="14:14">
      <c r="N3432" s="3">
        <v>1148549447.4845088</v>
      </c>
    </row>
    <row r="3433" spans="14:14">
      <c r="N3433" s="3">
        <v>2043106973.924197</v>
      </c>
    </row>
    <row r="3434" spans="14:14">
      <c r="N3434" s="3">
        <v>1938486602.3771949</v>
      </c>
    </row>
    <row r="3435" spans="14:14">
      <c r="N3435" s="3">
        <v>1345197462.7217712</v>
      </c>
    </row>
    <row r="3436" spans="14:14">
      <c r="N3436" s="3">
        <v>1401890620.9425588</v>
      </c>
    </row>
    <row r="3437" spans="14:14">
      <c r="N3437" s="3">
        <v>2552864969.3651233</v>
      </c>
    </row>
    <row r="3438" spans="14:14">
      <c r="N3438" s="3">
        <v>2654384474.569572</v>
      </c>
    </row>
    <row r="3439" spans="14:14">
      <c r="N3439" s="3">
        <v>1700268561.3302863</v>
      </c>
    </row>
    <row r="3440" spans="14:14">
      <c r="N3440" s="3">
        <v>1822160461.8727481</v>
      </c>
    </row>
    <row r="3441" spans="14:14">
      <c r="N3441" s="3">
        <v>2328523577.0709591</v>
      </c>
    </row>
    <row r="3442" spans="14:14">
      <c r="N3442" s="3">
        <v>1125489985.5397079</v>
      </c>
    </row>
    <row r="3443" spans="14:14">
      <c r="N3443" s="3">
        <v>1379839948.8880179</v>
      </c>
    </row>
    <row r="3444" spans="14:14">
      <c r="N3444" s="3">
        <v>2981910961.1429291</v>
      </c>
    </row>
    <row r="3445" spans="14:14">
      <c r="N3445" s="3">
        <v>3076599432.0494866</v>
      </c>
    </row>
    <row r="3446" spans="14:14">
      <c r="N3446" s="3">
        <v>2288729210.0615449</v>
      </c>
    </row>
    <row r="3447" spans="14:14">
      <c r="N3447" s="3">
        <v>1137370331.0785844</v>
      </c>
    </row>
    <row r="3448" spans="14:14">
      <c r="N3448" s="3">
        <v>4373567746.6901407</v>
      </c>
    </row>
    <row r="3449" spans="14:14">
      <c r="N3449" s="3">
        <v>2186193393.7963023</v>
      </c>
    </row>
    <row r="3450" spans="14:14">
      <c r="N3450" s="3">
        <v>2048714854.5326996</v>
      </c>
    </row>
    <row r="3451" spans="14:14">
      <c r="N3451" s="3">
        <v>2065803970.913286</v>
      </c>
    </row>
    <row r="3452" spans="14:14">
      <c r="N3452" s="3">
        <v>1896482227.0720453</v>
      </c>
    </row>
    <row r="3453" spans="14:14">
      <c r="N3453" s="3">
        <v>2730220245.9914317</v>
      </c>
    </row>
    <row r="3454" spans="14:14">
      <c r="N3454" s="3">
        <v>1932481677.8963921</v>
      </c>
    </row>
    <row r="3455" spans="14:14">
      <c r="N3455" s="3">
        <v>1823026882.9820924</v>
      </c>
    </row>
    <row r="3456" spans="14:14">
      <c r="N3456" s="3">
        <v>3623851255.0576878</v>
      </c>
    </row>
    <row r="3457" spans="14:14">
      <c r="N3457" s="3">
        <v>2595719372.3595161</v>
      </c>
    </row>
    <row r="3458" spans="14:14">
      <c r="N3458" s="3">
        <v>2962982177.5571499</v>
      </c>
    </row>
    <row r="3459" spans="14:14">
      <c r="N3459" s="3">
        <v>1972950345.9286256</v>
      </c>
    </row>
    <row r="3460" spans="14:14">
      <c r="N3460" s="3">
        <v>1248375417.2350633</v>
      </c>
    </row>
    <row r="3461" spans="14:14">
      <c r="N3461" s="3">
        <v>2629257663.7938476</v>
      </c>
    </row>
    <row r="3462" spans="14:14">
      <c r="N3462" s="3">
        <v>2604684765.1821833</v>
      </c>
    </row>
    <row r="3463" spans="14:14">
      <c r="N3463" s="3">
        <v>1881305209.3327303</v>
      </c>
    </row>
    <row r="3464" spans="14:14">
      <c r="N3464" s="3">
        <v>2603175496.0769739</v>
      </c>
    </row>
    <row r="3465" spans="14:14">
      <c r="N3465" s="3">
        <v>3255740767.9627686</v>
      </c>
    </row>
    <row r="3466" spans="14:14">
      <c r="N3466" s="3">
        <v>2245810053.1562142</v>
      </c>
    </row>
    <row r="3467" spans="14:14">
      <c r="N3467" s="3">
        <v>1835321206.4153187</v>
      </c>
    </row>
    <row r="3468" spans="14:14">
      <c r="N3468" s="3">
        <v>1506261865.2558181</v>
      </c>
    </row>
    <row r="3469" spans="14:14">
      <c r="N3469" s="3">
        <v>2091676851.328301</v>
      </c>
    </row>
    <row r="3470" spans="14:14">
      <c r="N3470" s="3">
        <v>1895484523.7056222</v>
      </c>
    </row>
    <row r="3471" spans="14:14">
      <c r="N3471" s="3">
        <v>950298738.06610453</v>
      </c>
    </row>
    <row r="3472" spans="14:14">
      <c r="N3472" s="3">
        <v>2072894182.511574</v>
      </c>
    </row>
    <row r="3473" spans="14:14">
      <c r="N3473" s="3">
        <v>1827616062.3554733</v>
      </c>
    </row>
    <row r="3474" spans="14:14">
      <c r="N3474" s="3">
        <v>2353369982.2659225</v>
      </c>
    </row>
    <row r="3475" spans="14:14">
      <c r="N3475" s="3">
        <v>1960986586.686384</v>
      </c>
    </row>
    <row r="3476" spans="14:14">
      <c r="N3476" s="3">
        <v>1883091730.259213</v>
      </c>
    </row>
    <row r="3477" spans="14:14">
      <c r="N3477" s="3">
        <v>2345305261.3859324</v>
      </c>
    </row>
    <row r="3478" spans="14:14">
      <c r="N3478" s="3">
        <v>2492683126.2418375</v>
      </c>
    </row>
    <row r="3479" spans="14:14">
      <c r="N3479" s="3">
        <v>2110016867.4796801</v>
      </c>
    </row>
    <row r="3480" spans="14:14">
      <c r="N3480" s="3">
        <v>2217104298.528255</v>
      </c>
    </row>
    <row r="3481" spans="14:14">
      <c r="N3481" s="3">
        <v>2916434326.1238179</v>
      </c>
    </row>
    <row r="3482" spans="14:14">
      <c r="N3482" s="3">
        <v>3972981324.151752</v>
      </c>
    </row>
    <row r="3483" spans="14:14">
      <c r="N3483" s="3">
        <v>1397192669.8683207</v>
      </c>
    </row>
    <row r="3484" spans="14:14">
      <c r="N3484" s="3">
        <v>2177966239.8468013</v>
      </c>
    </row>
    <row r="3485" spans="14:14">
      <c r="N3485" s="3">
        <v>2273217738.3503771</v>
      </c>
    </row>
    <row r="3486" spans="14:14">
      <c r="N3486" s="3">
        <v>4418772957.8492365</v>
      </c>
    </row>
    <row r="3487" spans="14:14">
      <c r="N3487" s="3">
        <v>2383457696.4273643</v>
      </c>
    </row>
    <row r="3488" spans="14:14">
      <c r="N3488" s="3">
        <v>2809144116.3015471</v>
      </c>
    </row>
    <row r="3489" spans="14:14">
      <c r="N3489" s="3">
        <v>1970395518.6852236</v>
      </c>
    </row>
    <row r="3490" spans="14:14">
      <c r="N3490" s="3">
        <v>2314927177.3649144</v>
      </c>
    </row>
    <row r="3491" spans="14:14">
      <c r="N3491" s="3">
        <v>1641573425.3646126</v>
      </c>
    </row>
    <row r="3492" spans="14:14">
      <c r="N3492" s="3">
        <v>1821433200.5179787</v>
      </c>
    </row>
    <row r="3493" spans="14:14">
      <c r="N3493" s="3">
        <v>3169358699.8983092</v>
      </c>
    </row>
    <row r="3494" spans="14:14">
      <c r="N3494" s="3">
        <v>3154319204.8020754</v>
      </c>
    </row>
    <row r="3495" spans="14:14">
      <c r="N3495" s="3">
        <v>2584515581.4686399</v>
      </c>
    </row>
    <row r="3496" spans="14:14">
      <c r="N3496" s="3">
        <v>1481852763.3300555</v>
      </c>
    </row>
    <row r="3497" spans="14:14">
      <c r="N3497" s="3">
        <v>1875259501.606204</v>
      </c>
    </row>
    <row r="3498" spans="14:14">
      <c r="N3498" s="3">
        <v>3102238028.0035143</v>
      </c>
    </row>
    <row r="3499" spans="14:14">
      <c r="N3499" s="3">
        <v>2400502354.7063756</v>
      </c>
    </row>
    <row r="3500" spans="14:14">
      <c r="N3500" s="3">
        <v>2430235401.2338905</v>
      </c>
    </row>
    <row r="3501" spans="14:14">
      <c r="N3501" s="3">
        <v>1717175661.6800108</v>
      </c>
    </row>
    <row r="3502" spans="14:14">
      <c r="N3502" s="3">
        <v>1603866666.7883995</v>
      </c>
    </row>
    <row r="3503" spans="14:14">
      <c r="N3503" s="3">
        <v>1065881441.8608094</v>
      </c>
    </row>
    <row r="3504" spans="14:14">
      <c r="N3504" s="3">
        <v>3276117378.5217967</v>
      </c>
    </row>
    <row r="3505" spans="14:14">
      <c r="N3505" s="3">
        <v>3698915311.8086143</v>
      </c>
    </row>
    <row r="3506" spans="14:14">
      <c r="N3506" s="3">
        <v>2959657306.455534</v>
      </c>
    </row>
    <row r="3507" spans="14:14">
      <c r="N3507" s="3">
        <v>1259736337.1926792</v>
      </c>
    </row>
    <row r="3508" spans="14:14">
      <c r="N3508" s="3">
        <v>1901482794.5806191</v>
      </c>
    </row>
    <row r="3509" spans="14:14">
      <c r="N3509" s="3">
        <v>1371716941.38304</v>
      </c>
    </row>
    <row r="3510" spans="14:14">
      <c r="N3510" s="3">
        <v>2029098769.1218555</v>
      </c>
    </row>
    <row r="3511" spans="14:14">
      <c r="N3511" s="3">
        <v>2522164040.4783406</v>
      </c>
    </row>
    <row r="3512" spans="14:14">
      <c r="N3512" s="3">
        <v>1573237327.5587063</v>
      </c>
    </row>
    <row r="3513" spans="14:14">
      <c r="N3513" s="3">
        <v>2113223475.1442833</v>
      </c>
    </row>
    <row r="3514" spans="14:14">
      <c r="N3514" s="3">
        <v>1014153423.0222086</v>
      </c>
    </row>
    <row r="3515" spans="14:14">
      <c r="N3515" s="3">
        <v>2324427673.9807372</v>
      </c>
    </row>
    <row r="3516" spans="14:14">
      <c r="N3516" s="3">
        <v>1864961515.9946187</v>
      </c>
    </row>
    <row r="3517" spans="14:14">
      <c r="N3517" s="3">
        <v>2119837639.7305882</v>
      </c>
    </row>
    <row r="3518" spans="14:14">
      <c r="N3518" s="3">
        <v>1346408423.6046424</v>
      </c>
    </row>
    <row r="3519" spans="14:14">
      <c r="N3519" s="3">
        <v>1151862648.8824563</v>
      </c>
    </row>
    <row r="3520" spans="14:14">
      <c r="N3520" s="3">
        <v>1732106948.321851</v>
      </c>
    </row>
    <row r="3521" spans="14:14">
      <c r="N3521" s="3">
        <v>1343969221.1994112</v>
      </c>
    </row>
    <row r="3522" spans="14:14">
      <c r="N3522" s="3">
        <v>2281230517.1047344</v>
      </c>
    </row>
    <row r="3523" spans="14:14">
      <c r="N3523" s="3">
        <v>2222841031.1239824</v>
      </c>
    </row>
    <row r="3524" spans="14:14">
      <c r="N3524" s="3">
        <v>2936628104.8106828</v>
      </c>
    </row>
    <row r="3525" spans="14:14">
      <c r="N3525" s="3">
        <v>1923493385.0279593</v>
      </c>
    </row>
    <row r="3526" spans="14:14">
      <c r="N3526" s="3">
        <v>1100000340.4848366</v>
      </c>
    </row>
    <row r="3527" spans="14:14">
      <c r="N3527" s="3">
        <v>3590476350.5760522</v>
      </c>
    </row>
    <row r="3528" spans="14:14">
      <c r="N3528" s="3">
        <v>3157313535.6944652</v>
      </c>
    </row>
    <row r="3529" spans="14:14">
      <c r="N3529" s="3">
        <v>2599787023.421761</v>
      </c>
    </row>
    <row r="3530" spans="14:14">
      <c r="N3530" s="3">
        <v>3336142875.6754479</v>
      </c>
    </row>
    <row r="3531" spans="14:14">
      <c r="N3531" s="3">
        <v>3210722113.6154318</v>
      </c>
    </row>
    <row r="3532" spans="14:14">
      <c r="N3532" s="3">
        <v>1541294498.4710503</v>
      </c>
    </row>
    <row r="3533" spans="14:14">
      <c r="N3533" s="3">
        <v>1898782128.5266547</v>
      </c>
    </row>
    <row r="3534" spans="14:14">
      <c r="N3534" s="3">
        <v>1820542745.5376232</v>
      </c>
    </row>
    <row r="3535" spans="14:14">
      <c r="N3535" s="3">
        <v>2997526451.5210996</v>
      </c>
    </row>
    <row r="3536" spans="14:14">
      <c r="N3536" s="3">
        <v>1321402001.5402906</v>
      </c>
    </row>
    <row r="3537" spans="14:14">
      <c r="N3537" s="3">
        <v>1434668532.3516326</v>
      </c>
    </row>
    <row r="3538" spans="14:14">
      <c r="N3538" s="3">
        <v>1292399570.5626767</v>
      </c>
    </row>
    <row r="3539" spans="14:14">
      <c r="N3539" s="3">
        <v>1537164530.9740992</v>
      </c>
    </row>
    <row r="3540" spans="14:14">
      <c r="N3540" s="3">
        <v>1200946231.7832713</v>
      </c>
    </row>
    <row r="3541" spans="14:14">
      <c r="N3541" s="3">
        <v>3351610723.2577062</v>
      </c>
    </row>
    <row r="3542" spans="14:14">
      <c r="N3542" s="3">
        <v>1681989813.7016656</v>
      </c>
    </row>
    <row r="3543" spans="14:14">
      <c r="N3543" s="3">
        <v>1457698420.3767288</v>
      </c>
    </row>
    <row r="3544" spans="14:14">
      <c r="N3544" s="3">
        <v>2312042502.4645386</v>
      </c>
    </row>
    <row r="3545" spans="14:14">
      <c r="N3545" s="3">
        <v>2288564526.2601571</v>
      </c>
    </row>
    <row r="3546" spans="14:14">
      <c r="N3546" s="3">
        <v>2418669172.4618959</v>
      </c>
    </row>
    <row r="3547" spans="14:14">
      <c r="N3547" s="3">
        <v>1755986856.5523453</v>
      </c>
    </row>
    <row r="3548" spans="14:14">
      <c r="N3548" s="3">
        <v>2546626564.6814771</v>
      </c>
    </row>
    <row r="3549" spans="14:14">
      <c r="N3549" s="3">
        <v>2197989544.7392793</v>
      </c>
    </row>
    <row r="3550" spans="14:14">
      <c r="N3550" s="3">
        <v>2410503341.0505505</v>
      </c>
    </row>
    <row r="3551" spans="14:14">
      <c r="N3551" s="3">
        <v>1902361258.9029911</v>
      </c>
    </row>
    <row r="3552" spans="14:14">
      <c r="N3552" s="3">
        <v>4099621683.406826</v>
      </c>
    </row>
    <row r="3553" spans="14:14">
      <c r="N3553" s="3">
        <v>3937899659.9409184</v>
      </c>
    </row>
    <row r="3554" spans="14:14">
      <c r="N3554" s="3">
        <v>1757405003.0985174</v>
      </c>
    </row>
    <row r="3555" spans="14:14">
      <c r="N3555" s="3">
        <v>1628676439.3921535</v>
      </c>
    </row>
    <row r="3556" spans="14:14">
      <c r="N3556" s="3">
        <v>1897666242.5062602</v>
      </c>
    </row>
    <row r="3557" spans="14:14">
      <c r="N3557" s="3">
        <v>2893708099.5884719</v>
      </c>
    </row>
    <row r="3558" spans="14:14">
      <c r="N3558" s="3">
        <v>1491099399.9843602</v>
      </c>
    </row>
    <row r="3559" spans="14:14">
      <c r="N3559" s="3">
        <v>2102213691.8818314</v>
      </c>
    </row>
    <row r="3560" spans="14:14">
      <c r="N3560" s="3">
        <v>2422835562.386457</v>
      </c>
    </row>
    <row r="3561" spans="14:14">
      <c r="N3561" s="3">
        <v>5823773586.1647844</v>
      </c>
    </row>
    <row r="3562" spans="14:14">
      <c r="N3562" s="3">
        <v>1877045754.3612611</v>
      </c>
    </row>
    <row r="3563" spans="14:14">
      <c r="N3563" s="3">
        <v>1702759881.9861219</v>
      </c>
    </row>
    <row r="3564" spans="14:14">
      <c r="N3564" s="3">
        <v>1111663961.1677544</v>
      </c>
    </row>
    <row r="3565" spans="14:14">
      <c r="N3565" s="3">
        <v>3321692324.038321</v>
      </c>
    </row>
    <row r="3566" spans="14:14">
      <c r="N3566" s="3">
        <v>1584215588.0138886</v>
      </c>
    </row>
    <row r="3567" spans="14:14">
      <c r="N3567" s="3">
        <v>1697923976.2467029</v>
      </c>
    </row>
    <row r="3568" spans="14:14">
      <c r="N3568" s="3">
        <v>1082809023.0296521</v>
      </c>
    </row>
    <row r="3569" spans="14:14">
      <c r="N3569" s="3">
        <v>1491767786.7515943</v>
      </c>
    </row>
    <row r="3570" spans="14:14">
      <c r="N3570" s="3">
        <v>2588913419.4168935</v>
      </c>
    </row>
    <row r="3571" spans="14:14">
      <c r="N3571" s="3">
        <v>2756991760.8781061</v>
      </c>
    </row>
    <row r="3572" spans="14:14">
      <c r="N3572" s="3">
        <v>1055092856.6319957</v>
      </c>
    </row>
    <row r="3573" spans="14:14">
      <c r="N3573" s="3">
        <v>1804265419.8281679</v>
      </c>
    </row>
    <row r="3574" spans="14:14">
      <c r="N3574" s="3">
        <v>1352223498.529614</v>
      </c>
    </row>
    <row r="3575" spans="14:14">
      <c r="N3575" s="3">
        <v>1797639192.786479</v>
      </c>
    </row>
    <row r="3576" spans="14:14">
      <c r="N3576" s="3">
        <v>1283952888.6694713</v>
      </c>
    </row>
    <row r="3577" spans="14:14">
      <c r="N3577" s="3">
        <v>2499698571.1889739</v>
      </c>
    </row>
    <row r="3578" spans="14:14">
      <c r="N3578" s="3">
        <v>2297624099.3148618</v>
      </c>
    </row>
    <row r="3579" spans="14:14">
      <c r="N3579" s="3">
        <v>3746179193.3413906</v>
      </c>
    </row>
    <row r="3580" spans="14:14">
      <c r="N3580" s="3">
        <v>1743436395.4830873</v>
      </c>
    </row>
    <row r="3581" spans="14:14">
      <c r="N3581" s="3">
        <v>1810564834.6059806</v>
      </c>
    </row>
    <row r="3582" spans="14:14">
      <c r="N3582" s="3">
        <v>1256855408.4434798</v>
      </c>
    </row>
    <row r="3583" spans="14:14">
      <c r="N3583" s="3">
        <v>2441593189.3871803</v>
      </c>
    </row>
    <row r="3584" spans="14:14">
      <c r="N3584" s="3">
        <v>1930912485.9551542</v>
      </c>
    </row>
    <row r="3585" spans="14:14">
      <c r="N3585" s="3">
        <v>1857014739.5186856</v>
      </c>
    </row>
    <row r="3586" spans="14:14">
      <c r="N3586" s="3">
        <v>1415876510.4885547</v>
      </c>
    </row>
    <row r="3587" spans="14:14">
      <c r="N3587" s="3">
        <v>1688941299.0243142</v>
      </c>
    </row>
    <row r="3588" spans="14:14">
      <c r="N3588" s="3">
        <v>3473676721.1456666</v>
      </c>
    </row>
    <row r="3589" spans="14:14">
      <c r="N3589" s="3">
        <v>1686322012.9005845</v>
      </c>
    </row>
    <row r="3590" spans="14:14">
      <c r="N3590" s="3">
        <v>1446017619.5057876</v>
      </c>
    </row>
    <row r="3591" spans="14:14">
      <c r="N3591" s="3">
        <v>1020747516.5725262</v>
      </c>
    </row>
    <row r="3592" spans="14:14">
      <c r="N3592" s="3">
        <v>2695167166.302712</v>
      </c>
    </row>
    <row r="3593" spans="14:14">
      <c r="N3593" s="3">
        <v>1930288407.8418763</v>
      </c>
    </row>
    <row r="3594" spans="14:14">
      <c r="N3594" s="3">
        <v>2015680409.2433288</v>
      </c>
    </row>
    <row r="3595" spans="14:14">
      <c r="N3595" s="3">
        <v>2371271928.0962253</v>
      </c>
    </row>
    <row r="3596" spans="14:14">
      <c r="N3596" s="3">
        <v>1511325717.8537779</v>
      </c>
    </row>
    <row r="3597" spans="14:14">
      <c r="N3597" s="3">
        <v>1900726388.5730255</v>
      </c>
    </row>
    <row r="3598" spans="14:14">
      <c r="N3598" s="3">
        <v>2065529578.1903448</v>
      </c>
    </row>
    <row r="3599" spans="14:14">
      <c r="N3599" s="3">
        <v>4010994780.1325893</v>
      </c>
    </row>
    <row r="3600" spans="14:14">
      <c r="N3600" s="3">
        <v>2960670078.4571776</v>
      </c>
    </row>
    <row r="3601" spans="14:14">
      <c r="N3601" s="3">
        <v>2737542134.7393093</v>
      </c>
    </row>
    <row r="3602" spans="14:14">
      <c r="N3602" s="3">
        <v>1889616025.6182816</v>
      </c>
    </row>
    <row r="3603" spans="14:14">
      <c r="N3603" s="3">
        <v>3341796457.7557201</v>
      </c>
    </row>
    <row r="3604" spans="14:14">
      <c r="N3604" s="3">
        <v>2220830438.1289749</v>
      </c>
    </row>
    <row r="3605" spans="14:14">
      <c r="N3605" s="3">
        <v>1828391794.7072077</v>
      </c>
    </row>
    <row r="3606" spans="14:14">
      <c r="N3606" s="3">
        <v>1171876654.6746385</v>
      </c>
    </row>
    <row r="3607" spans="14:14">
      <c r="N3607" s="3">
        <v>2077367405.7535889</v>
      </c>
    </row>
    <row r="3608" spans="14:14">
      <c r="N3608" s="3">
        <v>3828458505.6203866</v>
      </c>
    </row>
    <row r="3609" spans="14:14">
      <c r="N3609" s="3">
        <v>2266412584.7911191</v>
      </c>
    </row>
    <row r="3610" spans="14:14">
      <c r="N3610" s="3">
        <v>1181675788.1662753</v>
      </c>
    </row>
    <row r="3611" spans="14:14">
      <c r="N3611" s="3">
        <v>2055827691.4852545</v>
      </c>
    </row>
    <row r="3612" spans="14:14">
      <c r="N3612" s="3">
        <v>2264631636.3650131</v>
      </c>
    </row>
    <row r="3613" spans="14:14">
      <c r="N3613" s="3">
        <v>1471948234.7028189</v>
      </c>
    </row>
    <row r="3614" spans="14:14">
      <c r="N3614" s="3">
        <v>2980704622.3467469</v>
      </c>
    </row>
    <row r="3615" spans="14:14">
      <c r="N3615" s="3">
        <v>5115365764.5849466</v>
      </c>
    </row>
    <row r="3616" spans="14:14">
      <c r="N3616" s="3">
        <v>2708044598.8854346</v>
      </c>
    </row>
    <row r="3617" spans="14:14">
      <c r="N3617" s="3">
        <v>4958878440.5135641</v>
      </c>
    </row>
    <row r="3618" spans="14:14">
      <c r="N3618" s="3">
        <v>2284641868.1220751</v>
      </c>
    </row>
    <row r="3619" spans="14:14">
      <c r="N3619" s="3">
        <v>2207787380.3384824</v>
      </c>
    </row>
    <row r="3620" spans="14:14">
      <c r="N3620" s="3">
        <v>1633894659.6896605</v>
      </c>
    </row>
    <row r="3621" spans="14:14">
      <c r="N3621" s="3">
        <v>2086936552.8534169</v>
      </c>
    </row>
    <row r="3622" spans="14:14">
      <c r="N3622" s="3">
        <v>2667374075.6872973</v>
      </c>
    </row>
    <row r="3623" spans="14:14">
      <c r="N3623" s="3">
        <v>1898125956.475909</v>
      </c>
    </row>
    <row r="3624" spans="14:14">
      <c r="N3624" s="3">
        <v>1990405634.9418435</v>
      </c>
    </row>
    <row r="3625" spans="14:14">
      <c r="N3625" s="3">
        <v>2354762875.5998011</v>
      </c>
    </row>
    <row r="3626" spans="14:14">
      <c r="N3626" s="3">
        <v>2201739043.7496529</v>
      </c>
    </row>
    <row r="3627" spans="14:14">
      <c r="N3627" s="3">
        <v>2402346643.2000494</v>
      </c>
    </row>
    <row r="3628" spans="14:14">
      <c r="N3628" s="3">
        <v>602836132.47088051</v>
      </c>
    </row>
    <row r="3629" spans="14:14">
      <c r="N3629" s="3">
        <v>1414036156.7861099</v>
      </c>
    </row>
    <row r="3630" spans="14:14">
      <c r="N3630" s="3">
        <v>1169212916.9949651</v>
      </c>
    </row>
    <row r="3631" spans="14:14">
      <c r="N3631" s="3">
        <v>2160420731.5619555</v>
      </c>
    </row>
    <row r="3632" spans="14:14">
      <c r="N3632" s="3">
        <v>2005152387.1654565</v>
      </c>
    </row>
    <row r="3633" spans="14:14">
      <c r="N3633" s="3">
        <v>1793934566.0839868</v>
      </c>
    </row>
    <row r="3634" spans="14:14">
      <c r="N3634" s="3">
        <v>1048083383.4537616</v>
      </c>
    </row>
    <row r="3635" spans="14:14">
      <c r="N3635" s="3">
        <v>1977538910.2838142</v>
      </c>
    </row>
    <row r="3636" spans="14:14">
      <c r="N3636" s="3">
        <v>1630307412.4245486</v>
      </c>
    </row>
    <row r="3637" spans="14:14">
      <c r="N3637" s="3">
        <v>1394289434.9208748</v>
      </c>
    </row>
    <row r="3638" spans="14:14">
      <c r="N3638" s="3">
        <v>2419033375.9447088</v>
      </c>
    </row>
    <row r="3639" spans="14:14">
      <c r="N3639" s="3">
        <v>1285103313.2461662</v>
      </c>
    </row>
    <row r="3640" spans="14:14">
      <c r="N3640" s="3">
        <v>1649341472.8089058</v>
      </c>
    </row>
    <row r="3641" spans="14:14">
      <c r="N3641" s="3">
        <v>4347560914.6661367</v>
      </c>
    </row>
    <row r="3642" spans="14:14">
      <c r="N3642" s="3">
        <v>2338364745.7976766</v>
      </c>
    </row>
    <row r="3643" spans="14:14">
      <c r="N3643" s="3">
        <v>1937299816.7774324</v>
      </c>
    </row>
    <row r="3644" spans="14:14">
      <c r="N3644" s="3">
        <v>2009824199.3376558</v>
      </c>
    </row>
    <row r="3645" spans="14:14">
      <c r="N3645" s="3">
        <v>2182857845.331377</v>
      </c>
    </row>
    <row r="3646" spans="14:14">
      <c r="N3646" s="3">
        <v>4446688695.3895597</v>
      </c>
    </row>
    <row r="3647" spans="14:14">
      <c r="N3647" s="3">
        <v>1301043518.9914618</v>
      </c>
    </row>
    <row r="3648" spans="14:14">
      <c r="N3648" s="3">
        <v>1955497102.7962656</v>
      </c>
    </row>
    <row r="3649" spans="14:14">
      <c r="N3649" s="3">
        <v>1146682778.2379861</v>
      </c>
    </row>
    <row r="3650" spans="14:14">
      <c r="N3650" s="3">
        <v>1664311190.3276002</v>
      </c>
    </row>
    <row r="3651" spans="14:14">
      <c r="N3651" s="3">
        <v>1769645930.7417955</v>
      </c>
    </row>
    <row r="3652" spans="14:14">
      <c r="N3652" s="3">
        <v>2220958974.7146053</v>
      </c>
    </row>
    <row r="3653" spans="14:14">
      <c r="N3653" s="3">
        <v>1723722520.6545119</v>
      </c>
    </row>
    <row r="3654" spans="14:14">
      <c r="N3654" s="3">
        <v>1939651818.8489385</v>
      </c>
    </row>
    <row r="3655" spans="14:14">
      <c r="N3655" s="3">
        <v>2538522392.4017591</v>
      </c>
    </row>
    <row r="3656" spans="14:14">
      <c r="N3656" s="3">
        <v>1406917607.4183002</v>
      </c>
    </row>
    <row r="3657" spans="14:14">
      <c r="N3657" s="3">
        <v>4610685545.7142315</v>
      </c>
    </row>
    <row r="3658" spans="14:14">
      <c r="N3658" s="3">
        <v>1912262714.6485825</v>
      </c>
    </row>
    <row r="3659" spans="14:14">
      <c r="N3659" s="3">
        <v>1897911078.2277188</v>
      </c>
    </row>
    <row r="3660" spans="14:14">
      <c r="N3660" s="3">
        <v>4709716557.5191193</v>
      </c>
    </row>
    <row r="3661" spans="14:14">
      <c r="N3661" s="3">
        <v>1057623712.2758776</v>
      </c>
    </row>
    <row r="3662" spans="14:14">
      <c r="N3662" s="3">
        <v>1986622225.4482863</v>
      </c>
    </row>
    <row r="3663" spans="14:14">
      <c r="N3663" s="3">
        <v>2840140287.9544163</v>
      </c>
    </row>
    <row r="3664" spans="14:14">
      <c r="N3664" s="3">
        <v>5417376253.9800587</v>
      </c>
    </row>
    <row r="3665" spans="14:14">
      <c r="N3665" s="3">
        <v>3177180113.4098363</v>
      </c>
    </row>
    <row r="3666" spans="14:14">
      <c r="N3666" s="3">
        <v>2089972172.9616296</v>
      </c>
    </row>
    <row r="3667" spans="14:14">
      <c r="N3667" s="3">
        <v>2007643599.2800326</v>
      </c>
    </row>
    <row r="3668" spans="14:14">
      <c r="N3668" s="3">
        <v>2228746749.769269</v>
      </c>
    </row>
    <row r="3669" spans="14:14">
      <c r="N3669" s="3">
        <v>2077182427.4447851</v>
      </c>
    </row>
    <row r="3670" spans="14:14">
      <c r="N3670" s="3">
        <v>706497622.84922671</v>
      </c>
    </row>
    <row r="3671" spans="14:14">
      <c r="N3671" s="3">
        <v>2433232957.561182</v>
      </c>
    </row>
    <row r="3672" spans="14:14">
      <c r="N3672" s="3">
        <v>2358253875.0981469</v>
      </c>
    </row>
    <row r="3673" spans="14:14">
      <c r="N3673" s="3">
        <v>1816305447.0203631</v>
      </c>
    </row>
    <row r="3674" spans="14:14">
      <c r="N3674" s="3">
        <v>1443859578.8990757</v>
      </c>
    </row>
    <row r="3675" spans="14:14">
      <c r="N3675" s="3">
        <v>1597003769.7338538</v>
      </c>
    </row>
    <row r="3676" spans="14:14">
      <c r="N3676" s="3">
        <v>2125352056.0834858</v>
      </c>
    </row>
    <row r="3677" spans="14:14">
      <c r="N3677" s="3">
        <v>909269534.86203122</v>
      </c>
    </row>
    <row r="3678" spans="14:14">
      <c r="N3678" s="3">
        <v>2621615503.9268203</v>
      </c>
    </row>
    <row r="3679" spans="14:14">
      <c r="N3679" s="3">
        <v>2151124578.2756948</v>
      </c>
    </row>
    <row r="3680" spans="14:14">
      <c r="N3680" s="3">
        <v>1733544456.5014942</v>
      </c>
    </row>
    <row r="3681" spans="14:14">
      <c r="N3681" s="3">
        <v>3214133980.8260312</v>
      </c>
    </row>
    <row r="3682" spans="14:14">
      <c r="N3682" s="3">
        <v>2757093851.4183941</v>
      </c>
    </row>
    <row r="3683" spans="14:14">
      <c r="N3683" s="3">
        <v>1608816533.2028649</v>
      </c>
    </row>
    <row r="3684" spans="14:14">
      <c r="N3684" s="3">
        <v>3226057846.1456232</v>
      </c>
    </row>
    <row r="3685" spans="14:14">
      <c r="N3685" s="3">
        <v>1861676486.7931478</v>
      </c>
    </row>
    <row r="3686" spans="14:14">
      <c r="N3686" s="3">
        <v>2742828782.779079</v>
      </c>
    </row>
    <row r="3687" spans="14:14">
      <c r="N3687" s="3">
        <v>3697408048.4654965</v>
      </c>
    </row>
    <row r="3688" spans="14:14">
      <c r="N3688" s="3">
        <v>2398436540.8103576</v>
      </c>
    </row>
    <row r="3689" spans="14:14">
      <c r="N3689" s="3">
        <v>2276043171.7661843</v>
      </c>
    </row>
    <row r="3690" spans="14:14">
      <c r="N3690" s="3">
        <v>3169179410.4373188</v>
      </c>
    </row>
    <row r="3691" spans="14:14">
      <c r="N3691" s="3">
        <v>4023918601.188458</v>
      </c>
    </row>
    <row r="3692" spans="14:14">
      <c r="N3692" s="3">
        <v>1489484271.106277</v>
      </c>
    </row>
    <row r="3693" spans="14:14">
      <c r="N3693" s="3">
        <v>1795400160.2564437</v>
      </c>
    </row>
    <row r="3694" spans="14:14">
      <c r="N3694" s="3">
        <v>2420731065.9554744</v>
      </c>
    </row>
    <row r="3695" spans="14:14">
      <c r="N3695" s="3">
        <v>1575616988.9478736</v>
      </c>
    </row>
    <row r="3696" spans="14:14">
      <c r="N3696" s="3">
        <v>1787644098.4939847</v>
      </c>
    </row>
    <row r="3697" spans="14:14">
      <c r="N3697" s="3">
        <v>2510101018.9342213</v>
      </c>
    </row>
    <row r="3698" spans="14:14">
      <c r="N3698" s="3">
        <v>2283471117.9526343</v>
      </c>
    </row>
    <row r="3699" spans="14:14">
      <c r="N3699" s="3">
        <v>2221028143.0311518</v>
      </c>
    </row>
    <row r="3700" spans="14:14">
      <c r="N3700" s="3">
        <v>2536412216.6516657</v>
      </c>
    </row>
    <row r="3701" spans="14:14">
      <c r="N3701" s="3">
        <v>2805751144.7135901</v>
      </c>
    </row>
    <row r="3702" spans="14:14">
      <c r="N3702" s="3">
        <v>1343930716.7109084</v>
      </c>
    </row>
    <row r="3703" spans="14:14">
      <c r="N3703" s="3">
        <v>2235026313.8920097</v>
      </c>
    </row>
    <row r="3704" spans="14:14">
      <c r="N3704" s="3">
        <v>2534928469.3179059</v>
      </c>
    </row>
    <row r="3705" spans="14:14">
      <c r="N3705" s="3">
        <v>1582872787.0656052</v>
      </c>
    </row>
    <row r="3706" spans="14:14">
      <c r="N3706" s="3">
        <v>2220648863.3682966</v>
      </c>
    </row>
    <row r="3707" spans="14:14">
      <c r="N3707" s="3">
        <v>2684755120.3353829</v>
      </c>
    </row>
    <row r="3708" spans="14:14">
      <c r="N3708" s="3">
        <v>2689092505.9757676</v>
      </c>
    </row>
    <row r="3709" spans="14:14">
      <c r="N3709" s="3">
        <v>1040482977.8452555</v>
      </c>
    </row>
    <row r="3710" spans="14:14">
      <c r="N3710" s="3">
        <v>4845022532.1960974</v>
      </c>
    </row>
    <row r="3711" spans="14:14">
      <c r="N3711" s="3">
        <v>1132408970.4606776</v>
      </c>
    </row>
    <row r="3712" spans="14:14">
      <c r="N3712" s="3">
        <v>3704232851.5653419</v>
      </c>
    </row>
    <row r="3713" spans="14:14">
      <c r="N3713" s="3">
        <v>1698892509.6699543</v>
      </c>
    </row>
    <row r="3714" spans="14:14">
      <c r="N3714" s="3">
        <v>2420078830.6895714</v>
      </c>
    </row>
    <row r="3715" spans="14:14">
      <c r="N3715" s="3">
        <v>1532455813.507946</v>
      </c>
    </row>
    <row r="3716" spans="14:14">
      <c r="N3716" s="3">
        <v>2154909505.9275398</v>
      </c>
    </row>
    <row r="3717" spans="14:14">
      <c r="N3717" s="3">
        <v>1784781383.5052772</v>
      </c>
    </row>
    <row r="3718" spans="14:14">
      <c r="N3718" s="3">
        <v>2105925057.3367009</v>
      </c>
    </row>
    <row r="3719" spans="14:14">
      <c r="N3719" s="3">
        <v>1937477570.7783797</v>
      </c>
    </row>
    <row r="3720" spans="14:14">
      <c r="N3720" s="3">
        <v>2021257719.8591833</v>
      </c>
    </row>
    <row r="3721" spans="14:14">
      <c r="N3721" s="3">
        <v>1577971337.2212341</v>
      </c>
    </row>
    <row r="3722" spans="14:14">
      <c r="N3722" s="3">
        <v>2836715713.0881543</v>
      </c>
    </row>
    <row r="3723" spans="14:14">
      <c r="N3723" s="3">
        <v>2585554300.1439428</v>
      </c>
    </row>
    <row r="3724" spans="14:14">
      <c r="N3724" s="3">
        <v>1748104645.9414582</v>
      </c>
    </row>
    <row r="3725" spans="14:14">
      <c r="N3725" s="3">
        <v>2314374539.5003552</v>
      </c>
    </row>
    <row r="3726" spans="14:14">
      <c r="N3726" s="3">
        <v>1589246787.5113339</v>
      </c>
    </row>
    <row r="3727" spans="14:14">
      <c r="N3727" s="3">
        <v>1563021329.4985013</v>
      </c>
    </row>
    <row r="3728" spans="14:14">
      <c r="N3728" s="3">
        <v>1150699130.0349762</v>
      </c>
    </row>
    <row r="3729" spans="14:14">
      <c r="N3729" s="3">
        <v>1338158152.4384184</v>
      </c>
    </row>
    <row r="3730" spans="14:14">
      <c r="N3730" s="3">
        <v>2084723308.6975596</v>
      </c>
    </row>
    <row r="3731" spans="14:14">
      <c r="N3731" s="3">
        <v>1351351313.3911948</v>
      </c>
    </row>
    <row r="3732" spans="14:14">
      <c r="N3732" s="3">
        <v>1743278718.981657</v>
      </c>
    </row>
    <row r="3733" spans="14:14">
      <c r="N3733" s="3">
        <v>1278625834.3851788</v>
      </c>
    </row>
    <row r="3734" spans="14:14">
      <c r="N3734" s="3">
        <v>3216917511.2899747</v>
      </c>
    </row>
    <row r="3735" spans="14:14">
      <c r="N3735" s="3">
        <v>1905979375.14574</v>
      </c>
    </row>
    <row r="3736" spans="14:14">
      <c r="N3736" s="3">
        <v>1571775436.9760785</v>
      </c>
    </row>
    <row r="3737" spans="14:14">
      <c r="N3737" s="3">
        <v>2569319565.2513719</v>
      </c>
    </row>
    <row r="3738" spans="14:14">
      <c r="N3738" s="3">
        <v>2644840179.2893429</v>
      </c>
    </row>
    <row r="3739" spans="14:14">
      <c r="N3739" s="3">
        <v>2204244326.3646026</v>
      </c>
    </row>
    <row r="3740" spans="14:14">
      <c r="N3740" s="3">
        <v>2555690586.4062629</v>
      </c>
    </row>
    <row r="3741" spans="14:14">
      <c r="N3741" s="3">
        <v>3183459274.461247</v>
      </c>
    </row>
    <row r="3742" spans="14:14">
      <c r="N3742" s="3">
        <v>2569162155.1199908</v>
      </c>
    </row>
    <row r="3743" spans="14:14">
      <c r="N3743" s="3">
        <v>2187747140.5019894</v>
      </c>
    </row>
    <row r="3744" spans="14:14">
      <c r="N3744" s="3">
        <v>1417664971.1087556</v>
      </c>
    </row>
    <row r="3745" spans="14:14">
      <c r="N3745" s="3">
        <v>2007271301.1410456</v>
      </c>
    </row>
    <row r="3746" spans="14:14">
      <c r="N3746" s="3">
        <v>2581431278.6990619</v>
      </c>
    </row>
    <row r="3747" spans="14:14">
      <c r="N3747" s="3">
        <v>2786046453.7325134</v>
      </c>
    </row>
    <row r="3748" spans="14:14">
      <c r="N3748" s="3">
        <v>3881733194.1891332</v>
      </c>
    </row>
    <row r="3749" spans="14:14">
      <c r="N3749" s="3">
        <v>1984625256.4880667</v>
      </c>
    </row>
    <row r="3750" spans="14:14">
      <c r="N3750" s="3">
        <v>1520168014.26494</v>
      </c>
    </row>
    <row r="3751" spans="14:14">
      <c r="N3751" s="3">
        <v>2989854152.9963536</v>
      </c>
    </row>
    <row r="3752" spans="14:14">
      <c r="N3752" s="3">
        <v>2371197470.8026347</v>
      </c>
    </row>
    <row r="3753" spans="14:14">
      <c r="N3753" s="3">
        <v>1784922530.7091722</v>
      </c>
    </row>
    <row r="3754" spans="14:14">
      <c r="N3754" s="3">
        <v>1364299827.2967267</v>
      </c>
    </row>
    <row r="3755" spans="14:14">
      <c r="N3755" s="3">
        <v>4493951838.0584669</v>
      </c>
    </row>
    <row r="3756" spans="14:14">
      <c r="N3756" s="3">
        <v>2405680176.4794941</v>
      </c>
    </row>
    <row r="3757" spans="14:14">
      <c r="N3757" s="3">
        <v>2571706011.754601</v>
      </c>
    </row>
    <row r="3758" spans="14:14">
      <c r="N3758" s="3">
        <v>2476033456.2830749</v>
      </c>
    </row>
    <row r="3759" spans="14:14">
      <c r="N3759" s="3">
        <v>1491173092.5507507</v>
      </c>
    </row>
    <row r="3760" spans="14:14">
      <c r="N3760" s="3">
        <v>2468537387.9134321</v>
      </c>
    </row>
    <row r="3761" spans="14:14">
      <c r="N3761" s="3">
        <v>2520221893.4038663</v>
      </c>
    </row>
    <row r="3762" spans="14:14">
      <c r="N3762" s="3">
        <v>1464591142.5486085</v>
      </c>
    </row>
    <row r="3763" spans="14:14">
      <c r="N3763" s="3">
        <v>1827048787.8829854</v>
      </c>
    </row>
    <row r="3764" spans="14:14">
      <c r="N3764" s="3">
        <v>3566118746.4281259</v>
      </c>
    </row>
    <row r="3765" spans="14:14">
      <c r="N3765" s="3">
        <v>1806168878.7709236</v>
      </c>
    </row>
    <row r="3766" spans="14:14">
      <c r="N3766" s="3">
        <v>1874780770.1954846</v>
      </c>
    </row>
    <row r="3767" spans="14:14">
      <c r="N3767" s="3">
        <v>1874308695.3212683</v>
      </c>
    </row>
    <row r="3768" spans="14:14">
      <c r="N3768" s="3">
        <v>2180745089.4504471</v>
      </c>
    </row>
    <row r="3769" spans="14:14">
      <c r="N3769" s="3">
        <v>1820574669.6888275</v>
      </c>
    </row>
    <row r="3770" spans="14:14">
      <c r="N3770" s="3">
        <v>1367833028.4521351</v>
      </c>
    </row>
    <row r="3771" spans="14:14">
      <c r="N3771" s="3">
        <v>1642491650.4492192</v>
      </c>
    </row>
    <row r="3772" spans="14:14">
      <c r="N3772" s="3">
        <v>1996819682.2568169</v>
      </c>
    </row>
    <row r="3773" spans="14:14">
      <c r="N3773" s="3">
        <v>3043783236.2891064</v>
      </c>
    </row>
    <row r="3774" spans="14:14">
      <c r="N3774" s="3">
        <v>2123563318.241399</v>
      </c>
    </row>
    <row r="3775" spans="14:14">
      <c r="N3775" s="3">
        <v>2953523245.2284918</v>
      </c>
    </row>
    <row r="3776" spans="14:14">
      <c r="N3776" s="3">
        <v>2448683203.76682</v>
      </c>
    </row>
    <row r="3777" spans="14:14">
      <c r="N3777" s="3">
        <v>2539381423.8799143</v>
      </c>
    </row>
    <row r="3778" spans="14:14">
      <c r="N3778" s="3">
        <v>1283570128.4818442</v>
      </c>
    </row>
    <row r="3779" spans="14:14">
      <c r="N3779" s="3">
        <v>2432364833.1793566</v>
      </c>
    </row>
    <row r="3780" spans="14:14">
      <c r="N3780" s="3">
        <v>1180295456.5421891</v>
      </c>
    </row>
    <row r="3781" spans="14:14">
      <c r="N3781" s="3">
        <v>3566844695.3003864</v>
      </c>
    </row>
    <row r="3782" spans="14:14">
      <c r="N3782" s="3">
        <v>963853736.1183362</v>
      </c>
    </row>
    <row r="3783" spans="14:14">
      <c r="N3783" s="3">
        <v>2268514744.5120893</v>
      </c>
    </row>
    <row r="3784" spans="14:14">
      <c r="N3784" s="3">
        <v>1417751666.9626389</v>
      </c>
    </row>
    <row r="3785" spans="14:14">
      <c r="N3785" s="3">
        <v>1388643775.7452788</v>
      </c>
    </row>
    <row r="3786" spans="14:14">
      <c r="N3786" s="3">
        <v>3044203068.3562036</v>
      </c>
    </row>
    <row r="3787" spans="14:14">
      <c r="N3787" s="3">
        <v>1158397962.8097825</v>
      </c>
    </row>
    <row r="3788" spans="14:14">
      <c r="N3788" s="3">
        <v>2170040461.5309668</v>
      </c>
    </row>
    <row r="3789" spans="14:14">
      <c r="N3789" s="3">
        <v>2353431189.1377606</v>
      </c>
    </row>
    <row r="3790" spans="14:14">
      <c r="N3790" s="3">
        <v>1663539699.5783622</v>
      </c>
    </row>
    <row r="3791" spans="14:14">
      <c r="N3791" s="3">
        <v>3118672485.6906543</v>
      </c>
    </row>
    <row r="3792" spans="14:14">
      <c r="N3792" s="3">
        <v>3010628314.2648892</v>
      </c>
    </row>
    <row r="3793" spans="14:14">
      <c r="N3793" s="3">
        <v>1413636645.5853355</v>
      </c>
    </row>
    <row r="3794" spans="14:14">
      <c r="N3794" s="3">
        <v>4287702151.4374099</v>
      </c>
    </row>
    <row r="3795" spans="14:14">
      <c r="N3795" s="3">
        <v>3086001968.3688188</v>
      </c>
    </row>
    <row r="3796" spans="14:14">
      <c r="N3796" s="3">
        <v>4305539372.1165695</v>
      </c>
    </row>
    <row r="3797" spans="14:14">
      <c r="N3797" s="3">
        <v>1992521902.1819673</v>
      </c>
    </row>
    <row r="3798" spans="14:14">
      <c r="N3798" s="3">
        <v>2228742627.5273833</v>
      </c>
    </row>
    <row r="3799" spans="14:14">
      <c r="N3799" s="3">
        <v>1597610020.8807218</v>
      </c>
    </row>
    <row r="3800" spans="14:14">
      <c r="N3800" s="3">
        <v>1679063970.1905894</v>
      </c>
    </row>
    <row r="3801" spans="14:14">
      <c r="N3801" s="3">
        <v>2134011994.5792358</v>
      </c>
    </row>
    <row r="3802" spans="14:14">
      <c r="N3802" s="3">
        <v>2585551416.7006679</v>
      </c>
    </row>
    <row r="3803" spans="14:14">
      <c r="N3803" s="3">
        <v>1705622069.7627397</v>
      </c>
    </row>
    <row r="3804" spans="14:14">
      <c r="N3804" s="3">
        <v>1448792083.1054721</v>
      </c>
    </row>
    <row r="3805" spans="14:14">
      <c r="N3805" s="3">
        <v>2230757850.6086888</v>
      </c>
    </row>
    <row r="3806" spans="14:14">
      <c r="N3806" s="3">
        <v>3191177661.5370002</v>
      </c>
    </row>
    <row r="3807" spans="14:14">
      <c r="N3807" s="3">
        <v>1354757780.6590865</v>
      </c>
    </row>
    <row r="3808" spans="14:14">
      <c r="N3808" s="3">
        <v>2181437433.6531882</v>
      </c>
    </row>
    <row r="3809" spans="14:14">
      <c r="N3809" s="3">
        <v>3404642489.7103314</v>
      </c>
    </row>
    <row r="3810" spans="14:14">
      <c r="N3810" s="3">
        <v>3108560724.5901928</v>
      </c>
    </row>
    <row r="3811" spans="14:14">
      <c r="N3811" s="3">
        <v>1486097196.3376808</v>
      </c>
    </row>
    <row r="3812" spans="14:14">
      <c r="N3812" s="3">
        <v>2061897556.3554132</v>
      </c>
    </row>
    <row r="3813" spans="14:14">
      <c r="N3813" s="3">
        <v>1945574112.1944859</v>
      </c>
    </row>
    <row r="3814" spans="14:14">
      <c r="N3814" s="3">
        <v>2392439582.9378586</v>
      </c>
    </row>
    <row r="3815" spans="14:14">
      <c r="N3815" s="3">
        <v>2571983411.5731773</v>
      </c>
    </row>
    <row r="3816" spans="14:14">
      <c r="N3816" s="3">
        <v>3712106998.9491653</v>
      </c>
    </row>
    <row r="3817" spans="14:14">
      <c r="N3817" s="3">
        <v>2519569894.1587119</v>
      </c>
    </row>
    <row r="3818" spans="14:14">
      <c r="N3818" s="3">
        <v>1609334915.4523003</v>
      </c>
    </row>
    <row r="3819" spans="14:14">
      <c r="N3819" s="3">
        <v>3097593754.1621957</v>
      </c>
    </row>
    <row r="3820" spans="14:14">
      <c r="N3820" s="3">
        <v>1259774426.6959813</v>
      </c>
    </row>
    <row r="3821" spans="14:14">
      <c r="N3821" s="3">
        <v>1802836987.7110367</v>
      </c>
    </row>
    <row r="3822" spans="14:14">
      <c r="N3822" s="3">
        <v>1381912065.413799</v>
      </c>
    </row>
    <row r="3823" spans="14:14">
      <c r="N3823" s="3">
        <v>3297895781.203773</v>
      </c>
    </row>
    <row r="3824" spans="14:14">
      <c r="N3824" s="3">
        <v>1566027953.2875226</v>
      </c>
    </row>
    <row r="3825" spans="14:14">
      <c r="N3825" s="3">
        <v>1331759926.2062633</v>
      </c>
    </row>
    <row r="3826" spans="14:14">
      <c r="N3826" s="3">
        <v>2509646687.7758255</v>
      </c>
    </row>
    <row r="3827" spans="14:14">
      <c r="N3827" s="3">
        <v>1431814870.3685427</v>
      </c>
    </row>
    <row r="3828" spans="14:14">
      <c r="N3828" s="3">
        <v>1807951353.2353714</v>
      </c>
    </row>
    <row r="3829" spans="14:14">
      <c r="N3829" s="3">
        <v>1689350992.0727303</v>
      </c>
    </row>
    <row r="3830" spans="14:14">
      <c r="N3830" s="3">
        <v>2440698238.657392</v>
      </c>
    </row>
    <row r="3831" spans="14:14">
      <c r="N3831" s="3">
        <v>2935457981.9578123</v>
      </c>
    </row>
    <row r="3832" spans="14:14">
      <c r="N3832" s="3">
        <v>2220693864.6374454</v>
      </c>
    </row>
    <row r="3833" spans="14:14">
      <c r="N3833" s="3">
        <v>1757887585.7848544</v>
      </c>
    </row>
    <row r="3834" spans="14:14">
      <c r="N3834" s="3">
        <v>1755769340.387882</v>
      </c>
    </row>
    <row r="3835" spans="14:14">
      <c r="N3835" s="3">
        <v>2230362565.5961308</v>
      </c>
    </row>
    <row r="3836" spans="14:14">
      <c r="N3836" s="3">
        <v>2104659868.9556727</v>
      </c>
    </row>
    <row r="3837" spans="14:14">
      <c r="N3837" s="3">
        <v>2527425949.0327578</v>
      </c>
    </row>
    <row r="3838" spans="14:14">
      <c r="N3838" s="3">
        <v>2105215867.7372956</v>
      </c>
    </row>
    <row r="3839" spans="14:14">
      <c r="N3839" s="3">
        <v>3419117130.0290065</v>
      </c>
    </row>
    <row r="3840" spans="14:14">
      <c r="N3840" s="3">
        <v>1087619753.6905622</v>
      </c>
    </row>
    <row r="3841" spans="14:14">
      <c r="N3841" s="3">
        <v>3488013040.0453191</v>
      </c>
    </row>
    <row r="3842" spans="14:14">
      <c r="N3842" s="3">
        <v>1355533942.182801</v>
      </c>
    </row>
    <row r="3843" spans="14:14">
      <c r="N3843" s="3">
        <v>2385182843.0920143</v>
      </c>
    </row>
    <row r="3844" spans="14:14">
      <c r="N3844" s="3">
        <v>1865848926.0782633</v>
      </c>
    </row>
    <row r="3845" spans="14:14">
      <c r="N3845" s="3">
        <v>1857434688.6416757</v>
      </c>
    </row>
    <row r="3846" spans="14:14">
      <c r="N3846" s="3">
        <v>1463331547.8099477</v>
      </c>
    </row>
    <row r="3847" spans="14:14">
      <c r="N3847" s="3">
        <v>5269188952.6334152</v>
      </c>
    </row>
    <row r="3848" spans="14:14">
      <c r="N3848" s="3">
        <v>1901500279.3920655</v>
      </c>
    </row>
    <row r="3849" spans="14:14">
      <c r="N3849" s="3">
        <v>700405230.77000368</v>
      </c>
    </row>
    <row r="3850" spans="14:14">
      <c r="N3850" s="3">
        <v>1620425254.0381916</v>
      </c>
    </row>
    <row r="3851" spans="14:14">
      <c r="N3851" s="3">
        <v>880595637.99691129</v>
      </c>
    </row>
    <row r="3852" spans="14:14">
      <c r="N3852" s="3">
        <v>1726721611.3168495</v>
      </c>
    </row>
    <row r="3853" spans="14:14">
      <c r="N3853" s="3">
        <v>1412277013.3440044</v>
      </c>
    </row>
    <row r="3854" spans="14:14">
      <c r="N3854" s="3">
        <v>2440227904.1632767</v>
      </c>
    </row>
    <row r="3855" spans="14:14">
      <c r="N3855" s="3">
        <v>4251529694.6789141</v>
      </c>
    </row>
    <row r="3856" spans="14:14">
      <c r="N3856" s="3">
        <v>4138897078.0987473</v>
      </c>
    </row>
    <row r="3857" spans="14:14">
      <c r="N3857" s="3">
        <v>1798335146.4135659</v>
      </c>
    </row>
    <row r="3858" spans="14:14">
      <c r="N3858" s="3">
        <v>1551594058.1914594</v>
      </c>
    </row>
    <row r="3859" spans="14:14">
      <c r="N3859" s="3">
        <v>2909170094.330946</v>
      </c>
    </row>
    <row r="3860" spans="14:14">
      <c r="N3860" s="3">
        <v>1350455030.2459495</v>
      </c>
    </row>
    <row r="3861" spans="14:14">
      <c r="N3861" s="3">
        <v>2029435008.8134096</v>
      </c>
    </row>
    <row r="3862" spans="14:14">
      <c r="N3862" s="3">
        <v>1853825895.4733536</v>
      </c>
    </row>
    <row r="3863" spans="14:14">
      <c r="N3863" s="3">
        <v>1416534864.6011183</v>
      </c>
    </row>
    <row r="3864" spans="14:14">
      <c r="N3864" s="3">
        <v>1459158335.4008839</v>
      </c>
    </row>
    <row r="3865" spans="14:14">
      <c r="N3865" s="3">
        <v>4139625745.1843953</v>
      </c>
    </row>
    <row r="3866" spans="14:14">
      <c r="N3866" s="3">
        <v>1177781322.2513642</v>
      </c>
    </row>
    <row r="3867" spans="14:14">
      <c r="N3867" s="3">
        <v>2403735971.0860138</v>
      </c>
    </row>
    <row r="3868" spans="14:14">
      <c r="N3868" s="3">
        <v>2798577210.4337788</v>
      </c>
    </row>
    <row r="3869" spans="14:14">
      <c r="N3869" s="3">
        <v>1934022724.0607817</v>
      </c>
    </row>
    <row r="3870" spans="14:14">
      <c r="N3870" s="3">
        <v>2546194467.4403629</v>
      </c>
    </row>
    <row r="3871" spans="14:14">
      <c r="N3871" s="3">
        <v>2230185982.8909464</v>
      </c>
    </row>
    <row r="3872" spans="14:14">
      <c r="N3872" s="3">
        <v>1498666487.4324541</v>
      </c>
    </row>
    <row r="3873" spans="14:14">
      <c r="N3873" s="3">
        <v>3109198789.3932524</v>
      </c>
    </row>
    <row r="3874" spans="14:14">
      <c r="N3874" s="3">
        <v>2279300985.9043565</v>
      </c>
    </row>
    <row r="3875" spans="14:14">
      <c r="N3875" s="3">
        <v>2245202501.4463139</v>
      </c>
    </row>
    <row r="3876" spans="14:14">
      <c r="N3876" s="3">
        <v>3328708179.7536335</v>
      </c>
    </row>
    <row r="3877" spans="14:14">
      <c r="N3877" s="3">
        <v>1482969192.8215885</v>
      </c>
    </row>
    <row r="3878" spans="14:14">
      <c r="N3878" s="3">
        <v>1414754528.6959255</v>
      </c>
    </row>
    <row r="3879" spans="14:14">
      <c r="N3879" s="3">
        <v>3143808860.3750086</v>
      </c>
    </row>
    <row r="3880" spans="14:14">
      <c r="N3880" s="3">
        <v>2397721656.0228825</v>
      </c>
    </row>
    <row r="3881" spans="14:14">
      <c r="N3881" s="3">
        <v>1768000770.2704611</v>
      </c>
    </row>
    <row r="3882" spans="14:14">
      <c r="N3882" s="3">
        <v>1130896713.0568018</v>
      </c>
    </row>
    <row r="3883" spans="14:14">
      <c r="N3883" s="3">
        <v>3106130806.8819876</v>
      </c>
    </row>
    <row r="3884" spans="14:14">
      <c r="N3884" s="3">
        <v>1206852584.1052661</v>
      </c>
    </row>
    <row r="3885" spans="14:14">
      <c r="N3885" s="3">
        <v>1353970597.4756238</v>
      </c>
    </row>
    <row r="3886" spans="14:14">
      <c r="N3886" s="3">
        <v>2177075984.6288667</v>
      </c>
    </row>
    <row r="3887" spans="14:14">
      <c r="N3887" s="3">
        <v>3746181540.4282584</v>
      </c>
    </row>
    <row r="3888" spans="14:14">
      <c r="N3888" s="3">
        <v>1712928299.8414018</v>
      </c>
    </row>
    <row r="3889" spans="14:14">
      <c r="N3889" s="3">
        <v>1925797012.0608659</v>
      </c>
    </row>
    <row r="3890" spans="14:14">
      <c r="N3890" s="3">
        <v>2533167766.0955982</v>
      </c>
    </row>
    <row r="3891" spans="14:14">
      <c r="N3891" s="3">
        <v>933962131.96919727</v>
      </c>
    </row>
    <row r="3892" spans="14:14">
      <c r="N3892" s="3">
        <v>1377589617.9498734</v>
      </c>
    </row>
    <row r="3893" spans="14:14">
      <c r="N3893" s="3">
        <v>2536794471.3783813</v>
      </c>
    </row>
    <row r="3894" spans="14:14">
      <c r="N3894" s="3">
        <v>2015000286.0877919</v>
      </c>
    </row>
    <row r="3895" spans="14:14">
      <c r="N3895" s="3">
        <v>1557043180.7721884</v>
      </c>
    </row>
    <row r="3896" spans="14:14">
      <c r="N3896" s="3">
        <v>2192504850.7438726</v>
      </c>
    </row>
    <row r="3897" spans="14:14">
      <c r="N3897" s="3">
        <v>2038370483.5257607</v>
      </c>
    </row>
    <row r="3898" spans="14:14">
      <c r="N3898" s="3">
        <v>2061059821.41237</v>
      </c>
    </row>
    <row r="3899" spans="14:14">
      <c r="N3899" s="3">
        <v>3942113089.3157916</v>
      </c>
    </row>
    <row r="3900" spans="14:14">
      <c r="N3900" s="3">
        <v>3199139266.1124063</v>
      </c>
    </row>
    <row r="3901" spans="14:14">
      <c r="N3901" s="3">
        <v>1207032334.8421822</v>
      </c>
    </row>
    <row r="3902" spans="14:14">
      <c r="N3902" s="3">
        <v>2486298236.6731558</v>
      </c>
    </row>
    <row r="3903" spans="14:14">
      <c r="N3903" s="3">
        <v>1472237962.444555</v>
      </c>
    </row>
    <row r="3904" spans="14:14">
      <c r="N3904" s="3">
        <v>2233010995.1587682</v>
      </c>
    </row>
    <row r="3905" spans="14:14">
      <c r="N3905" s="3">
        <v>4911238780.7064028</v>
      </c>
    </row>
    <row r="3906" spans="14:14">
      <c r="N3906" s="3">
        <v>1688984629.0102081</v>
      </c>
    </row>
    <row r="3907" spans="14:14">
      <c r="N3907" s="3">
        <v>1018309974.8230526</v>
      </c>
    </row>
    <row r="3908" spans="14:14">
      <c r="N3908" s="3">
        <v>902180768.13190734</v>
      </c>
    </row>
    <row r="3909" spans="14:14">
      <c r="N3909" s="3">
        <v>1820010808.3065102</v>
      </c>
    </row>
    <row r="3910" spans="14:14">
      <c r="N3910" s="3">
        <v>2046788488.4813001</v>
      </c>
    </row>
    <row r="3911" spans="14:14">
      <c r="N3911" s="3">
        <v>1962237581.934242</v>
      </c>
    </row>
    <row r="3912" spans="14:14">
      <c r="N3912" s="3">
        <v>1995908399.1925063</v>
      </c>
    </row>
    <row r="3913" spans="14:14">
      <c r="N3913" s="3">
        <v>1358131214.8688931</v>
      </c>
    </row>
    <row r="3914" spans="14:14">
      <c r="N3914" s="3">
        <v>1362320170.5593126</v>
      </c>
    </row>
    <row r="3915" spans="14:14">
      <c r="N3915" s="3">
        <v>1400302856.9896932</v>
      </c>
    </row>
    <row r="3916" spans="14:14">
      <c r="N3916" s="3">
        <v>2066705645.7101192</v>
      </c>
    </row>
    <row r="3917" spans="14:14">
      <c r="N3917" s="3">
        <v>1815226836.0456004</v>
      </c>
    </row>
    <row r="3918" spans="14:14">
      <c r="N3918" s="3">
        <v>2622398423.5590367</v>
      </c>
    </row>
    <row r="3919" spans="14:14">
      <c r="N3919" s="3">
        <v>955359964.79241991</v>
      </c>
    </row>
    <row r="3920" spans="14:14">
      <c r="N3920" s="3">
        <v>2642893657.9935322</v>
      </c>
    </row>
    <row r="3921" spans="14:14">
      <c r="N3921" s="3">
        <v>2343032575.2715378</v>
      </c>
    </row>
    <row r="3922" spans="14:14">
      <c r="N3922" s="3">
        <v>3154459029.7627888</v>
      </c>
    </row>
    <row r="3923" spans="14:14">
      <c r="N3923" s="3">
        <v>3465114702.0996442</v>
      </c>
    </row>
    <row r="3924" spans="14:14">
      <c r="N3924" s="3">
        <v>1763932894.8145497</v>
      </c>
    </row>
    <row r="3925" spans="14:14">
      <c r="N3925" s="3">
        <v>1300013045.9477477</v>
      </c>
    </row>
    <row r="3926" spans="14:14">
      <c r="N3926" s="3">
        <v>2360955854.453598</v>
      </c>
    </row>
    <row r="3927" spans="14:14">
      <c r="N3927" s="3">
        <v>1479002039.080302</v>
      </c>
    </row>
    <row r="3928" spans="14:14">
      <c r="N3928" s="3">
        <v>2514316866.6145124</v>
      </c>
    </row>
    <row r="3929" spans="14:14">
      <c r="N3929" s="3">
        <v>1306235808.1905053</v>
      </c>
    </row>
    <row r="3930" spans="14:14">
      <c r="N3930" s="3">
        <v>2988066797.7191992</v>
      </c>
    </row>
    <row r="3931" spans="14:14">
      <c r="N3931" s="3">
        <v>1745150063.7557068</v>
      </c>
    </row>
    <row r="3932" spans="14:14">
      <c r="N3932" s="3">
        <v>1247384902.263597</v>
      </c>
    </row>
    <row r="3933" spans="14:14">
      <c r="N3933" s="3">
        <v>2087305280.209403</v>
      </c>
    </row>
    <row r="3934" spans="14:14">
      <c r="N3934" s="3">
        <v>4679977279.4492683</v>
      </c>
    </row>
    <row r="3935" spans="14:14">
      <c r="N3935" s="3">
        <v>2416062865.4237256</v>
      </c>
    </row>
    <row r="3936" spans="14:14">
      <c r="N3936" s="3">
        <v>3031674214.71731</v>
      </c>
    </row>
    <row r="3937" spans="14:14">
      <c r="N3937" s="3">
        <v>4731925341.2600641</v>
      </c>
    </row>
    <row r="3938" spans="14:14">
      <c r="N3938" s="3">
        <v>2013411261.9080925</v>
      </c>
    </row>
    <row r="3939" spans="14:14">
      <c r="N3939" s="3">
        <v>1532245625.8829651</v>
      </c>
    </row>
    <row r="3940" spans="14:14">
      <c r="N3940" s="3">
        <v>1377145920.9525886</v>
      </c>
    </row>
    <row r="3941" spans="14:14">
      <c r="N3941" s="3">
        <v>1485375937.7689834</v>
      </c>
    </row>
    <row r="3942" spans="14:14">
      <c r="N3942" s="3">
        <v>1664233387.5801742</v>
      </c>
    </row>
    <row r="3943" spans="14:14">
      <c r="N3943" s="3">
        <v>2062084631.5951319</v>
      </c>
    </row>
    <row r="3944" spans="14:14">
      <c r="N3944" s="3">
        <v>2060731612.5104725</v>
      </c>
    </row>
    <row r="3945" spans="14:14">
      <c r="N3945" s="3">
        <v>1653172368.9241457</v>
      </c>
    </row>
    <row r="3946" spans="14:14">
      <c r="N3946" s="3">
        <v>1862966967.4622636</v>
      </c>
    </row>
    <row r="3947" spans="14:14">
      <c r="N3947" s="3">
        <v>1777797044.4693544</v>
      </c>
    </row>
    <row r="3948" spans="14:14">
      <c r="N3948" s="3">
        <v>2794836178.5970073</v>
      </c>
    </row>
    <row r="3949" spans="14:14">
      <c r="N3949" s="3">
        <v>3023993993.5894723</v>
      </c>
    </row>
    <row r="3950" spans="14:14">
      <c r="N3950" s="3">
        <v>2433324516.1625705</v>
      </c>
    </row>
    <row r="3951" spans="14:14">
      <c r="N3951" s="3">
        <v>3415423784.5873237</v>
      </c>
    </row>
    <row r="3952" spans="14:14">
      <c r="N3952" s="3">
        <v>1288874999.5998187</v>
      </c>
    </row>
    <row r="3953" spans="14:14">
      <c r="N3953" s="3">
        <v>2081092126.3098948</v>
      </c>
    </row>
    <row r="3954" spans="14:14">
      <c r="N3954" s="3">
        <v>2264890426.7017908</v>
      </c>
    </row>
    <row r="3955" spans="14:14">
      <c r="N3955" s="3">
        <v>3515376706.9715371</v>
      </c>
    </row>
    <row r="3956" spans="14:14">
      <c r="N3956" s="3">
        <v>1596118692.7993987</v>
      </c>
    </row>
    <row r="3957" spans="14:14">
      <c r="N3957" s="3">
        <v>2889154452.2687445</v>
      </c>
    </row>
    <row r="3958" spans="14:14">
      <c r="N3958" s="3">
        <v>1878940604.3899562</v>
      </c>
    </row>
    <row r="3959" spans="14:14">
      <c r="N3959" s="3">
        <v>2872866548.1310668</v>
      </c>
    </row>
    <row r="3960" spans="14:14">
      <c r="N3960" s="3">
        <v>1170515687.5510795</v>
      </c>
    </row>
    <row r="3961" spans="14:14">
      <c r="N3961" s="3">
        <v>2559234783.4503956</v>
      </c>
    </row>
    <row r="3962" spans="14:14">
      <c r="N3962" s="3">
        <v>1891602689.3665609</v>
      </c>
    </row>
    <row r="3963" spans="14:14">
      <c r="N3963" s="3">
        <v>2063680329.7192402</v>
      </c>
    </row>
    <row r="3964" spans="14:14">
      <c r="N3964" s="3">
        <v>3004651107.6791577</v>
      </c>
    </row>
    <row r="3965" spans="14:14">
      <c r="N3965" s="3">
        <v>1589067190.965611</v>
      </c>
    </row>
    <row r="3966" spans="14:14">
      <c r="N3966" s="3">
        <v>2428936109.7525811</v>
      </c>
    </row>
    <row r="3967" spans="14:14">
      <c r="N3967" s="3">
        <v>3964435587.7957907</v>
      </c>
    </row>
    <row r="3968" spans="14:14">
      <c r="N3968" s="3">
        <v>1932416044.0300539</v>
      </c>
    </row>
    <row r="3969" spans="14:14">
      <c r="N3969" s="3">
        <v>1992790508.3713677</v>
      </c>
    </row>
    <row r="3970" spans="14:14">
      <c r="N3970" s="3">
        <v>1795365331.9692066</v>
      </c>
    </row>
    <row r="3971" spans="14:14">
      <c r="N3971" s="3">
        <v>1538957029.8909583</v>
      </c>
    </row>
    <row r="3972" spans="14:14">
      <c r="N3972" s="3">
        <v>3252749743.4230723</v>
      </c>
    </row>
    <row r="3973" spans="14:14">
      <c r="N3973" s="3">
        <v>1642454616.307066</v>
      </c>
    </row>
    <row r="3974" spans="14:14">
      <c r="N3974" s="3">
        <v>1394894382.2922781</v>
      </c>
    </row>
    <row r="3975" spans="14:14">
      <c r="N3975" s="3">
        <v>3562429098.8809214</v>
      </c>
    </row>
    <row r="3976" spans="14:14">
      <c r="N3976" s="3">
        <v>2850341940.6075177</v>
      </c>
    </row>
    <row r="3977" spans="14:14">
      <c r="N3977" s="3">
        <v>3780070777.9241834</v>
      </c>
    </row>
    <row r="3978" spans="14:14">
      <c r="N3978" s="3">
        <v>2454664783.3236222</v>
      </c>
    </row>
    <row r="3979" spans="14:14">
      <c r="N3979" s="3">
        <v>1777349288.9877822</v>
      </c>
    </row>
    <row r="3980" spans="14:14">
      <c r="N3980" s="3">
        <v>1412384359.2281671</v>
      </c>
    </row>
    <row r="3981" spans="14:14">
      <c r="N3981" s="3">
        <v>2147802885.1925163</v>
      </c>
    </row>
    <row r="3982" spans="14:14">
      <c r="N3982" s="3">
        <v>3912942170.9389715</v>
      </c>
    </row>
    <row r="3983" spans="14:14">
      <c r="N3983" s="3">
        <v>1645844229.5161445</v>
      </c>
    </row>
    <row r="3984" spans="14:14">
      <c r="N3984" s="3">
        <v>1644327020.6958737</v>
      </c>
    </row>
    <row r="3985" spans="14:14">
      <c r="N3985" s="3">
        <v>1845513006.7480807</v>
      </c>
    </row>
    <row r="3986" spans="14:14">
      <c r="N3986" s="3">
        <v>2501886838.5680761</v>
      </c>
    </row>
    <row r="3987" spans="14:14">
      <c r="N3987" s="3">
        <v>1427172226.1075404</v>
      </c>
    </row>
    <row r="3988" spans="14:14">
      <c r="N3988" s="3">
        <v>2793380692.8206429</v>
      </c>
    </row>
    <row r="3989" spans="14:14">
      <c r="N3989" s="3">
        <v>1878935261.5664127</v>
      </c>
    </row>
    <row r="3990" spans="14:14">
      <c r="N3990" s="3">
        <v>1547135721.406076</v>
      </c>
    </row>
    <row r="3991" spans="14:14">
      <c r="N3991" s="3">
        <v>2281428045.9316316</v>
      </c>
    </row>
    <row r="3992" spans="14:14">
      <c r="N3992" s="3">
        <v>1375362739.8707972</v>
      </c>
    </row>
    <row r="3993" spans="14:14">
      <c r="N3993" s="3">
        <v>1789537758.0760801</v>
      </c>
    </row>
    <row r="3994" spans="14:14">
      <c r="N3994" s="3">
        <v>2052940412.0054579</v>
      </c>
    </row>
    <row r="3995" spans="14:14">
      <c r="N3995" s="3">
        <v>2286251817.9824576</v>
      </c>
    </row>
    <row r="3996" spans="14:14">
      <c r="N3996" s="3">
        <v>2804881609.603971</v>
      </c>
    </row>
    <row r="3997" spans="14:14">
      <c r="N3997" s="3">
        <v>1134145929.407829</v>
      </c>
    </row>
    <row r="3998" spans="14:14">
      <c r="N3998" s="3">
        <v>2489397017.9418354</v>
      </c>
    </row>
    <row r="3999" spans="14:14">
      <c r="N3999" s="3">
        <v>966613551.03629577</v>
      </c>
    </row>
    <row r="4000" spans="14:14">
      <c r="N4000" s="3">
        <v>1488380277.7665238</v>
      </c>
    </row>
    <row r="4001" spans="14:14">
      <c r="N4001" s="3">
        <v>2297808018.9454308</v>
      </c>
    </row>
    <row r="4002" spans="14:14">
      <c r="N4002" s="3">
        <v>2016442776.5068669</v>
      </c>
    </row>
    <row r="4003" spans="14:14">
      <c r="N4003" s="3">
        <v>2583975003.8559446</v>
      </c>
    </row>
    <row r="4004" spans="14:14">
      <c r="N4004" s="3">
        <v>2224871433.9718518</v>
      </c>
    </row>
    <row r="4005" spans="14:14">
      <c r="N4005" s="3">
        <v>1738269884.3756986</v>
      </c>
    </row>
    <row r="4006" spans="14:14">
      <c r="N4006" s="3">
        <v>3247032535.5519433</v>
      </c>
    </row>
    <row r="4007" spans="14:14">
      <c r="N4007" s="3">
        <v>1745161456.8105388</v>
      </c>
    </row>
    <row r="4008" spans="14:14">
      <c r="N4008" s="3">
        <v>2356370528.5225196</v>
      </c>
    </row>
    <row r="4009" spans="14:14">
      <c r="N4009" s="3">
        <v>2564498244.3896656</v>
      </c>
    </row>
    <row r="4010" spans="14:14">
      <c r="N4010" s="3">
        <v>1854140423.932919</v>
      </c>
    </row>
    <row r="4011" spans="14:14">
      <c r="N4011" s="3">
        <v>2389348897.6880598</v>
      </c>
    </row>
    <row r="4012" spans="14:14">
      <c r="N4012" s="3">
        <v>2473848467.1081705</v>
      </c>
    </row>
    <row r="4013" spans="14:14">
      <c r="N4013" s="3">
        <v>3263655199.953166</v>
      </c>
    </row>
    <row r="4014" spans="14:14">
      <c r="N4014" s="3">
        <v>1986686853.0446739</v>
      </c>
    </row>
    <row r="4015" spans="14:14">
      <c r="N4015" s="3">
        <v>994548235.67108738</v>
      </c>
    </row>
    <row r="4016" spans="14:14">
      <c r="N4016" s="3">
        <v>1148113530.1758304</v>
      </c>
    </row>
    <row r="4017" spans="14:14">
      <c r="N4017" s="3">
        <v>2106580883.74405</v>
      </c>
    </row>
    <row r="4018" spans="14:14">
      <c r="N4018" s="3">
        <v>2797374130.6078095</v>
      </c>
    </row>
    <row r="4019" spans="14:14">
      <c r="N4019" s="3">
        <v>2558372917.0801058</v>
      </c>
    </row>
    <row r="4020" spans="14:14">
      <c r="N4020" s="3">
        <v>4230484242.7310824</v>
      </c>
    </row>
    <row r="4021" spans="14:14">
      <c r="N4021" s="3">
        <v>1739890325.5413818</v>
      </c>
    </row>
    <row r="4022" spans="14:14">
      <c r="N4022" s="3">
        <v>2715824339.4847832</v>
      </c>
    </row>
    <row r="4023" spans="14:14">
      <c r="N4023" s="3">
        <v>3109256373.7097754</v>
      </c>
    </row>
    <row r="4024" spans="14:14">
      <c r="N4024" s="3">
        <v>2638987305.5009661</v>
      </c>
    </row>
    <row r="4025" spans="14:14">
      <c r="N4025" s="3">
        <v>2107391166.0926235</v>
      </c>
    </row>
    <row r="4026" spans="14:14">
      <c r="N4026" s="3">
        <v>1491043340.5113535</v>
      </c>
    </row>
    <row r="4027" spans="14:14">
      <c r="N4027" s="3">
        <v>1509246030.139096</v>
      </c>
    </row>
    <row r="4028" spans="14:14">
      <c r="N4028" s="3">
        <v>3246356123.2023425</v>
      </c>
    </row>
    <row r="4029" spans="14:14">
      <c r="N4029" s="3">
        <v>777472224.51735008</v>
      </c>
    </row>
    <row r="4030" spans="14:14">
      <c r="N4030" s="3">
        <v>2048058691.4536018</v>
      </c>
    </row>
    <row r="4031" spans="14:14">
      <c r="N4031" s="3">
        <v>2164509552.5945311</v>
      </c>
    </row>
    <row r="4032" spans="14:14">
      <c r="N4032" s="3">
        <v>2610279381.9930539</v>
      </c>
    </row>
    <row r="4033" spans="14:14">
      <c r="N4033" s="3">
        <v>1665146494.2211959</v>
      </c>
    </row>
    <row r="4034" spans="14:14">
      <c r="N4034" s="3">
        <v>1284259696.6349533</v>
      </c>
    </row>
    <row r="4035" spans="14:14">
      <c r="N4035" s="3">
        <v>2871825843.9512725</v>
      </c>
    </row>
    <row r="4036" spans="14:14">
      <c r="N4036" s="3">
        <v>2865964726.7923336</v>
      </c>
    </row>
    <row r="4037" spans="14:14">
      <c r="N4037" s="3">
        <v>3363533258.8629498</v>
      </c>
    </row>
    <row r="4038" spans="14:14">
      <c r="N4038" s="3">
        <v>2293414858.2920332</v>
      </c>
    </row>
    <row r="4039" spans="14:14">
      <c r="N4039" s="3">
        <v>965519974.91951299</v>
      </c>
    </row>
    <row r="4040" spans="14:14">
      <c r="N4040" s="3">
        <v>2419896682.8426771</v>
      </c>
    </row>
    <row r="4041" spans="14:14">
      <c r="N4041" s="3">
        <v>2801020989.8602371</v>
      </c>
    </row>
    <row r="4042" spans="14:14">
      <c r="N4042" s="3">
        <v>6943220553.3234129</v>
      </c>
    </row>
    <row r="4043" spans="14:14">
      <c r="N4043" s="3">
        <v>2900528208.8231478</v>
      </c>
    </row>
    <row r="4044" spans="14:14">
      <c r="N4044" s="3">
        <v>1806531823.2541442</v>
      </c>
    </row>
    <row r="4045" spans="14:14">
      <c r="N4045" s="3">
        <v>1748851109.9392416</v>
      </c>
    </row>
    <row r="4046" spans="14:14">
      <c r="N4046" s="3">
        <v>1007612632.3578591</v>
      </c>
    </row>
    <row r="4047" spans="14:14">
      <c r="N4047" s="3">
        <v>1586741528.7118356</v>
      </c>
    </row>
    <row r="4048" spans="14:14">
      <c r="N4048" s="3">
        <v>1405011897.8304646</v>
      </c>
    </row>
    <row r="4049" spans="14:14">
      <c r="N4049" s="3">
        <v>2294168563.3345895</v>
      </c>
    </row>
    <row r="4050" spans="14:14">
      <c r="N4050" s="3">
        <v>2497621151.8771162</v>
      </c>
    </row>
    <row r="4051" spans="14:14">
      <c r="N4051" s="3">
        <v>2374574392.9884715</v>
      </c>
    </row>
    <row r="4052" spans="14:14">
      <c r="N4052" s="3">
        <v>2948033032.7193456</v>
      </c>
    </row>
    <row r="4053" spans="14:14">
      <c r="N4053" s="3">
        <v>798702810.92040253</v>
      </c>
    </row>
    <row r="4054" spans="14:14">
      <c r="N4054" s="3">
        <v>1796130098.2125216</v>
      </c>
    </row>
    <row r="4055" spans="14:14">
      <c r="N4055" s="3">
        <v>1274590166.2036412</v>
      </c>
    </row>
    <row r="4056" spans="14:14">
      <c r="N4056" s="3">
        <v>1702692377.8009486</v>
      </c>
    </row>
    <row r="4057" spans="14:14">
      <c r="N4057" s="3">
        <v>1785143641.9519746</v>
      </c>
    </row>
    <row r="4058" spans="14:14">
      <c r="N4058" s="3">
        <v>2088490970.257988</v>
      </c>
    </row>
    <row r="4059" spans="14:14">
      <c r="N4059" s="3">
        <v>1098564246.3580883</v>
      </c>
    </row>
    <row r="4060" spans="14:14">
      <c r="N4060" s="3">
        <v>3703913251.3495135</v>
      </c>
    </row>
    <row r="4061" spans="14:14">
      <c r="N4061" s="3">
        <v>1336594006.243355</v>
      </c>
    </row>
    <row r="4062" spans="14:14">
      <c r="N4062" s="3">
        <v>1566824067.1971567</v>
      </c>
    </row>
    <row r="4063" spans="14:14">
      <c r="N4063" s="3">
        <v>3599709071.0502114</v>
      </c>
    </row>
    <row r="4064" spans="14:14">
      <c r="N4064" s="3">
        <v>2000193237.4810266</v>
      </c>
    </row>
    <row r="4065" spans="14:14">
      <c r="N4065" s="3">
        <v>2325574355.6708517</v>
      </c>
    </row>
    <row r="4066" spans="14:14">
      <c r="N4066" s="3">
        <v>1729173703.1594934</v>
      </c>
    </row>
    <row r="4067" spans="14:14">
      <c r="N4067" s="3">
        <v>3119243700.8691154</v>
      </c>
    </row>
    <row r="4068" spans="14:14">
      <c r="N4068" s="3">
        <v>2676421813.1622605</v>
      </c>
    </row>
    <row r="4069" spans="14:14">
      <c r="N4069" s="3">
        <v>1336496886.6758235</v>
      </c>
    </row>
    <row r="4070" spans="14:14">
      <c r="N4070" s="3">
        <v>4459994200.8281641</v>
      </c>
    </row>
    <row r="4071" spans="14:14">
      <c r="N4071" s="3">
        <v>1912175115.2966046</v>
      </c>
    </row>
    <row r="4072" spans="14:14">
      <c r="N4072" s="3">
        <v>1278137309.6133585</v>
      </c>
    </row>
    <row r="4073" spans="14:14">
      <c r="N4073" s="3">
        <v>2415153136.0792751</v>
      </c>
    </row>
    <row r="4074" spans="14:14">
      <c r="N4074" s="3">
        <v>1445388235.6638584</v>
      </c>
    </row>
    <row r="4075" spans="14:14">
      <c r="N4075" s="3">
        <v>2194112917.0309148</v>
      </c>
    </row>
    <row r="4076" spans="14:14">
      <c r="N4076" s="3">
        <v>2470963154.9287848</v>
      </c>
    </row>
    <row r="4077" spans="14:14">
      <c r="N4077" s="3">
        <v>2108185707.8796139</v>
      </c>
    </row>
    <row r="4078" spans="14:14">
      <c r="N4078" s="3">
        <v>1838106781.236414</v>
      </c>
    </row>
    <row r="4079" spans="14:14">
      <c r="N4079" s="3">
        <v>2431540895.4773965</v>
      </c>
    </row>
    <row r="4080" spans="14:14">
      <c r="N4080" s="3">
        <v>2422999696.8114471</v>
      </c>
    </row>
    <row r="4081" spans="14:14">
      <c r="N4081" s="3">
        <v>1973962494.7077057</v>
      </c>
    </row>
    <row r="4082" spans="14:14">
      <c r="N4082" s="3">
        <v>4076751631.2205801</v>
      </c>
    </row>
    <row r="4083" spans="14:14">
      <c r="N4083" s="3">
        <v>1719545277.5241468</v>
      </c>
    </row>
    <row r="4084" spans="14:14">
      <c r="N4084" s="3">
        <v>2310105044.470356</v>
      </c>
    </row>
    <row r="4085" spans="14:14">
      <c r="N4085" s="3">
        <v>1090521297.418453</v>
      </c>
    </row>
    <row r="4086" spans="14:14">
      <c r="N4086" s="3">
        <v>1752281602.077661</v>
      </c>
    </row>
    <row r="4087" spans="14:14">
      <c r="N4087" s="3">
        <v>1579841827.063556</v>
      </c>
    </row>
    <row r="4088" spans="14:14">
      <c r="N4088" s="3">
        <v>2120768671.4124193</v>
      </c>
    </row>
    <row r="4089" spans="14:14">
      <c r="N4089" s="3">
        <v>2477846095.5439887</v>
      </c>
    </row>
    <row r="4090" spans="14:14">
      <c r="N4090" s="3">
        <v>1761579150.9883671</v>
      </c>
    </row>
    <row r="4091" spans="14:14">
      <c r="N4091" s="3">
        <v>1369218726.5717506</v>
      </c>
    </row>
    <row r="4092" spans="14:14">
      <c r="N4092" s="3">
        <v>1787331736.1013479</v>
      </c>
    </row>
    <row r="4093" spans="14:14">
      <c r="N4093" s="3">
        <v>1980561345.8893712</v>
      </c>
    </row>
    <row r="4094" spans="14:14">
      <c r="N4094" s="3">
        <v>1093166605.4388723</v>
      </c>
    </row>
    <row r="4095" spans="14:14">
      <c r="N4095" s="3">
        <v>1392773854.0915403</v>
      </c>
    </row>
    <row r="4096" spans="14:14">
      <c r="N4096" s="3">
        <v>1669362398.5622909</v>
      </c>
    </row>
    <row r="4097" spans="14:14">
      <c r="N4097" s="3">
        <v>1961391029.2759664</v>
      </c>
    </row>
    <row r="4098" spans="14:14">
      <c r="N4098" s="3">
        <v>1943946592.1063895</v>
      </c>
    </row>
    <row r="4099" spans="14:14">
      <c r="N4099" s="3">
        <v>1754405593.7756963</v>
      </c>
    </row>
    <row r="4100" spans="14:14">
      <c r="N4100" s="3">
        <v>3392976993.1506453</v>
      </c>
    </row>
    <row r="4101" spans="14:14">
      <c r="N4101" s="3">
        <v>4186981807.2478008</v>
      </c>
    </row>
    <row r="4102" spans="14:14">
      <c r="N4102" s="3">
        <v>1811633612.2727637</v>
      </c>
    </row>
    <row r="4103" spans="14:14">
      <c r="N4103" s="3">
        <v>2156735259.3466678</v>
      </c>
    </row>
    <row r="4104" spans="14:14">
      <c r="N4104" s="3">
        <v>2712624544.7119455</v>
      </c>
    </row>
    <row r="4105" spans="14:14">
      <c r="N4105" s="3">
        <v>1478555077.0009425</v>
      </c>
    </row>
    <row r="4106" spans="14:14">
      <c r="N4106" s="3">
        <v>2083177437.0255096</v>
      </c>
    </row>
    <row r="4107" spans="14:14">
      <c r="N4107" s="3">
        <v>2247826065.7833939</v>
      </c>
    </row>
    <row r="4108" spans="14:14">
      <c r="N4108" s="3">
        <v>2592122690.3913665</v>
      </c>
    </row>
    <row r="4109" spans="14:14">
      <c r="N4109" s="3">
        <v>3125318973.3924036</v>
      </c>
    </row>
    <row r="4110" spans="14:14">
      <c r="N4110" s="3">
        <v>857487215.80015624</v>
      </c>
    </row>
    <row r="4111" spans="14:14">
      <c r="N4111" s="3">
        <v>1556953741.4437766</v>
      </c>
    </row>
    <row r="4112" spans="14:14">
      <c r="N4112" s="3">
        <v>3362125725.0500193</v>
      </c>
    </row>
    <row r="4113" spans="14:14">
      <c r="N4113" s="3">
        <v>3279699872.8051996</v>
      </c>
    </row>
    <row r="4114" spans="14:14">
      <c r="N4114" s="3">
        <v>3788784975.5669165</v>
      </c>
    </row>
    <row r="4115" spans="14:14">
      <c r="N4115" s="3">
        <v>1751071407.9653513</v>
      </c>
    </row>
    <row r="4116" spans="14:14">
      <c r="N4116" s="3">
        <v>2635109805.4725466</v>
      </c>
    </row>
    <row r="4117" spans="14:14">
      <c r="N4117" s="3">
        <v>1439314869.062815</v>
      </c>
    </row>
    <row r="4118" spans="14:14">
      <c r="N4118" s="3">
        <v>1872476231.3303912</v>
      </c>
    </row>
    <row r="4119" spans="14:14">
      <c r="N4119" s="3">
        <v>2921459430.8697114</v>
      </c>
    </row>
    <row r="4120" spans="14:14">
      <c r="N4120" s="3">
        <v>3776358304.5029945</v>
      </c>
    </row>
    <row r="4121" spans="14:14">
      <c r="N4121" s="3">
        <v>2336748607.3809705</v>
      </c>
    </row>
    <row r="4122" spans="14:14">
      <c r="N4122" s="3">
        <v>3012614768.3897252</v>
      </c>
    </row>
    <row r="4123" spans="14:14">
      <c r="N4123" s="3">
        <v>2948105340.7780972</v>
      </c>
    </row>
    <row r="4124" spans="14:14">
      <c r="N4124" s="3">
        <v>1314885626.9985487</v>
      </c>
    </row>
    <row r="4125" spans="14:14">
      <c r="N4125" s="3">
        <v>2262150686.5701299</v>
      </c>
    </row>
    <row r="4126" spans="14:14">
      <c r="N4126" s="3">
        <v>1550970576.861263</v>
      </c>
    </row>
    <row r="4127" spans="14:14">
      <c r="N4127" s="3">
        <v>1535956837.1789901</v>
      </c>
    </row>
    <row r="4128" spans="14:14">
      <c r="N4128" s="3">
        <v>1900928793.8492625</v>
      </c>
    </row>
    <row r="4129" spans="14:14">
      <c r="N4129" s="3">
        <v>1097750725.5712018</v>
      </c>
    </row>
    <row r="4130" spans="14:14">
      <c r="N4130" s="3">
        <v>2626500142.0266013</v>
      </c>
    </row>
    <row r="4131" spans="14:14">
      <c r="N4131" s="3">
        <v>2670923189.5500088</v>
      </c>
    </row>
    <row r="4132" spans="14:14">
      <c r="N4132" s="3">
        <v>2117443836.7771249</v>
      </c>
    </row>
    <row r="4133" spans="14:14">
      <c r="N4133" s="3">
        <v>1953365292.3606589</v>
      </c>
    </row>
    <row r="4134" spans="14:14">
      <c r="N4134" s="3">
        <v>2581426773.4506154</v>
      </c>
    </row>
    <row r="4135" spans="14:14">
      <c r="N4135" s="3">
        <v>1233417815.8874848</v>
      </c>
    </row>
    <row r="4136" spans="14:14">
      <c r="N4136" s="3">
        <v>1763406858.8619297</v>
      </c>
    </row>
    <row r="4137" spans="14:14">
      <c r="N4137" s="3">
        <v>2491419460.2012358</v>
      </c>
    </row>
    <row r="4138" spans="14:14">
      <c r="N4138" s="3">
        <v>1214906847.2499819</v>
      </c>
    </row>
    <row r="4139" spans="14:14">
      <c r="N4139" s="3">
        <v>2196160744.2744932</v>
      </c>
    </row>
    <row r="4140" spans="14:14">
      <c r="N4140" s="3">
        <v>1485996314.4796741</v>
      </c>
    </row>
    <row r="4141" spans="14:14">
      <c r="N4141" s="3">
        <v>2511325521.1751709</v>
      </c>
    </row>
    <row r="4142" spans="14:14">
      <c r="N4142" s="3">
        <v>1738811583.9843738</v>
      </c>
    </row>
    <row r="4143" spans="14:14">
      <c r="N4143" s="3">
        <v>2065435125.3261397</v>
      </c>
    </row>
    <row r="4144" spans="14:14">
      <c r="N4144" s="3">
        <v>2202166727.4160681</v>
      </c>
    </row>
    <row r="4145" spans="14:14">
      <c r="N4145" s="3">
        <v>2005673379.5332944</v>
      </c>
    </row>
    <row r="4146" spans="14:14">
      <c r="N4146" s="3">
        <v>1912284623.20123</v>
      </c>
    </row>
    <row r="4147" spans="14:14">
      <c r="N4147" s="3">
        <v>2336540117.8067465</v>
      </c>
    </row>
    <row r="4148" spans="14:14">
      <c r="N4148" s="3">
        <v>2192318608.7763867</v>
      </c>
    </row>
    <row r="4149" spans="14:14">
      <c r="N4149" s="3">
        <v>1927973403.2383277</v>
      </c>
    </row>
    <row r="4150" spans="14:14">
      <c r="N4150" s="3">
        <v>2016567318.4201126</v>
      </c>
    </row>
    <row r="4151" spans="14:14">
      <c r="N4151" s="3">
        <v>1511093242.8420582</v>
      </c>
    </row>
    <row r="4152" spans="14:14">
      <c r="N4152" s="3">
        <v>2557653701.760304</v>
      </c>
    </row>
    <row r="4153" spans="14:14">
      <c r="N4153" s="3">
        <v>2856589859.0797515</v>
      </c>
    </row>
    <row r="4154" spans="14:14">
      <c r="N4154" s="3">
        <v>2053924351.1069009</v>
      </c>
    </row>
    <row r="4155" spans="14:14">
      <c r="N4155" s="3">
        <v>1636660006.6224546</v>
      </c>
    </row>
    <row r="4156" spans="14:14">
      <c r="N4156" s="3">
        <v>2037978341.1439619</v>
      </c>
    </row>
    <row r="4157" spans="14:14">
      <c r="N4157" s="3">
        <v>1437417384.2508433</v>
      </c>
    </row>
    <row r="4158" spans="14:14">
      <c r="N4158" s="3">
        <v>1480622691.0043712</v>
      </c>
    </row>
    <row r="4159" spans="14:14">
      <c r="N4159" s="3">
        <v>2195626366.4245095</v>
      </c>
    </row>
    <row r="4160" spans="14:14">
      <c r="N4160" s="3">
        <v>1289589001.3436892</v>
      </c>
    </row>
    <row r="4161" spans="14:14">
      <c r="N4161" s="3">
        <v>3706471205.8969655</v>
      </c>
    </row>
    <row r="4162" spans="14:14">
      <c r="N4162" s="3">
        <v>2440815037.9247532</v>
      </c>
    </row>
    <row r="4163" spans="14:14">
      <c r="N4163" s="3">
        <v>2309764805.763505</v>
      </c>
    </row>
    <row r="4164" spans="14:14">
      <c r="N4164" s="3">
        <v>1655802209.2786713</v>
      </c>
    </row>
    <row r="4165" spans="14:14">
      <c r="N4165" s="3">
        <v>1674685905.0065398</v>
      </c>
    </row>
    <row r="4166" spans="14:14">
      <c r="N4166" s="3">
        <v>2225291812.5113769</v>
      </c>
    </row>
    <row r="4167" spans="14:14">
      <c r="N4167" s="3">
        <v>1411450494.0031626</v>
      </c>
    </row>
    <row r="4168" spans="14:14">
      <c r="N4168" s="3">
        <v>1984400752.4058757</v>
      </c>
    </row>
    <row r="4169" spans="14:14">
      <c r="N4169" s="3">
        <v>1705401812.1216409</v>
      </c>
    </row>
    <row r="4170" spans="14:14">
      <c r="N4170" s="3">
        <v>1678121718.0312576</v>
      </c>
    </row>
    <row r="4171" spans="14:14">
      <c r="N4171" s="3">
        <v>2354962186.3002186</v>
      </c>
    </row>
    <row r="4172" spans="14:14">
      <c r="N4172" s="3">
        <v>2036193383.987884</v>
      </c>
    </row>
    <row r="4173" spans="14:14">
      <c r="N4173" s="3">
        <v>1595702778.6593189</v>
      </c>
    </row>
    <row r="4174" spans="14:14">
      <c r="N4174" s="3">
        <v>1037389025.9310961</v>
      </c>
    </row>
    <row r="4175" spans="14:14">
      <c r="N4175" s="3">
        <v>3321341226.9200635</v>
      </c>
    </row>
    <row r="4176" spans="14:14">
      <c r="N4176" s="3">
        <v>1949703217.6170168</v>
      </c>
    </row>
    <row r="4177" spans="14:14">
      <c r="N4177" s="3">
        <v>4323899267.0031071</v>
      </c>
    </row>
    <row r="4178" spans="14:14">
      <c r="N4178" s="3">
        <v>2723158987.4130616</v>
      </c>
    </row>
    <row r="4179" spans="14:14">
      <c r="N4179" s="3">
        <v>3134853645.013341</v>
      </c>
    </row>
    <row r="4180" spans="14:14">
      <c r="N4180" s="3">
        <v>1981921430.1543498</v>
      </c>
    </row>
    <row r="4181" spans="14:14">
      <c r="N4181" s="3">
        <v>2599551774.2029972</v>
      </c>
    </row>
    <row r="4182" spans="14:14">
      <c r="N4182" s="3">
        <v>1206068749.2173359</v>
      </c>
    </row>
    <row r="4183" spans="14:14">
      <c r="N4183" s="3">
        <v>3082535423.3322377</v>
      </c>
    </row>
    <row r="4184" spans="14:14">
      <c r="N4184" s="3">
        <v>2489901778.0523119</v>
      </c>
    </row>
    <row r="4185" spans="14:14">
      <c r="N4185" s="3">
        <v>1054337259.2827215</v>
      </c>
    </row>
    <row r="4186" spans="14:14">
      <c r="N4186" s="3">
        <v>4149531178.0741735</v>
      </c>
    </row>
    <row r="4187" spans="14:14">
      <c r="N4187" s="3">
        <v>3134233687.8693767</v>
      </c>
    </row>
    <row r="4188" spans="14:14">
      <c r="N4188" s="3">
        <v>859893723.31385612</v>
      </c>
    </row>
    <row r="4189" spans="14:14">
      <c r="N4189" s="3">
        <v>3670293344.9347095</v>
      </c>
    </row>
    <row r="4190" spans="14:14">
      <c r="N4190" s="3">
        <v>1589639968.0674605</v>
      </c>
    </row>
    <row r="4191" spans="14:14">
      <c r="N4191" s="3">
        <v>3165597776.6045308</v>
      </c>
    </row>
    <row r="4192" spans="14:14">
      <c r="N4192" s="3">
        <v>3530999554.8241577</v>
      </c>
    </row>
    <row r="4193" spans="14:14">
      <c r="N4193" s="3">
        <v>2259997391.3659582</v>
      </c>
    </row>
    <row r="4194" spans="14:14">
      <c r="N4194" s="3">
        <v>2673352130.4405847</v>
      </c>
    </row>
    <row r="4195" spans="14:14">
      <c r="N4195" s="3">
        <v>2029207519.5130847</v>
      </c>
    </row>
    <row r="4196" spans="14:14">
      <c r="N4196" s="3">
        <v>1762753065.0133269</v>
      </c>
    </row>
    <row r="4197" spans="14:14">
      <c r="N4197" s="3">
        <v>2373275800.7127814</v>
      </c>
    </row>
    <row r="4198" spans="14:14">
      <c r="N4198" s="3">
        <v>2261579424.5374217</v>
      </c>
    </row>
    <row r="4199" spans="14:14">
      <c r="N4199" s="3">
        <v>3997923884.5546293</v>
      </c>
    </row>
    <row r="4200" spans="14:14">
      <c r="N4200" s="3">
        <v>1894232136.295516</v>
      </c>
    </row>
    <row r="4201" spans="14:14">
      <c r="N4201" s="3">
        <v>3307991561.7234092</v>
      </c>
    </row>
    <row r="4202" spans="14:14">
      <c r="N4202" s="3">
        <v>3733283187.0809231</v>
      </c>
    </row>
    <row r="4203" spans="14:14">
      <c r="N4203" s="3">
        <v>1957291903.2282848</v>
      </c>
    </row>
    <row r="4204" spans="14:14">
      <c r="N4204" s="3">
        <v>1394066066.6328831</v>
      </c>
    </row>
    <row r="4205" spans="14:14">
      <c r="N4205" s="3">
        <v>1886217926.4682775</v>
      </c>
    </row>
    <row r="4206" spans="14:14">
      <c r="N4206" s="3">
        <v>2307061612.5218673</v>
      </c>
    </row>
    <row r="4207" spans="14:14">
      <c r="N4207" s="3">
        <v>2828348372.1407771</v>
      </c>
    </row>
    <row r="4208" spans="14:14">
      <c r="N4208" s="3">
        <v>1280286207.8644063</v>
      </c>
    </row>
    <row r="4209" spans="14:14">
      <c r="N4209" s="3">
        <v>4228335620.3202868</v>
      </c>
    </row>
    <row r="4210" spans="14:14">
      <c r="N4210" s="3">
        <v>1714683891.6076598</v>
      </c>
    </row>
    <row r="4211" spans="14:14">
      <c r="N4211" s="3">
        <v>1395917017.9563859</v>
      </c>
    </row>
    <row r="4212" spans="14:14">
      <c r="N4212" s="3">
        <v>1308510548.7074819</v>
      </c>
    </row>
    <row r="4213" spans="14:14">
      <c r="N4213" s="3">
        <v>2120270671.3602872</v>
      </c>
    </row>
    <row r="4214" spans="14:14">
      <c r="N4214" s="3">
        <v>2546835685.3719482</v>
      </c>
    </row>
    <row r="4215" spans="14:14">
      <c r="N4215" s="3">
        <v>1938143457.8868222</v>
      </c>
    </row>
    <row r="4216" spans="14:14">
      <c r="N4216" s="3">
        <v>1913252338.330879</v>
      </c>
    </row>
    <row r="4217" spans="14:14">
      <c r="N4217" s="3">
        <v>1184945091.8520384</v>
      </c>
    </row>
    <row r="4218" spans="14:14">
      <c r="N4218" s="3">
        <v>1231461330.2989328</v>
      </c>
    </row>
    <row r="4219" spans="14:14">
      <c r="N4219" s="3">
        <v>1718238702.6418142</v>
      </c>
    </row>
    <row r="4220" spans="14:14">
      <c r="N4220" s="3">
        <v>1031315985.1837826</v>
      </c>
    </row>
    <row r="4221" spans="14:14">
      <c r="N4221" s="3">
        <v>1541053757.2092741</v>
      </c>
    </row>
    <row r="4222" spans="14:14">
      <c r="N4222" s="3">
        <v>2493158543.4791903</v>
      </c>
    </row>
    <row r="4223" spans="14:14">
      <c r="N4223" s="3">
        <v>1696339777.7490144</v>
      </c>
    </row>
    <row r="4224" spans="14:14">
      <c r="N4224" s="3">
        <v>3436794751.8637228</v>
      </c>
    </row>
    <row r="4225" spans="14:14">
      <c r="N4225" s="3">
        <v>2170765471.5389543</v>
      </c>
    </row>
    <row r="4226" spans="14:14">
      <c r="N4226" s="3">
        <v>2821869660.3077164</v>
      </c>
    </row>
    <row r="4227" spans="14:14">
      <c r="N4227" s="3">
        <v>794516462.71920371</v>
      </c>
    </row>
    <row r="4228" spans="14:14">
      <c r="N4228" s="3">
        <v>2160762454.371264</v>
      </c>
    </row>
    <row r="4229" spans="14:14">
      <c r="N4229" s="3">
        <v>1528102894.8053577</v>
      </c>
    </row>
    <row r="4230" spans="14:14">
      <c r="N4230" s="3">
        <v>1892970294.3252087</v>
      </c>
    </row>
    <row r="4231" spans="14:14">
      <c r="N4231" s="3">
        <v>2068183134.6447654</v>
      </c>
    </row>
    <row r="4232" spans="14:14">
      <c r="N4232" s="3">
        <v>2862337716.8851991</v>
      </c>
    </row>
    <row r="4233" spans="14:14">
      <c r="N4233" s="3">
        <v>2593545834.316659</v>
      </c>
    </row>
    <row r="4234" spans="14:14">
      <c r="N4234" s="3">
        <v>1995836882.2747355</v>
      </c>
    </row>
    <row r="4235" spans="14:14">
      <c r="N4235" s="3">
        <v>1432684823.4690232</v>
      </c>
    </row>
    <row r="4236" spans="14:14">
      <c r="N4236" s="3">
        <v>3949885815.718358</v>
      </c>
    </row>
    <row r="4237" spans="14:14">
      <c r="N4237" s="3">
        <v>4107124092.3551435</v>
      </c>
    </row>
    <row r="4238" spans="14:14">
      <c r="N4238" s="3">
        <v>1145354100.5856626</v>
      </c>
    </row>
    <row r="4239" spans="14:14">
      <c r="N4239" s="3">
        <v>1116668793.9474685</v>
      </c>
    </row>
    <row r="4240" spans="14:14">
      <c r="N4240" s="3">
        <v>4909760262.3530979</v>
      </c>
    </row>
    <row r="4241" spans="14:14">
      <c r="N4241" s="3">
        <v>3609083125.8136182</v>
      </c>
    </row>
    <row r="4242" spans="14:14">
      <c r="N4242" s="3">
        <v>2517569417.6654773</v>
      </c>
    </row>
    <row r="4243" spans="14:14">
      <c r="N4243" s="3">
        <v>1560968640.8779132</v>
      </c>
    </row>
    <row r="4244" spans="14:14">
      <c r="N4244" s="3">
        <v>1910972273.4160287</v>
      </c>
    </row>
    <row r="4245" spans="14:14">
      <c r="N4245" s="3">
        <v>2430732781.1711655</v>
      </c>
    </row>
    <row r="4246" spans="14:14">
      <c r="N4246" s="3">
        <v>3609048994.1537752</v>
      </c>
    </row>
    <row r="4247" spans="14:14">
      <c r="N4247" s="3">
        <v>1932051280.184494</v>
      </c>
    </row>
    <row r="4248" spans="14:14">
      <c r="N4248" s="3">
        <v>2160528817.1670709</v>
      </c>
    </row>
    <row r="4249" spans="14:14">
      <c r="N4249" s="3">
        <v>1740346558.7578976</v>
      </c>
    </row>
    <row r="4250" spans="14:14">
      <c r="N4250" s="3">
        <v>2388366572.6134348</v>
      </c>
    </row>
    <row r="4251" spans="14:14">
      <c r="N4251" s="3">
        <v>1290498497.5701702</v>
      </c>
    </row>
    <row r="4252" spans="14:14">
      <c r="N4252" s="3">
        <v>1865155084.4079399</v>
      </c>
    </row>
    <row r="4253" spans="14:14">
      <c r="N4253" s="3">
        <v>2563343284.7077661</v>
      </c>
    </row>
    <row r="4254" spans="14:14">
      <c r="N4254" s="3">
        <v>1688762914.857275</v>
      </c>
    </row>
    <row r="4255" spans="14:14">
      <c r="N4255" s="3">
        <v>1975746488.0035233</v>
      </c>
    </row>
    <row r="4256" spans="14:14">
      <c r="N4256" s="3">
        <v>1363174995.8021989</v>
      </c>
    </row>
    <row r="4257" spans="14:14">
      <c r="N4257" s="3">
        <v>1285970294.0559688</v>
      </c>
    </row>
    <row r="4258" spans="14:14">
      <c r="N4258" s="3">
        <v>2220505178.8049731</v>
      </c>
    </row>
    <row r="4259" spans="14:14">
      <c r="N4259" s="3">
        <v>1931102398.8384078</v>
      </c>
    </row>
    <row r="4260" spans="14:14">
      <c r="N4260" s="3">
        <v>1887246359.0684929</v>
      </c>
    </row>
    <row r="4261" spans="14:14">
      <c r="N4261" s="3">
        <v>1786658260.5506349</v>
      </c>
    </row>
    <row r="4262" spans="14:14">
      <c r="N4262" s="3">
        <v>2645546336.7228889</v>
      </c>
    </row>
    <row r="4263" spans="14:14">
      <c r="N4263" s="3">
        <v>3075520441.108634</v>
      </c>
    </row>
    <row r="4264" spans="14:14">
      <c r="N4264" s="3">
        <v>1780859379.7054145</v>
      </c>
    </row>
    <row r="4265" spans="14:14">
      <c r="N4265" s="3">
        <v>2673479879.6400237</v>
      </c>
    </row>
    <row r="4266" spans="14:14">
      <c r="N4266" s="3">
        <v>1371176804.7573152</v>
      </c>
    </row>
    <row r="4267" spans="14:14">
      <c r="N4267" s="3">
        <v>1662607451.4189761</v>
      </c>
    </row>
    <row r="4268" spans="14:14">
      <c r="N4268" s="3">
        <v>1462531093.5577903</v>
      </c>
    </row>
    <row r="4269" spans="14:14">
      <c r="N4269" s="3">
        <v>1149410369.4825556</v>
      </c>
    </row>
    <row r="4270" spans="14:14">
      <c r="N4270" s="3">
        <v>1477021053.6685166</v>
      </c>
    </row>
    <row r="4271" spans="14:14">
      <c r="N4271" s="3">
        <v>1545047185.2553678</v>
      </c>
    </row>
    <row r="4272" spans="14:14">
      <c r="N4272" s="3">
        <v>2166312323.3357639</v>
      </c>
    </row>
    <row r="4273" spans="14:14">
      <c r="N4273" s="3">
        <v>2702293953.4377813</v>
      </c>
    </row>
    <row r="4274" spans="14:14">
      <c r="N4274" s="3">
        <v>1933300122.731406</v>
      </c>
    </row>
    <row r="4275" spans="14:14">
      <c r="N4275" s="3">
        <v>2140013046.7531486</v>
      </c>
    </row>
    <row r="4276" spans="14:14">
      <c r="N4276" s="3">
        <v>2669461089.4324636</v>
      </c>
    </row>
    <row r="4277" spans="14:14">
      <c r="N4277" s="3">
        <v>3342413416.1812482</v>
      </c>
    </row>
    <row r="4278" spans="14:14">
      <c r="N4278" s="3">
        <v>2427534542.2283015</v>
      </c>
    </row>
    <row r="4279" spans="14:14">
      <c r="N4279" s="3">
        <v>1277928521.5356507</v>
      </c>
    </row>
    <row r="4280" spans="14:14">
      <c r="N4280" s="3">
        <v>1586304661.4925859</v>
      </c>
    </row>
    <row r="4281" spans="14:14">
      <c r="N4281" s="3">
        <v>2523484039.1005783</v>
      </c>
    </row>
    <row r="4282" spans="14:14">
      <c r="N4282" s="3">
        <v>2077195487.8052673</v>
      </c>
    </row>
    <row r="4283" spans="14:14">
      <c r="N4283" s="3">
        <v>1372538929.654439</v>
      </c>
    </row>
    <row r="4284" spans="14:14">
      <c r="N4284" s="3">
        <v>2128263883.55759</v>
      </c>
    </row>
    <row r="4285" spans="14:14">
      <c r="N4285" s="3">
        <v>1726498081.4595072</v>
      </c>
    </row>
    <row r="4286" spans="14:14">
      <c r="N4286" s="3">
        <v>2131100832.3481748</v>
      </c>
    </row>
    <row r="4287" spans="14:14">
      <c r="N4287" s="3">
        <v>3158233601.4609427</v>
      </c>
    </row>
    <row r="4288" spans="14:14">
      <c r="N4288" s="3">
        <v>2641750009.0213318</v>
      </c>
    </row>
    <row r="4289" spans="14:14">
      <c r="N4289" s="3">
        <v>1780858417.088485</v>
      </c>
    </row>
    <row r="4290" spans="14:14">
      <c r="N4290" s="3">
        <v>4259244126.1619935</v>
      </c>
    </row>
    <row r="4291" spans="14:14">
      <c r="N4291" s="3">
        <v>1255829075.4676497</v>
      </c>
    </row>
    <row r="4292" spans="14:14">
      <c r="N4292" s="3">
        <v>1405857746.8986835</v>
      </c>
    </row>
    <row r="4293" spans="14:14">
      <c r="N4293" s="3">
        <v>2694797560.8083086</v>
      </c>
    </row>
    <row r="4294" spans="14:14">
      <c r="N4294" s="3">
        <v>2699296142.2718678</v>
      </c>
    </row>
    <row r="4295" spans="14:14">
      <c r="N4295" s="3">
        <v>1299242050.8046713</v>
      </c>
    </row>
    <row r="4296" spans="14:14">
      <c r="N4296" s="3">
        <v>2822118218.5780716</v>
      </c>
    </row>
    <row r="4297" spans="14:14">
      <c r="N4297" s="3">
        <v>2170065767.2136149</v>
      </c>
    </row>
    <row r="4298" spans="14:14">
      <c r="N4298" s="3">
        <v>2482131385.2106695</v>
      </c>
    </row>
    <row r="4299" spans="14:14">
      <c r="N4299" s="3">
        <v>3261993119.673986</v>
      </c>
    </row>
    <row r="4300" spans="14:14">
      <c r="N4300" s="3">
        <v>2132401587.7050636</v>
      </c>
    </row>
    <row r="4301" spans="14:14">
      <c r="N4301" s="3">
        <v>2214240952.1357327</v>
      </c>
    </row>
    <row r="4302" spans="14:14">
      <c r="N4302" s="3">
        <v>3729083920.4026985</v>
      </c>
    </row>
    <row r="4303" spans="14:14">
      <c r="N4303" s="3">
        <v>1732336040.81271</v>
      </c>
    </row>
    <row r="4304" spans="14:14">
      <c r="N4304" s="3">
        <v>970831862.82197368</v>
      </c>
    </row>
    <row r="4305" spans="14:14">
      <c r="N4305" s="3">
        <v>2593595430.8123426</v>
      </c>
    </row>
    <row r="4306" spans="14:14">
      <c r="N4306" s="3">
        <v>2072126907.7032089</v>
      </c>
    </row>
    <row r="4307" spans="14:14">
      <c r="N4307" s="3">
        <v>2559692406.1280584</v>
      </c>
    </row>
    <row r="4308" spans="14:14">
      <c r="N4308" s="3">
        <v>1367731734.929409</v>
      </c>
    </row>
    <row r="4309" spans="14:14">
      <c r="N4309" s="3">
        <v>3570639290.0353866</v>
      </c>
    </row>
    <row r="4310" spans="14:14">
      <c r="N4310" s="3">
        <v>2723190463.4948516</v>
      </c>
    </row>
    <row r="4311" spans="14:14">
      <c r="N4311" s="3">
        <v>1910365384.5120747</v>
      </c>
    </row>
    <row r="4312" spans="14:14">
      <c r="N4312" s="3">
        <v>849731998.632303</v>
      </c>
    </row>
    <row r="4313" spans="14:14">
      <c r="N4313" s="3">
        <v>2567602784.6078925</v>
      </c>
    </row>
    <row r="4314" spans="14:14">
      <c r="N4314" s="3">
        <v>2143391152.6675446</v>
      </c>
    </row>
    <row r="4315" spans="14:14">
      <c r="N4315" s="3">
        <v>1051765735.6634049</v>
      </c>
    </row>
    <row r="4316" spans="14:14">
      <c r="N4316" s="3">
        <v>2101346397.8196583</v>
      </c>
    </row>
    <row r="4317" spans="14:14">
      <c r="N4317" s="3">
        <v>1492235091.5704048</v>
      </c>
    </row>
    <row r="4318" spans="14:14">
      <c r="N4318" s="3">
        <v>4934859038.5586243</v>
      </c>
    </row>
    <row r="4319" spans="14:14">
      <c r="N4319" s="3">
        <v>733073953.03505182</v>
      </c>
    </row>
    <row r="4320" spans="14:14">
      <c r="N4320" s="3">
        <v>1522667007.9410622</v>
      </c>
    </row>
    <row r="4321" spans="14:14">
      <c r="N4321" s="3">
        <v>1618839408.7951179</v>
      </c>
    </row>
    <row r="4322" spans="14:14">
      <c r="N4322" s="3">
        <v>2655553347.4999862</v>
      </c>
    </row>
    <row r="4323" spans="14:14">
      <c r="N4323" s="3">
        <v>3641193098.1185079</v>
      </c>
    </row>
    <row r="4324" spans="14:14">
      <c r="N4324" s="3">
        <v>2692998892.8389068</v>
      </c>
    </row>
    <row r="4325" spans="14:14">
      <c r="N4325" s="3">
        <v>2190299411.8100848</v>
      </c>
    </row>
    <row r="4326" spans="14:14">
      <c r="N4326" s="3">
        <v>1119740992.1355915</v>
      </c>
    </row>
    <row r="4327" spans="14:14">
      <c r="N4327" s="3">
        <v>2491503128.3370395</v>
      </c>
    </row>
    <row r="4328" spans="14:14">
      <c r="N4328" s="3">
        <v>1514146762.3822093</v>
      </c>
    </row>
    <row r="4329" spans="14:14">
      <c r="N4329" s="3">
        <v>3583196630.6775126</v>
      </c>
    </row>
    <row r="4330" spans="14:14">
      <c r="N4330" s="3">
        <v>909868480.6102401</v>
      </c>
    </row>
    <row r="4331" spans="14:14">
      <c r="N4331" s="3">
        <v>1503920625.142457</v>
      </c>
    </row>
    <row r="4332" spans="14:14">
      <c r="N4332" s="3">
        <v>2061453320.3017406</v>
      </c>
    </row>
    <row r="4333" spans="14:14">
      <c r="N4333" s="3">
        <v>813605277.33438087</v>
      </c>
    </row>
    <row r="4334" spans="14:14">
      <c r="N4334" s="3">
        <v>1595768847.9926798</v>
      </c>
    </row>
    <row r="4335" spans="14:14">
      <c r="N4335" s="3">
        <v>1432327921.6463981</v>
      </c>
    </row>
    <row r="4336" spans="14:14">
      <c r="N4336" s="3">
        <v>1738872420.0637851</v>
      </c>
    </row>
    <row r="4337" spans="14:14">
      <c r="N4337" s="3">
        <v>1011614036.5516346</v>
      </c>
    </row>
    <row r="4338" spans="14:14">
      <c r="N4338" s="3">
        <v>2127199527.8845601</v>
      </c>
    </row>
    <row r="4339" spans="14:14">
      <c r="N4339" s="3">
        <v>1935884848.8241057</v>
      </c>
    </row>
    <row r="4340" spans="14:14">
      <c r="N4340" s="3">
        <v>2116658310.5933917</v>
      </c>
    </row>
    <row r="4341" spans="14:14">
      <c r="N4341" s="3">
        <v>2706667265.985106</v>
      </c>
    </row>
    <row r="4342" spans="14:14">
      <c r="N4342" s="3">
        <v>1597945415.4559863</v>
      </c>
    </row>
    <row r="4343" spans="14:14">
      <c r="N4343" s="3">
        <v>1983201589.172802</v>
      </c>
    </row>
    <row r="4344" spans="14:14">
      <c r="N4344" s="3">
        <v>1010131149.4537532</v>
      </c>
    </row>
    <row r="4345" spans="14:14">
      <c r="N4345" s="3">
        <v>3640137988.0397067</v>
      </c>
    </row>
    <row r="4346" spans="14:14">
      <c r="N4346" s="3">
        <v>818550394.42641354</v>
      </c>
    </row>
    <row r="4347" spans="14:14">
      <c r="N4347" s="3">
        <v>2793292972.202229</v>
      </c>
    </row>
    <row r="4348" spans="14:14">
      <c r="N4348" s="3">
        <v>2050663189.3636086</v>
      </c>
    </row>
    <row r="4349" spans="14:14">
      <c r="N4349" s="3">
        <v>1503462658.1593707</v>
      </c>
    </row>
    <row r="4350" spans="14:14">
      <c r="N4350" s="3">
        <v>1610035805.0522869</v>
      </c>
    </row>
    <row r="4351" spans="14:14">
      <c r="N4351" s="3">
        <v>2233667843.6295028</v>
      </c>
    </row>
    <row r="4352" spans="14:14">
      <c r="N4352" s="3">
        <v>2783195558.5411053</v>
      </c>
    </row>
    <row r="4353" spans="14:14">
      <c r="N4353" s="3">
        <v>2847747165.4322257</v>
      </c>
    </row>
    <row r="4354" spans="14:14">
      <c r="N4354" s="3">
        <v>2307396281.4240832</v>
      </c>
    </row>
    <row r="4355" spans="14:14">
      <c r="N4355" s="3">
        <v>1081354849.1629555</v>
      </c>
    </row>
    <row r="4356" spans="14:14">
      <c r="N4356" s="3">
        <v>2003148973.7416842</v>
      </c>
    </row>
    <row r="4357" spans="14:14">
      <c r="N4357" s="3">
        <v>2324618682.7633214</v>
      </c>
    </row>
    <row r="4358" spans="14:14">
      <c r="N4358" s="3">
        <v>1493315337.8048577</v>
      </c>
    </row>
    <row r="4359" spans="14:14">
      <c r="N4359" s="3">
        <v>1746109820.7590621</v>
      </c>
    </row>
    <row r="4360" spans="14:14">
      <c r="N4360" s="3">
        <v>3142819637.1879401</v>
      </c>
    </row>
    <row r="4361" spans="14:14">
      <c r="N4361" s="3">
        <v>3741906092.2315598</v>
      </c>
    </row>
    <row r="4362" spans="14:14">
      <c r="N4362" s="3">
        <v>1707325401.6074545</v>
      </c>
    </row>
    <row r="4363" spans="14:14">
      <c r="N4363" s="3">
        <v>1450665056.8252156</v>
      </c>
    </row>
    <row r="4364" spans="14:14">
      <c r="N4364" s="3">
        <v>1912623233.3154988</v>
      </c>
    </row>
    <row r="4365" spans="14:14">
      <c r="N4365" s="3">
        <v>2212901199.9037418</v>
      </c>
    </row>
    <row r="4366" spans="14:14">
      <c r="N4366" s="3">
        <v>2341403108.6007509</v>
      </c>
    </row>
    <row r="4367" spans="14:14">
      <c r="N4367" s="3">
        <v>2705978837.9454284</v>
      </c>
    </row>
    <row r="4368" spans="14:14">
      <c r="N4368" s="3">
        <v>1022102079.678522</v>
      </c>
    </row>
    <row r="4369" spans="14:14">
      <c r="N4369" s="3">
        <v>2184912490.4390702</v>
      </c>
    </row>
    <row r="4370" spans="14:14">
      <c r="N4370" s="3">
        <v>2055233336.0677695</v>
      </c>
    </row>
    <row r="4371" spans="14:14">
      <c r="N4371" s="3">
        <v>1536067738.3075862</v>
      </c>
    </row>
    <row r="4372" spans="14:14">
      <c r="N4372" s="3">
        <v>2646250811.9477649</v>
      </c>
    </row>
    <row r="4373" spans="14:14">
      <c r="N4373" s="3">
        <v>1352860044.1639743</v>
      </c>
    </row>
    <row r="4374" spans="14:14">
      <c r="N4374" s="3">
        <v>1528048652.0705056</v>
      </c>
    </row>
    <row r="4375" spans="14:14">
      <c r="N4375" s="3">
        <v>1212118847.9016533</v>
      </c>
    </row>
    <row r="4376" spans="14:14">
      <c r="N4376" s="3">
        <v>3407460327.7979155</v>
      </c>
    </row>
    <row r="4377" spans="14:14">
      <c r="N4377" s="3">
        <v>2160997339.5687475</v>
      </c>
    </row>
    <row r="4378" spans="14:14">
      <c r="N4378" s="3">
        <v>1779014015.1774559</v>
      </c>
    </row>
    <row r="4379" spans="14:14">
      <c r="N4379" s="3">
        <v>1783073606.3509803</v>
      </c>
    </row>
    <row r="4380" spans="14:14">
      <c r="N4380" s="3">
        <v>3889063808.1807976</v>
      </c>
    </row>
    <row r="4381" spans="14:14">
      <c r="N4381" s="3">
        <v>3827318456.2362332</v>
      </c>
    </row>
    <row r="4382" spans="14:14">
      <c r="N4382" s="3">
        <v>1554882861.394882</v>
      </c>
    </row>
    <row r="4383" spans="14:14">
      <c r="N4383" s="3">
        <v>1454745304.1789722</v>
      </c>
    </row>
    <row r="4384" spans="14:14">
      <c r="N4384" s="3">
        <v>2118904667.6740255</v>
      </c>
    </row>
    <row r="4385" spans="14:14">
      <c r="N4385" s="3">
        <v>887487088.31949949</v>
      </c>
    </row>
    <row r="4386" spans="14:14">
      <c r="N4386" s="3">
        <v>2549952540.1570706</v>
      </c>
    </row>
    <row r="4387" spans="14:14">
      <c r="N4387" s="3">
        <v>3204957812.539855</v>
      </c>
    </row>
    <row r="4388" spans="14:14">
      <c r="N4388" s="3">
        <v>2682396698.6215301</v>
      </c>
    </row>
    <row r="4389" spans="14:14">
      <c r="N4389" s="3">
        <v>1533489180.3402898</v>
      </c>
    </row>
    <row r="4390" spans="14:14">
      <c r="N4390" s="3">
        <v>1181204605.0370827</v>
      </c>
    </row>
    <row r="4391" spans="14:14">
      <c r="N4391" s="3">
        <v>2069012458.5338261</v>
      </c>
    </row>
    <row r="4392" spans="14:14">
      <c r="N4392" s="3">
        <v>1664778124.659121</v>
      </c>
    </row>
    <row r="4393" spans="14:14">
      <c r="N4393" s="3">
        <v>2996330006.4173017</v>
      </c>
    </row>
    <row r="4394" spans="14:14">
      <c r="N4394" s="3">
        <v>2974536636.5842981</v>
      </c>
    </row>
    <row r="4395" spans="14:14">
      <c r="N4395" s="3">
        <v>2973758614.0148387</v>
      </c>
    </row>
    <row r="4396" spans="14:14">
      <c r="N4396" s="3">
        <v>2442605877.4875498</v>
      </c>
    </row>
    <row r="4397" spans="14:14">
      <c r="N4397" s="3">
        <v>1382806338.3240888</v>
      </c>
    </row>
    <row r="4398" spans="14:14">
      <c r="N4398" s="3">
        <v>5882703793.9286366</v>
      </c>
    </row>
    <row r="4399" spans="14:14">
      <c r="N4399" s="3">
        <v>1709334070.2074296</v>
      </c>
    </row>
    <row r="4400" spans="14:14">
      <c r="N4400" s="3">
        <v>3775621261.5251737</v>
      </c>
    </row>
    <row r="4401" spans="14:14">
      <c r="N4401" s="3">
        <v>1507915603.1009579</v>
      </c>
    </row>
    <row r="4402" spans="14:14">
      <c r="N4402" s="3">
        <v>3510451866.6409321</v>
      </c>
    </row>
    <row r="4403" spans="14:14">
      <c r="N4403" s="3">
        <v>1551712646.2383397</v>
      </c>
    </row>
    <row r="4404" spans="14:14">
      <c r="N4404" s="3">
        <v>1739521478.6749845</v>
      </c>
    </row>
    <row r="4405" spans="14:14">
      <c r="N4405" s="3">
        <v>3314386058.6852655</v>
      </c>
    </row>
    <row r="4406" spans="14:14">
      <c r="N4406" s="3">
        <v>1818690288.4323277</v>
      </c>
    </row>
    <row r="4407" spans="14:14">
      <c r="N4407" s="3">
        <v>1817604327.3106976</v>
      </c>
    </row>
    <row r="4408" spans="14:14">
      <c r="N4408" s="3">
        <v>1882999267.10904</v>
      </c>
    </row>
    <row r="4409" spans="14:14">
      <c r="N4409" s="3">
        <v>2703025420.0285745</v>
      </c>
    </row>
    <row r="4410" spans="14:14">
      <c r="N4410" s="3">
        <v>5748331764.4629765</v>
      </c>
    </row>
    <row r="4411" spans="14:14">
      <c r="N4411" s="3">
        <v>1963984316.752393</v>
      </c>
    </row>
    <row r="4412" spans="14:14">
      <c r="N4412" s="3">
        <v>2463072252.1540232</v>
      </c>
    </row>
    <row r="4413" spans="14:14">
      <c r="N4413" s="3">
        <v>1994397644.4962685</v>
      </c>
    </row>
    <row r="4414" spans="14:14">
      <c r="N4414" s="3">
        <v>2155773775.9117846</v>
      </c>
    </row>
    <row r="4415" spans="14:14">
      <c r="N4415" s="3">
        <v>1631892407.3240371</v>
      </c>
    </row>
    <row r="4416" spans="14:14">
      <c r="N4416" s="3">
        <v>2032672093.6576266</v>
      </c>
    </row>
    <row r="4417" spans="14:14">
      <c r="N4417" s="3">
        <v>2571947973.5515461</v>
      </c>
    </row>
    <row r="4418" spans="14:14">
      <c r="N4418" s="3">
        <v>2121161881.9658167</v>
      </c>
    </row>
    <row r="4419" spans="14:14">
      <c r="N4419" s="3">
        <v>1759374918.8078027</v>
      </c>
    </row>
    <row r="4420" spans="14:14">
      <c r="N4420" s="3">
        <v>1658056275.80844</v>
      </c>
    </row>
    <row r="4421" spans="14:14">
      <c r="N4421" s="3">
        <v>2429800264.9329181</v>
      </c>
    </row>
    <row r="4422" spans="14:14">
      <c r="N4422" s="3">
        <v>2884920367.5810623</v>
      </c>
    </row>
    <row r="4423" spans="14:14">
      <c r="N4423" s="3">
        <v>1754992864.366698</v>
      </c>
    </row>
    <row r="4424" spans="14:14">
      <c r="N4424" s="3">
        <v>3636742020.7259674</v>
      </c>
    </row>
    <row r="4425" spans="14:14">
      <c r="N4425" s="3">
        <v>2154915515.2514062</v>
      </c>
    </row>
    <row r="4426" spans="14:14">
      <c r="N4426" s="3">
        <v>1307637812.8735127</v>
      </c>
    </row>
    <row r="4427" spans="14:14">
      <c r="N4427" s="3">
        <v>1516925917.8527968</v>
      </c>
    </row>
    <row r="4428" spans="14:14">
      <c r="N4428" s="3">
        <v>3614635006.617867</v>
      </c>
    </row>
    <row r="4429" spans="14:14">
      <c r="N4429" s="3">
        <v>1344834738.6609497</v>
      </c>
    </row>
    <row r="4430" spans="14:14">
      <c r="N4430" s="3">
        <v>910596278.95215809</v>
      </c>
    </row>
    <row r="4431" spans="14:14">
      <c r="N4431" s="3">
        <v>1911373906.1849248</v>
      </c>
    </row>
    <row r="4432" spans="14:14">
      <c r="N4432" s="3">
        <v>1924432807.1162732</v>
      </c>
    </row>
    <row r="4433" spans="14:14">
      <c r="N4433" s="3">
        <v>1517760117.9723299</v>
      </c>
    </row>
    <row r="4434" spans="14:14">
      <c r="N4434" s="3">
        <v>1996330999.1481164</v>
      </c>
    </row>
    <row r="4435" spans="14:14">
      <c r="N4435" s="3">
        <v>1880648104.1241314</v>
      </c>
    </row>
    <row r="4436" spans="14:14">
      <c r="N4436" s="3">
        <v>2097868934.7866716</v>
      </c>
    </row>
    <row r="4437" spans="14:14">
      <c r="N4437" s="3">
        <v>2279431761.2670979</v>
      </c>
    </row>
    <row r="4438" spans="14:14">
      <c r="N4438" s="3">
        <v>2461884143.8870525</v>
      </c>
    </row>
    <row r="4439" spans="14:14">
      <c r="N4439" s="3">
        <v>3343018297.1198335</v>
      </c>
    </row>
    <row r="4440" spans="14:14">
      <c r="N4440" s="3">
        <v>3354147822.2886591</v>
      </c>
    </row>
    <row r="4441" spans="14:14">
      <c r="N4441" s="3">
        <v>1621853662.4675493</v>
      </c>
    </row>
    <row r="4442" spans="14:14">
      <c r="N4442" s="3">
        <v>1890173455.3134649</v>
      </c>
    </row>
    <row r="4443" spans="14:14">
      <c r="N4443" s="3">
        <v>2436904212.1224794</v>
      </c>
    </row>
    <row r="4444" spans="14:14">
      <c r="N4444" s="3">
        <v>1830386008.1896281</v>
      </c>
    </row>
    <row r="4445" spans="14:14">
      <c r="N4445" s="3">
        <v>1496889205.0635822</v>
      </c>
    </row>
    <row r="4446" spans="14:14">
      <c r="N4446" s="3">
        <v>2568491511.922555</v>
      </c>
    </row>
    <row r="4447" spans="14:14">
      <c r="N4447" s="3">
        <v>2422872721.1939416</v>
      </c>
    </row>
    <row r="4448" spans="14:14">
      <c r="N4448" s="3">
        <v>2583852196.7355704</v>
      </c>
    </row>
    <row r="4449" spans="14:14">
      <c r="N4449" s="3">
        <v>1446737130.6452632</v>
      </c>
    </row>
    <row r="4450" spans="14:14">
      <c r="N4450" s="3">
        <v>2475940037.6446519</v>
      </c>
    </row>
    <row r="4451" spans="14:14">
      <c r="N4451" s="3">
        <v>2128276562.9958308</v>
      </c>
    </row>
    <row r="4452" spans="14:14">
      <c r="N4452" s="3">
        <v>1684920852.9834003</v>
      </c>
    </row>
    <row r="4453" spans="14:14">
      <c r="N4453" s="3">
        <v>1844419731.1544216</v>
      </c>
    </row>
    <row r="4454" spans="14:14">
      <c r="N4454" s="3">
        <v>3811745473.2617702</v>
      </c>
    </row>
    <row r="4455" spans="14:14">
      <c r="N4455" s="3">
        <v>1486467107.2289183</v>
      </c>
    </row>
    <row r="4456" spans="14:14">
      <c r="N4456" s="3">
        <v>3015989645.2051921</v>
      </c>
    </row>
    <row r="4457" spans="14:14">
      <c r="N4457" s="3">
        <v>3351693839.1682382</v>
      </c>
    </row>
    <row r="4458" spans="14:14">
      <c r="N4458" s="3">
        <v>1355938536.5387828</v>
      </c>
    </row>
    <row r="4459" spans="14:14">
      <c r="N4459" s="3">
        <v>1944277976.045392</v>
      </c>
    </row>
    <row r="4460" spans="14:14">
      <c r="N4460" s="3">
        <v>1880651252.9476633</v>
      </c>
    </row>
    <row r="4461" spans="14:14">
      <c r="N4461" s="3">
        <v>1451152452.1438785</v>
      </c>
    </row>
    <row r="4462" spans="14:14">
      <c r="N4462" s="3">
        <v>2314766637.9432759</v>
      </c>
    </row>
    <row r="4463" spans="14:14">
      <c r="N4463" s="3">
        <v>1436030964.3219464</v>
      </c>
    </row>
    <row r="4464" spans="14:14">
      <c r="N4464" s="3">
        <v>2307705414.250627</v>
      </c>
    </row>
    <row r="4465" spans="14:14">
      <c r="N4465" s="3">
        <v>2097633346.7613883</v>
      </c>
    </row>
    <row r="4466" spans="14:14">
      <c r="N4466" s="3">
        <v>1418803501.835077</v>
      </c>
    </row>
    <row r="4467" spans="14:14">
      <c r="N4467" s="3">
        <v>1875876336.4842792</v>
      </c>
    </row>
    <row r="4468" spans="14:14">
      <c r="N4468" s="3">
        <v>1436883056.344305</v>
      </c>
    </row>
    <row r="4469" spans="14:14">
      <c r="N4469" s="3">
        <v>1779373632.6386027</v>
      </c>
    </row>
    <row r="4470" spans="14:14">
      <c r="N4470" s="3">
        <v>1842680070.9938157</v>
      </c>
    </row>
    <row r="4471" spans="14:14">
      <c r="N4471" s="3">
        <v>2869211740.8822293</v>
      </c>
    </row>
    <row r="4472" spans="14:14">
      <c r="N4472" s="3">
        <v>2242964240.0304885</v>
      </c>
    </row>
    <row r="4473" spans="14:14">
      <c r="N4473" s="3">
        <v>3097965052.0853443</v>
      </c>
    </row>
    <row r="4474" spans="14:14">
      <c r="N4474" s="3">
        <v>2010093543.0699229</v>
      </c>
    </row>
    <row r="4475" spans="14:14">
      <c r="N4475" s="3">
        <v>2008123723.0004845</v>
      </c>
    </row>
    <row r="4476" spans="14:14">
      <c r="N4476" s="3">
        <v>2189318683.4831171</v>
      </c>
    </row>
    <row r="4477" spans="14:14">
      <c r="N4477" s="3">
        <v>1601862459.1831656</v>
      </c>
    </row>
    <row r="4478" spans="14:14">
      <c r="N4478" s="3">
        <v>1889049637.7142575</v>
      </c>
    </row>
    <row r="4479" spans="14:14">
      <c r="N4479" s="3">
        <v>2132911662.4819102</v>
      </c>
    </row>
    <row r="4480" spans="14:14">
      <c r="N4480" s="3">
        <v>1831729582.8995316</v>
      </c>
    </row>
    <row r="4481" spans="14:14">
      <c r="N4481" s="3">
        <v>964092231.32089734</v>
      </c>
    </row>
    <row r="4482" spans="14:14">
      <c r="N4482" s="3">
        <v>1336183366.0154538</v>
      </c>
    </row>
    <row r="4483" spans="14:14">
      <c r="N4483" s="3">
        <v>1884580477.6341949</v>
      </c>
    </row>
    <row r="4484" spans="14:14">
      <c r="N4484" s="3">
        <v>2070024677.4711771</v>
      </c>
    </row>
    <row r="4485" spans="14:14">
      <c r="N4485" s="3">
        <v>2822980501.3212624</v>
      </c>
    </row>
    <row r="4486" spans="14:14">
      <c r="N4486" s="3">
        <v>1354831676.8409081</v>
      </c>
    </row>
    <row r="4487" spans="14:14">
      <c r="N4487" s="3">
        <v>1703227483.9874496</v>
      </c>
    </row>
    <row r="4488" spans="14:14">
      <c r="N4488" s="3">
        <v>1606767514.3081222</v>
      </c>
    </row>
    <row r="4489" spans="14:14">
      <c r="N4489" s="3">
        <v>3674001641.8682394</v>
      </c>
    </row>
    <row r="4490" spans="14:14">
      <c r="N4490" s="3">
        <v>1580640790.3695557</v>
      </c>
    </row>
    <row r="4491" spans="14:14">
      <c r="N4491" s="3">
        <v>2882291506.8730516</v>
      </c>
    </row>
    <row r="4492" spans="14:14">
      <c r="N4492" s="3">
        <v>1597714586.7649643</v>
      </c>
    </row>
    <row r="4493" spans="14:14">
      <c r="N4493" s="3">
        <v>2884423691.2057924</v>
      </c>
    </row>
    <row r="4494" spans="14:14">
      <c r="N4494" s="3">
        <v>1379048898.7114987</v>
      </c>
    </row>
    <row r="4495" spans="14:14">
      <c r="N4495" s="3">
        <v>2258494044.4718218</v>
      </c>
    </row>
    <row r="4496" spans="14:14">
      <c r="N4496" s="3">
        <v>1842948912.4441476</v>
      </c>
    </row>
    <row r="4497" spans="14:14">
      <c r="N4497" s="3">
        <v>1680234255.5650089</v>
      </c>
    </row>
    <row r="4498" spans="14:14">
      <c r="N4498" s="3">
        <v>3348849374.0443397</v>
      </c>
    </row>
    <row r="4499" spans="14:14">
      <c r="N4499" s="3">
        <v>2912255178.9946365</v>
      </c>
    </row>
    <row r="4500" spans="14:14">
      <c r="N4500" s="3">
        <v>2016123180.9687901</v>
      </c>
    </row>
    <row r="4501" spans="14:14">
      <c r="N4501" s="3">
        <v>1442937164.0403478</v>
      </c>
    </row>
    <row r="4502" spans="14:14">
      <c r="N4502" s="3">
        <v>2607005739.9573836</v>
      </c>
    </row>
    <row r="4503" spans="14:14">
      <c r="N4503" s="3">
        <v>1007068793.1903088</v>
      </c>
    </row>
    <row r="4504" spans="14:14">
      <c r="N4504" s="3">
        <v>1262558244.4138408</v>
      </c>
    </row>
    <row r="4505" spans="14:14">
      <c r="N4505" s="3">
        <v>1280292580.334152</v>
      </c>
    </row>
    <row r="4506" spans="14:14">
      <c r="N4506" s="3">
        <v>1399396706.5768714</v>
      </c>
    </row>
    <row r="4507" spans="14:14">
      <c r="N4507" s="3">
        <v>1375937390.7870164</v>
      </c>
    </row>
    <row r="4508" spans="14:14">
      <c r="N4508" s="3">
        <v>2751338588.1931891</v>
      </c>
    </row>
    <row r="4509" spans="14:14">
      <c r="N4509" s="3">
        <v>2212521658.7072611</v>
      </c>
    </row>
    <row r="4510" spans="14:14">
      <c r="N4510" s="3">
        <v>773771766.58311224</v>
      </c>
    </row>
    <row r="4511" spans="14:14">
      <c r="N4511" s="3">
        <v>2213624442.0183015</v>
      </c>
    </row>
    <row r="4512" spans="14:14">
      <c r="N4512" s="3">
        <v>1627212763.1405661</v>
      </c>
    </row>
    <row r="4513" spans="14:14">
      <c r="N4513" s="3">
        <v>1961538388.4841011</v>
      </c>
    </row>
    <row r="4514" spans="14:14">
      <c r="N4514" s="3">
        <v>2845433877.3240561</v>
      </c>
    </row>
    <row r="4515" spans="14:14">
      <c r="N4515" s="3">
        <v>1891841141.5517108</v>
      </c>
    </row>
    <row r="4516" spans="14:14">
      <c r="N4516" s="3">
        <v>1472219358.1761272</v>
      </c>
    </row>
    <row r="4517" spans="14:14">
      <c r="N4517" s="3">
        <v>2377102502.9694686</v>
      </c>
    </row>
    <row r="4518" spans="14:14">
      <c r="N4518" s="3">
        <v>1762394102.8288279</v>
      </c>
    </row>
    <row r="4519" spans="14:14">
      <c r="N4519" s="3">
        <v>1900457908.278713</v>
      </c>
    </row>
    <row r="4520" spans="14:14">
      <c r="N4520" s="3">
        <v>3951705519.8155603</v>
      </c>
    </row>
    <row r="4521" spans="14:14">
      <c r="N4521" s="3">
        <v>1761216768.8175614</v>
      </c>
    </row>
    <row r="4522" spans="14:14">
      <c r="N4522" s="3">
        <v>2620249298.9956808</v>
      </c>
    </row>
    <row r="4523" spans="14:14">
      <c r="N4523" s="3">
        <v>1728050778.5370247</v>
      </c>
    </row>
    <row r="4524" spans="14:14">
      <c r="N4524" s="3">
        <v>2846704819.7960229</v>
      </c>
    </row>
    <row r="4525" spans="14:14">
      <c r="N4525" s="3">
        <v>2025160515.2599087</v>
      </c>
    </row>
    <row r="4526" spans="14:14">
      <c r="N4526" s="3">
        <v>2211728286.4952564</v>
      </c>
    </row>
    <row r="4527" spans="14:14">
      <c r="N4527" s="3">
        <v>1834510038.7200027</v>
      </c>
    </row>
    <row r="4528" spans="14:14">
      <c r="N4528" s="3">
        <v>1544552664.6293273</v>
      </c>
    </row>
    <row r="4529" spans="14:14">
      <c r="N4529" s="3">
        <v>2268410721.8512602</v>
      </c>
    </row>
    <row r="4530" spans="14:14">
      <c r="N4530" s="3">
        <v>1685235227.9904628</v>
      </c>
    </row>
    <row r="4531" spans="14:14">
      <c r="N4531" s="3">
        <v>2793853765.2009487</v>
      </c>
    </row>
    <row r="4532" spans="14:14">
      <c r="N4532" s="3">
        <v>2131984312.4740195</v>
      </c>
    </row>
    <row r="4533" spans="14:14">
      <c r="N4533" s="3">
        <v>3706346029.4811878</v>
      </c>
    </row>
    <row r="4534" spans="14:14">
      <c r="N4534" s="3">
        <v>1853344782.074322</v>
      </c>
    </row>
    <row r="4535" spans="14:14">
      <c r="N4535" s="3">
        <v>1656050762.1509817</v>
      </c>
    </row>
    <row r="4536" spans="14:14">
      <c r="N4536" s="3">
        <v>3617498068.337841</v>
      </c>
    </row>
    <row r="4537" spans="14:14">
      <c r="N4537" s="3">
        <v>1741270760.7729855</v>
      </c>
    </row>
    <row r="4538" spans="14:14">
      <c r="N4538" s="3">
        <v>1278154467.715374</v>
      </c>
    </row>
    <row r="4539" spans="14:14">
      <c r="N4539" s="3">
        <v>2006457946.1468608</v>
      </c>
    </row>
    <row r="4540" spans="14:14">
      <c r="N4540" s="3">
        <v>2384345366.0255589</v>
      </c>
    </row>
    <row r="4541" spans="14:14">
      <c r="N4541" s="3">
        <v>1957918979.1958733</v>
      </c>
    </row>
    <row r="4542" spans="14:14">
      <c r="N4542" s="3">
        <v>1472145075.9313893</v>
      </c>
    </row>
    <row r="4543" spans="14:14">
      <c r="N4543" s="3">
        <v>1555454374.1444345</v>
      </c>
    </row>
    <row r="4544" spans="14:14">
      <c r="N4544" s="3">
        <v>1882893562.920326</v>
      </c>
    </row>
    <row r="4545" spans="14:14">
      <c r="N4545" s="3">
        <v>997186994.79795814</v>
      </c>
    </row>
    <row r="4546" spans="14:14">
      <c r="N4546" s="3">
        <v>1753820863.0678871</v>
      </c>
    </row>
    <row r="4547" spans="14:14">
      <c r="N4547" s="3">
        <v>1034199205.7877649</v>
      </c>
    </row>
    <row r="4548" spans="14:14">
      <c r="N4548" s="3">
        <v>1856145948.7991426</v>
      </c>
    </row>
    <row r="4549" spans="14:14">
      <c r="N4549" s="3">
        <v>1728161623.5957034</v>
      </c>
    </row>
    <row r="4550" spans="14:14">
      <c r="N4550" s="3">
        <v>2872775773.4092507</v>
      </c>
    </row>
    <row r="4551" spans="14:14">
      <c r="N4551" s="3">
        <v>2850461099.5862875</v>
      </c>
    </row>
    <row r="4552" spans="14:14">
      <c r="N4552" s="3">
        <v>2187952620.8471589</v>
      </c>
    </row>
    <row r="4553" spans="14:14">
      <c r="N4553" s="3">
        <v>2718185858.3850737</v>
      </c>
    </row>
    <row r="4554" spans="14:14">
      <c r="N4554" s="3">
        <v>720949782.23571849</v>
      </c>
    </row>
    <row r="4555" spans="14:14">
      <c r="N4555" s="3">
        <v>1753717908.9616587</v>
      </c>
    </row>
    <row r="4556" spans="14:14">
      <c r="N4556" s="3">
        <v>2140259467.4620271</v>
      </c>
    </row>
    <row r="4557" spans="14:14">
      <c r="N4557" s="3">
        <v>2967848438.2014689</v>
      </c>
    </row>
    <row r="4558" spans="14:14">
      <c r="N4558" s="3">
        <v>1553106585.245363</v>
      </c>
    </row>
    <row r="4559" spans="14:14">
      <c r="N4559" s="3">
        <v>1814759156.795666</v>
      </c>
    </row>
    <row r="4560" spans="14:14">
      <c r="N4560" s="3">
        <v>1548604608.3571208</v>
      </c>
    </row>
    <row r="4561" spans="14:14">
      <c r="N4561" s="3">
        <v>3017892384.9391646</v>
      </c>
    </row>
    <row r="4562" spans="14:14">
      <c r="N4562" s="3">
        <v>1654794531.0478516</v>
      </c>
    </row>
    <row r="4563" spans="14:14">
      <c r="N4563" s="3">
        <v>1695954311.0295031</v>
      </c>
    </row>
    <row r="4564" spans="14:14">
      <c r="N4564" s="3">
        <v>1731050091.0209901</v>
      </c>
    </row>
    <row r="4565" spans="14:14">
      <c r="N4565" s="3">
        <v>2273388515.5759754</v>
      </c>
    </row>
    <row r="4566" spans="14:14">
      <c r="N4566" s="3">
        <v>945324177.60431373</v>
      </c>
    </row>
    <row r="4567" spans="14:14">
      <c r="N4567" s="3">
        <v>2153838406.7124319</v>
      </c>
    </row>
    <row r="4568" spans="14:14">
      <c r="N4568" s="3">
        <v>2884520976.8531232</v>
      </c>
    </row>
    <row r="4569" spans="14:14">
      <c r="N4569" s="3">
        <v>1688114009.5063131</v>
      </c>
    </row>
    <row r="4570" spans="14:14">
      <c r="N4570" s="3">
        <v>2537091479.1682763</v>
      </c>
    </row>
    <row r="4571" spans="14:14">
      <c r="N4571" s="3">
        <v>1088294718.7806475</v>
      </c>
    </row>
    <row r="4572" spans="14:14">
      <c r="N4572" s="3">
        <v>2297177128.6777377</v>
      </c>
    </row>
    <row r="4573" spans="14:14">
      <c r="N4573" s="3">
        <v>3264677759.801096</v>
      </c>
    </row>
    <row r="4574" spans="14:14">
      <c r="N4574" s="3">
        <v>1142759474.7910032</v>
      </c>
    </row>
    <row r="4575" spans="14:14">
      <c r="N4575" s="3">
        <v>2116232315.5974467</v>
      </c>
    </row>
    <row r="4576" spans="14:14">
      <c r="N4576" s="3">
        <v>2501255249.5620227</v>
      </c>
    </row>
    <row r="4577" spans="14:14">
      <c r="N4577" s="3">
        <v>2484184060.5946522</v>
      </c>
    </row>
    <row r="4578" spans="14:14">
      <c r="N4578" s="3">
        <v>3677145122.0170364</v>
      </c>
    </row>
    <row r="4579" spans="14:14">
      <c r="N4579" s="3">
        <v>1606299393.1911471</v>
      </c>
    </row>
    <row r="4580" spans="14:14">
      <c r="N4580" s="3">
        <v>2781775018.0717483</v>
      </c>
    </row>
    <row r="4581" spans="14:14">
      <c r="N4581" s="3">
        <v>3334960879.2649064</v>
      </c>
    </row>
    <row r="4582" spans="14:14">
      <c r="N4582" s="3">
        <v>1468816922.4709489</v>
      </c>
    </row>
    <row r="4583" spans="14:14">
      <c r="N4583" s="3">
        <v>1719581315.8115942</v>
      </c>
    </row>
    <row r="4584" spans="14:14">
      <c r="N4584" s="3">
        <v>3186065148.7483807</v>
      </c>
    </row>
    <row r="4585" spans="14:14">
      <c r="N4585" s="3">
        <v>2329118245.895617</v>
      </c>
    </row>
    <row r="4586" spans="14:14">
      <c r="N4586" s="3">
        <v>1341566933.5730662</v>
      </c>
    </row>
    <row r="4587" spans="14:14">
      <c r="N4587" s="3">
        <v>1971742071.3533137</v>
      </c>
    </row>
    <row r="4588" spans="14:14">
      <c r="N4588" s="3">
        <v>1853842759.527662</v>
      </c>
    </row>
    <row r="4589" spans="14:14">
      <c r="N4589" s="3">
        <v>3019737906.6754651</v>
      </c>
    </row>
    <row r="4590" spans="14:14">
      <c r="N4590" s="3">
        <v>1598815521.5403872</v>
      </c>
    </row>
    <row r="4591" spans="14:14">
      <c r="N4591" s="3">
        <v>2379065456.3101935</v>
      </c>
    </row>
    <row r="4592" spans="14:14">
      <c r="N4592" s="3">
        <v>1806209366.2091508</v>
      </c>
    </row>
    <row r="4593" spans="14:14">
      <c r="N4593" s="3">
        <v>2457103215.0600514</v>
      </c>
    </row>
    <row r="4594" spans="14:14">
      <c r="N4594" s="3">
        <v>2259344319.1300278</v>
      </c>
    </row>
    <row r="4595" spans="14:14">
      <c r="N4595" s="3">
        <v>2078097305.0610023</v>
      </c>
    </row>
    <row r="4596" spans="14:14">
      <c r="N4596" s="3">
        <v>2860654600.5151696</v>
      </c>
    </row>
    <row r="4597" spans="14:14">
      <c r="N4597" s="3">
        <v>3285692708.0829587</v>
      </c>
    </row>
    <row r="4598" spans="14:14">
      <c r="N4598" s="3">
        <v>1211441204.8928933</v>
      </c>
    </row>
    <row r="4599" spans="14:14">
      <c r="N4599" s="3">
        <v>1611380635.2381802</v>
      </c>
    </row>
    <row r="4600" spans="14:14">
      <c r="N4600" s="3">
        <v>1976499386.4212749</v>
      </c>
    </row>
    <row r="4601" spans="14:14">
      <c r="N4601" s="3">
        <v>2724244842.4917169</v>
      </c>
    </row>
    <row r="4602" spans="14:14">
      <c r="N4602" s="3">
        <v>1490403571.8564537</v>
      </c>
    </row>
    <row r="4603" spans="14:14">
      <c r="N4603" s="3">
        <v>927501829.31045985</v>
      </c>
    </row>
    <row r="4604" spans="14:14">
      <c r="N4604" s="3">
        <v>1438580822.0956802</v>
      </c>
    </row>
    <row r="4605" spans="14:14">
      <c r="N4605" s="3">
        <v>2430580267.798017</v>
      </c>
    </row>
    <row r="4606" spans="14:14">
      <c r="N4606" s="3">
        <v>2084734752.2088959</v>
      </c>
    </row>
    <row r="4607" spans="14:14">
      <c r="N4607" s="3">
        <v>1734841555.9660451</v>
      </c>
    </row>
    <row r="4608" spans="14:14">
      <c r="N4608" s="3">
        <v>4447348403.7290449</v>
      </c>
    </row>
    <row r="4609" spans="14:14">
      <c r="N4609" s="3">
        <v>2281913245.3458724</v>
      </c>
    </row>
    <row r="4610" spans="14:14">
      <c r="N4610" s="3">
        <v>1622903103.0260627</v>
      </c>
    </row>
    <row r="4611" spans="14:14">
      <c r="N4611" s="3">
        <v>1823945577.8443475</v>
      </c>
    </row>
    <row r="4612" spans="14:14">
      <c r="N4612" s="3">
        <v>4130544658.1815128</v>
      </c>
    </row>
    <row r="4613" spans="14:14">
      <c r="N4613" s="3">
        <v>2306802306.9087739</v>
      </c>
    </row>
    <row r="4614" spans="14:14">
      <c r="N4614" s="3">
        <v>2741355198.0976028</v>
      </c>
    </row>
    <row r="4615" spans="14:14">
      <c r="N4615" s="3">
        <v>1521674434.6792836</v>
      </c>
    </row>
    <row r="4616" spans="14:14">
      <c r="N4616" s="3">
        <v>1518440902.3766117</v>
      </c>
    </row>
    <row r="4617" spans="14:14">
      <c r="N4617" s="3">
        <v>1844534644.2394109</v>
      </c>
    </row>
    <row r="4618" spans="14:14">
      <c r="N4618" s="3">
        <v>1556283388.7839689</v>
      </c>
    </row>
    <row r="4619" spans="14:14">
      <c r="N4619" s="3">
        <v>3166573199.2784705</v>
      </c>
    </row>
    <row r="4620" spans="14:14">
      <c r="N4620" s="3">
        <v>2277796303.5643263</v>
      </c>
    </row>
    <row r="4621" spans="14:14">
      <c r="N4621" s="3">
        <v>2858350552.9918022</v>
      </c>
    </row>
    <row r="4622" spans="14:14">
      <c r="N4622" s="3">
        <v>1767724523.3268397</v>
      </c>
    </row>
    <row r="4623" spans="14:14">
      <c r="N4623" s="3">
        <v>1761168171.314923</v>
      </c>
    </row>
    <row r="4624" spans="14:14">
      <c r="N4624" s="3">
        <v>2231170103.0915289</v>
      </c>
    </row>
    <row r="4625" spans="14:14">
      <c r="N4625" s="3">
        <v>2052766027.8686612</v>
      </c>
    </row>
    <row r="4626" spans="14:14">
      <c r="N4626" s="3">
        <v>1873594986.1370881</v>
      </c>
    </row>
    <row r="4627" spans="14:14">
      <c r="N4627" s="3">
        <v>1913730201.7182167</v>
      </c>
    </row>
    <row r="4628" spans="14:14">
      <c r="N4628" s="3">
        <v>1634682778.4029777</v>
      </c>
    </row>
    <row r="4629" spans="14:14">
      <c r="N4629" s="3">
        <v>2409573106.5830393</v>
      </c>
    </row>
    <row r="4630" spans="14:14">
      <c r="N4630" s="3">
        <v>1758312721.5899055</v>
      </c>
    </row>
    <row r="4631" spans="14:14">
      <c r="N4631" s="3">
        <v>1860120374.51489</v>
      </c>
    </row>
    <row r="4632" spans="14:14">
      <c r="N4632" s="3">
        <v>1958729549.8703403</v>
      </c>
    </row>
    <row r="4633" spans="14:14">
      <c r="N4633" s="3">
        <v>1680911474.3936377</v>
      </c>
    </row>
    <row r="4634" spans="14:14">
      <c r="N4634" s="3">
        <v>3018155800.2985902</v>
      </c>
    </row>
    <row r="4635" spans="14:14">
      <c r="N4635" s="3">
        <v>2364821776.9775133</v>
      </c>
    </row>
    <row r="4636" spans="14:14">
      <c r="N4636" s="3">
        <v>1420649804.9055579</v>
      </c>
    </row>
    <row r="4637" spans="14:14">
      <c r="N4637" s="3">
        <v>1263672579.4291022</v>
      </c>
    </row>
    <row r="4638" spans="14:14">
      <c r="N4638" s="3">
        <v>4461058100.2933903</v>
      </c>
    </row>
    <row r="4639" spans="14:14">
      <c r="N4639" s="3">
        <v>2165394552.8323731</v>
      </c>
    </row>
    <row r="4640" spans="14:14">
      <c r="N4640" s="3">
        <v>2174914951.9706955</v>
      </c>
    </row>
    <row r="4641" spans="14:14">
      <c r="N4641" s="3">
        <v>1718962794.6258364</v>
      </c>
    </row>
    <row r="4642" spans="14:14">
      <c r="N4642" s="3">
        <v>1943070210.5025544</v>
      </c>
    </row>
    <row r="4643" spans="14:14">
      <c r="N4643" s="3">
        <v>2682792063.0291719</v>
      </c>
    </row>
    <row r="4644" spans="14:14">
      <c r="N4644" s="3">
        <v>1589060536.0057893</v>
      </c>
    </row>
    <row r="4645" spans="14:14">
      <c r="N4645" s="3">
        <v>2125014414.6334608</v>
      </c>
    </row>
    <row r="4646" spans="14:14">
      <c r="N4646" s="3">
        <v>2550618543.505259</v>
      </c>
    </row>
    <row r="4647" spans="14:14">
      <c r="N4647" s="3">
        <v>3106983248.0432048</v>
      </c>
    </row>
    <row r="4648" spans="14:14">
      <c r="N4648" s="3">
        <v>2502153753.8539052</v>
      </c>
    </row>
    <row r="4649" spans="14:14">
      <c r="N4649" s="3">
        <v>1169268283.4592431</v>
      </c>
    </row>
    <row r="4650" spans="14:14">
      <c r="N4650" s="3">
        <v>2194038860.8683295</v>
      </c>
    </row>
    <row r="4651" spans="14:14">
      <c r="N4651" s="3">
        <v>1714565390.7776375</v>
      </c>
    </row>
    <row r="4652" spans="14:14">
      <c r="N4652" s="3">
        <v>2381760461.5578952</v>
      </c>
    </row>
    <row r="4653" spans="14:14">
      <c r="N4653" s="3">
        <v>2185910955.9464741</v>
      </c>
    </row>
    <row r="4654" spans="14:14">
      <c r="N4654" s="3">
        <v>2544917429.8151326</v>
      </c>
    </row>
    <row r="4655" spans="14:14">
      <c r="N4655" s="3">
        <v>2375240628.2657967</v>
      </c>
    </row>
    <row r="4656" spans="14:14">
      <c r="N4656" s="3">
        <v>2473968710.5727978</v>
      </c>
    </row>
    <row r="4657" spans="14:14">
      <c r="N4657" s="3">
        <v>2187408321.5660677</v>
      </c>
    </row>
    <row r="4658" spans="14:14">
      <c r="N4658" s="3">
        <v>1853544791.2970948</v>
      </c>
    </row>
    <row r="4659" spans="14:14">
      <c r="N4659" s="3">
        <v>1449897167.4114017</v>
      </c>
    </row>
    <row r="4660" spans="14:14">
      <c r="N4660" s="3">
        <v>2302788954.001183</v>
      </c>
    </row>
    <row r="4661" spans="14:14">
      <c r="N4661" s="3">
        <v>4047394877.4004607</v>
      </c>
    </row>
    <row r="4662" spans="14:14">
      <c r="N4662" s="3">
        <v>1430547789.8995554</v>
      </c>
    </row>
    <row r="4663" spans="14:14">
      <c r="N4663" s="3">
        <v>3618828453.4547739</v>
      </c>
    </row>
    <row r="4664" spans="14:14">
      <c r="N4664" s="3">
        <v>2490411567.5576153</v>
      </c>
    </row>
    <row r="4665" spans="14:14">
      <c r="N4665" s="3">
        <v>1356174950.1520946</v>
      </c>
    </row>
    <row r="4666" spans="14:14">
      <c r="N4666" s="3">
        <v>2159059445.5853624</v>
      </c>
    </row>
    <row r="4667" spans="14:14">
      <c r="N4667" s="3">
        <v>1472745675.1473322</v>
      </c>
    </row>
    <row r="4668" spans="14:14">
      <c r="N4668" s="3">
        <v>2126326529.1519644</v>
      </c>
    </row>
    <row r="4669" spans="14:14">
      <c r="N4669" s="3">
        <v>2399497602.2936378</v>
      </c>
    </row>
    <row r="4670" spans="14:14">
      <c r="N4670" s="3">
        <v>2461039093.6710997</v>
      </c>
    </row>
    <row r="4671" spans="14:14">
      <c r="N4671" s="3">
        <v>2112907543.6877432</v>
      </c>
    </row>
    <row r="4672" spans="14:14">
      <c r="N4672" s="3">
        <v>1417968234.898139</v>
      </c>
    </row>
    <row r="4673" spans="14:14">
      <c r="N4673" s="3">
        <v>1736499411.8770335</v>
      </c>
    </row>
    <row r="4674" spans="14:14">
      <c r="N4674" s="3">
        <v>1401413041.8311067</v>
      </c>
    </row>
    <row r="4675" spans="14:14">
      <c r="N4675" s="3">
        <v>2254595579.0833368</v>
      </c>
    </row>
    <row r="4676" spans="14:14">
      <c r="N4676" s="3">
        <v>1751386756.2474794</v>
      </c>
    </row>
    <row r="4677" spans="14:14">
      <c r="N4677" s="3">
        <v>3829063443.9315767</v>
      </c>
    </row>
    <row r="4678" spans="14:14">
      <c r="N4678" s="3">
        <v>2050425592.3875067</v>
      </c>
    </row>
    <row r="4679" spans="14:14">
      <c r="N4679" s="3">
        <v>2604463108.722805</v>
      </c>
    </row>
    <row r="4680" spans="14:14">
      <c r="N4680" s="3">
        <v>2553169199.409102</v>
      </c>
    </row>
    <row r="4681" spans="14:14">
      <c r="N4681" s="3">
        <v>2262540114.799037</v>
      </c>
    </row>
    <row r="4682" spans="14:14">
      <c r="N4682" s="3">
        <v>2856381990.3625011</v>
      </c>
    </row>
    <row r="4683" spans="14:14">
      <c r="N4683" s="3">
        <v>1788351826.4366682</v>
      </c>
    </row>
    <row r="4684" spans="14:14">
      <c r="N4684" s="3">
        <v>1613961401.0240622</v>
      </c>
    </row>
    <row r="4685" spans="14:14">
      <c r="N4685" s="3">
        <v>1065174244.5197175</v>
      </c>
    </row>
    <row r="4686" spans="14:14">
      <c r="N4686" s="3">
        <v>3804190704.0167723</v>
      </c>
    </row>
    <row r="4687" spans="14:14">
      <c r="N4687" s="3">
        <v>1142439524.7649958</v>
      </c>
    </row>
    <row r="4688" spans="14:14">
      <c r="N4688" s="3">
        <v>3687363995.6821704</v>
      </c>
    </row>
    <row r="4689" spans="14:14">
      <c r="N4689" s="3">
        <v>4140487804.3618236</v>
      </c>
    </row>
    <row r="4690" spans="14:14">
      <c r="N4690" s="3">
        <v>1084895825.8161287</v>
      </c>
    </row>
    <row r="4691" spans="14:14">
      <c r="N4691" s="3">
        <v>1694307370.8302007</v>
      </c>
    </row>
    <row r="4692" spans="14:14">
      <c r="N4692" s="3">
        <v>2677111355.0072875</v>
      </c>
    </row>
    <row r="4693" spans="14:14">
      <c r="N4693" s="3">
        <v>2756405226.4325314</v>
      </c>
    </row>
    <row r="4694" spans="14:14">
      <c r="N4694" s="3">
        <v>5176442497.4166107</v>
      </c>
    </row>
    <row r="4695" spans="14:14">
      <c r="N4695" s="3">
        <v>4075334635.184103</v>
      </c>
    </row>
    <row r="4696" spans="14:14">
      <c r="N4696" s="3">
        <v>1840146659.0202711</v>
      </c>
    </row>
    <row r="4697" spans="14:14">
      <c r="N4697" s="3">
        <v>2694091303.5474219</v>
      </c>
    </row>
    <row r="4698" spans="14:14">
      <c r="N4698" s="3">
        <v>2953901416.9041348</v>
      </c>
    </row>
    <row r="4699" spans="14:14">
      <c r="N4699" s="3">
        <v>1515157139.4854696</v>
      </c>
    </row>
    <row r="4700" spans="14:14">
      <c r="N4700" s="3">
        <v>1768100125.815722</v>
      </c>
    </row>
    <row r="4701" spans="14:14">
      <c r="N4701" s="3">
        <v>1651770193.0376146</v>
      </c>
    </row>
    <row r="4702" spans="14:14">
      <c r="N4702" s="3">
        <v>1994638885.5761089</v>
      </c>
    </row>
    <row r="4703" spans="14:14">
      <c r="N4703" s="3">
        <v>2010524177.7856252</v>
      </c>
    </row>
    <row r="4704" spans="14:14">
      <c r="N4704" s="3">
        <v>1482364933.7761204</v>
      </c>
    </row>
    <row r="4705" spans="14:14">
      <c r="N4705" s="3">
        <v>1544748922.4733613</v>
      </c>
    </row>
    <row r="4706" spans="14:14">
      <c r="N4706" s="3">
        <v>1753083058.4351292</v>
      </c>
    </row>
    <row r="4707" spans="14:14">
      <c r="N4707" s="3">
        <v>2468323933.2683353</v>
      </c>
    </row>
    <row r="4708" spans="14:14">
      <c r="N4708" s="3">
        <v>1305569216.0869219</v>
      </c>
    </row>
    <row r="4709" spans="14:14">
      <c r="N4709" s="3">
        <v>1833697070.8110409</v>
      </c>
    </row>
    <row r="4710" spans="14:14">
      <c r="N4710" s="3">
        <v>1703862765.4813404</v>
      </c>
    </row>
    <row r="4711" spans="14:14">
      <c r="N4711" s="3">
        <v>937796910.81401014</v>
      </c>
    </row>
    <row r="4712" spans="14:14">
      <c r="N4712" s="3">
        <v>2564396471.359571</v>
      </c>
    </row>
    <row r="4713" spans="14:14">
      <c r="N4713" s="3">
        <v>3453474194.9253678</v>
      </c>
    </row>
    <row r="4714" spans="14:14">
      <c r="N4714" s="3">
        <v>2347213860.5304761</v>
      </c>
    </row>
    <row r="4715" spans="14:14">
      <c r="N4715" s="3">
        <v>3320314935.7960129</v>
      </c>
    </row>
    <row r="4716" spans="14:14">
      <c r="N4716" s="3">
        <v>1646199596.8496058</v>
      </c>
    </row>
    <row r="4717" spans="14:14">
      <c r="N4717" s="3">
        <v>1451013830.013099</v>
      </c>
    </row>
    <row r="4718" spans="14:14">
      <c r="N4718" s="3">
        <v>2305648579.4382682</v>
      </c>
    </row>
    <row r="4719" spans="14:14">
      <c r="N4719" s="3">
        <v>1813481287.079268</v>
      </c>
    </row>
    <row r="4720" spans="14:14">
      <c r="N4720" s="3">
        <v>2027437000.3623188</v>
      </c>
    </row>
    <row r="4721" spans="14:14">
      <c r="N4721" s="3">
        <v>1330491233.9666619</v>
      </c>
    </row>
    <row r="4722" spans="14:14">
      <c r="N4722" s="3">
        <v>2675050492.9025288</v>
      </c>
    </row>
    <row r="4723" spans="14:14">
      <c r="N4723" s="3">
        <v>1198842151.4575269</v>
      </c>
    </row>
    <row r="4724" spans="14:14">
      <c r="N4724" s="3">
        <v>1293350090.5668175</v>
      </c>
    </row>
    <row r="4725" spans="14:14">
      <c r="N4725" s="3">
        <v>2299611766.7491193</v>
      </c>
    </row>
    <row r="4726" spans="14:14">
      <c r="N4726" s="3">
        <v>2299170154.6524487</v>
      </c>
    </row>
    <row r="4727" spans="14:14">
      <c r="N4727" s="3">
        <v>3889654023.7893734</v>
      </c>
    </row>
    <row r="4728" spans="14:14">
      <c r="N4728" s="3">
        <v>1388488407.0779684</v>
      </c>
    </row>
    <row r="4729" spans="14:14">
      <c r="N4729" s="3">
        <v>2103256823.725709</v>
      </c>
    </row>
    <row r="4730" spans="14:14">
      <c r="N4730" s="3">
        <v>1678692129.7337983</v>
      </c>
    </row>
    <row r="4731" spans="14:14">
      <c r="N4731" s="3">
        <v>2386286307.0084147</v>
      </c>
    </row>
    <row r="4732" spans="14:14">
      <c r="N4732" s="3">
        <v>1055812765.7197341</v>
      </c>
    </row>
    <row r="4733" spans="14:14">
      <c r="N4733" s="3">
        <v>3752149629.3121815</v>
      </c>
    </row>
    <row r="4734" spans="14:14">
      <c r="N4734" s="3">
        <v>1300255625.6468694</v>
      </c>
    </row>
    <row r="4735" spans="14:14">
      <c r="N4735" s="3">
        <v>1668607048.0381784</v>
      </c>
    </row>
    <row r="4736" spans="14:14">
      <c r="N4736" s="3">
        <v>3055411165.1064272</v>
      </c>
    </row>
    <row r="4737" spans="14:14">
      <c r="N4737" s="3">
        <v>2768385942.9259009</v>
      </c>
    </row>
    <row r="4738" spans="14:14">
      <c r="N4738" s="3">
        <v>2150609418.6160097</v>
      </c>
    </row>
    <row r="4739" spans="14:14">
      <c r="N4739" s="3">
        <v>1368151827.8905375</v>
      </c>
    </row>
    <row r="4740" spans="14:14">
      <c r="N4740" s="3">
        <v>1193276868.4090972</v>
      </c>
    </row>
    <row r="4741" spans="14:14">
      <c r="N4741" s="3">
        <v>1634920627.1209855</v>
      </c>
    </row>
    <row r="4742" spans="14:14">
      <c r="N4742" s="3">
        <v>3337133465.1807137</v>
      </c>
    </row>
    <row r="4743" spans="14:14">
      <c r="N4743" s="3">
        <v>2518440972.0940008</v>
      </c>
    </row>
    <row r="4744" spans="14:14">
      <c r="N4744" s="3">
        <v>3090015719.4743304</v>
      </c>
    </row>
    <row r="4745" spans="14:14">
      <c r="N4745" s="3">
        <v>1663499840.6555269</v>
      </c>
    </row>
    <row r="4746" spans="14:14">
      <c r="N4746" s="3">
        <v>1720490292.0634212</v>
      </c>
    </row>
    <row r="4747" spans="14:14">
      <c r="N4747" s="3">
        <v>1567268943.2018764</v>
      </c>
    </row>
    <row r="4748" spans="14:14">
      <c r="N4748" s="3">
        <v>2347939048.708498</v>
      </c>
    </row>
    <row r="4749" spans="14:14">
      <c r="N4749" s="3">
        <v>1719298040.4580159</v>
      </c>
    </row>
    <row r="4750" spans="14:14">
      <c r="N4750" s="3">
        <v>3361278634.6370058</v>
      </c>
    </row>
    <row r="4751" spans="14:14">
      <c r="N4751" s="3">
        <v>2862940055.493597</v>
      </c>
    </row>
    <row r="4752" spans="14:14">
      <c r="N4752" s="3">
        <v>3318931044.588438</v>
      </c>
    </row>
    <row r="4753" spans="14:14">
      <c r="N4753" s="3">
        <v>2453016150.0387573</v>
      </c>
    </row>
    <row r="4754" spans="14:14">
      <c r="N4754" s="3">
        <v>2347719620.2992258</v>
      </c>
    </row>
    <row r="4755" spans="14:14">
      <c r="N4755" s="3">
        <v>1946363333.9323349</v>
      </c>
    </row>
    <row r="4756" spans="14:14">
      <c r="N4756" s="3">
        <v>2094849479.6499085</v>
      </c>
    </row>
    <row r="4757" spans="14:14">
      <c r="N4757" s="3">
        <v>1373157419.2804961</v>
      </c>
    </row>
    <row r="4758" spans="14:14">
      <c r="N4758" s="3">
        <v>3542194476.2095461</v>
      </c>
    </row>
    <row r="4759" spans="14:14">
      <c r="N4759" s="3">
        <v>856738985.67299175</v>
      </c>
    </row>
    <row r="4760" spans="14:14">
      <c r="N4760" s="3">
        <v>1563607921.6759088</v>
      </c>
    </row>
    <row r="4761" spans="14:14">
      <c r="N4761" s="3">
        <v>1900085569.0320473</v>
      </c>
    </row>
    <row r="4762" spans="14:14">
      <c r="N4762" s="3">
        <v>1438337973.5279856</v>
      </c>
    </row>
    <row r="4763" spans="14:14">
      <c r="N4763" s="3">
        <v>2318972837.5193777</v>
      </c>
    </row>
    <row r="4764" spans="14:14">
      <c r="N4764" s="3">
        <v>2133894247.7092781</v>
      </c>
    </row>
    <row r="4765" spans="14:14">
      <c r="N4765" s="3">
        <v>1224657152.1504552</v>
      </c>
    </row>
    <row r="4766" spans="14:14">
      <c r="N4766" s="3">
        <v>2440546163.1103263</v>
      </c>
    </row>
    <row r="4767" spans="14:14">
      <c r="N4767" s="3">
        <v>1207126407.6879797</v>
      </c>
    </row>
    <row r="4768" spans="14:14">
      <c r="N4768" s="3">
        <v>1685065502.6114645</v>
      </c>
    </row>
    <row r="4769" spans="14:14">
      <c r="N4769" s="3">
        <v>2076733817.0033641</v>
      </c>
    </row>
    <row r="4770" spans="14:14">
      <c r="N4770" s="3">
        <v>1619575864.0817132</v>
      </c>
    </row>
    <row r="4771" spans="14:14">
      <c r="N4771" s="3">
        <v>1683053787.1327593</v>
      </c>
    </row>
    <row r="4772" spans="14:14">
      <c r="N4772" s="3">
        <v>1851117342.7358983</v>
      </c>
    </row>
    <row r="4773" spans="14:14">
      <c r="N4773" s="3">
        <v>1260686602.0107491</v>
      </c>
    </row>
    <row r="4774" spans="14:14">
      <c r="N4774" s="3">
        <v>2222699744.3241682</v>
      </c>
    </row>
    <row r="4775" spans="14:14">
      <c r="N4775" s="3">
        <v>2593681171.8874335</v>
      </c>
    </row>
    <row r="4776" spans="14:14">
      <c r="N4776" s="3">
        <v>4737254829.0574026</v>
      </c>
    </row>
    <row r="4777" spans="14:14">
      <c r="N4777" s="3">
        <v>1387793766.7395067</v>
      </c>
    </row>
    <row r="4778" spans="14:14">
      <c r="N4778" s="3">
        <v>1173911970.5132463</v>
      </c>
    </row>
    <row r="4779" spans="14:14">
      <c r="N4779" s="3">
        <v>1819438415.3774626</v>
      </c>
    </row>
    <row r="4780" spans="14:14">
      <c r="N4780" s="3">
        <v>2461232809.9982033</v>
      </c>
    </row>
    <row r="4781" spans="14:14">
      <c r="N4781" s="3">
        <v>1490987011.3234084</v>
      </c>
    </row>
    <row r="4782" spans="14:14">
      <c r="N4782" s="3">
        <v>1657319486.9220641</v>
      </c>
    </row>
    <row r="4783" spans="14:14">
      <c r="N4783" s="3">
        <v>2088302842.1950233</v>
      </c>
    </row>
    <row r="4784" spans="14:14">
      <c r="N4784" s="3">
        <v>1248454535.5825393</v>
      </c>
    </row>
    <row r="4785" spans="14:14">
      <c r="N4785" s="3">
        <v>1283223710.3036788</v>
      </c>
    </row>
    <row r="4786" spans="14:14">
      <c r="N4786" s="3">
        <v>3653277018.6493058</v>
      </c>
    </row>
    <row r="4787" spans="14:14">
      <c r="N4787" s="3">
        <v>1572352947.7709267</v>
      </c>
    </row>
    <row r="4788" spans="14:14">
      <c r="N4788" s="3">
        <v>1593966859.4710972</v>
      </c>
    </row>
    <row r="4789" spans="14:14">
      <c r="N4789" s="3">
        <v>1947602331.9006913</v>
      </c>
    </row>
    <row r="4790" spans="14:14">
      <c r="N4790" s="3">
        <v>1660399955.6849923</v>
      </c>
    </row>
    <row r="4791" spans="14:14">
      <c r="N4791" s="3">
        <v>2455759592.9921989</v>
      </c>
    </row>
    <row r="4792" spans="14:14">
      <c r="N4792" s="3">
        <v>2402113350.3510542</v>
      </c>
    </row>
    <row r="4793" spans="14:14">
      <c r="N4793" s="3">
        <v>3750340867.7561951</v>
      </c>
    </row>
    <row r="4794" spans="14:14">
      <c r="N4794" s="3">
        <v>4129550239.5899067</v>
      </c>
    </row>
    <row r="4795" spans="14:14">
      <c r="N4795" s="3">
        <v>1377558065.5663309</v>
      </c>
    </row>
    <row r="4796" spans="14:14">
      <c r="N4796" s="3">
        <v>2000410894.39134</v>
      </c>
    </row>
    <row r="4797" spans="14:14">
      <c r="N4797" s="3">
        <v>1842125211.1662776</v>
      </c>
    </row>
    <row r="4798" spans="14:14">
      <c r="N4798" s="3">
        <v>2439891347.4905105</v>
      </c>
    </row>
    <row r="4799" spans="14:14">
      <c r="N4799" s="3">
        <v>822537508.45713007</v>
      </c>
    </row>
    <row r="4800" spans="14:14">
      <c r="N4800" s="3">
        <v>1585133760.8744149</v>
      </c>
    </row>
    <row r="4801" spans="14:14">
      <c r="N4801" s="3">
        <v>1378006024.0448229</v>
      </c>
    </row>
    <row r="4802" spans="14:14">
      <c r="N4802" s="3">
        <v>1524853160.3011217</v>
      </c>
    </row>
    <row r="4803" spans="14:14">
      <c r="N4803" s="3">
        <v>1089374575.089256</v>
      </c>
    </row>
    <row r="4804" spans="14:14">
      <c r="N4804" s="3">
        <v>1817934203.0872052</v>
      </c>
    </row>
    <row r="4805" spans="14:14">
      <c r="N4805" s="3">
        <v>1775789033.3274932</v>
      </c>
    </row>
    <row r="4806" spans="14:14">
      <c r="N4806" s="3">
        <v>4526996873.1337891</v>
      </c>
    </row>
    <row r="4807" spans="14:14">
      <c r="N4807" s="3">
        <v>2285357177.7589488</v>
      </c>
    </row>
    <row r="4808" spans="14:14">
      <c r="N4808" s="3">
        <v>3957371890.865634</v>
      </c>
    </row>
    <row r="4809" spans="14:14">
      <c r="N4809" s="3">
        <v>1332108565.0463767</v>
      </c>
    </row>
    <row r="4810" spans="14:14">
      <c r="N4810" s="3">
        <v>1745794863.3473797</v>
      </c>
    </row>
    <row r="4811" spans="14:14">
      <c r="N4811" s="3">
        <v>2630689978.6961107</v>
      </c>
    </row>
    <row r="4812" spans="14:14">
      <c r="N4812" s="3">
        <v>1556684334.4603462</v>
      </c>
    </row>
    <row r="4813" spans="14:14">
      <c r="N4813" s="3">
        <v>2338407851.6283422</v>
      </c>
    </row>
    <row r="4814" spans="14:14">
      <c r="N4814" s="3">
        <v>3005045107.4970479</v>
      </c>
    </row>
    <row r="4815" spans="14:14">
      <c r="N4815" s="3">
        <v>971734952.82838702</v>
      </c>
    </row>
    <row r="4816" spans="14:14">
      <c r="N4816" s="3">
        <v>1473652723.4227679</v>
      </c>
    </row>
    <row r="4817" spans="14:14">
      <c r="N4817" s="3">
        <v>2913374247.3075848</v>
      </c>
    </row>
    <row r="4818" spans="14:14">
      <c r="N4818" s="3">
        <v>4734561314.7450228</v>
      </c>
    </row>
    <row r="4819" spans="14:14">
      <c r="N4819" s="3">
        <v>3313803681.7514615</v>
      </c>
    </row>
    <row r="4820" spans="14:14">
      <c r="N4820" s="3">
        <v>945781628.93446028</v>
      </c>
    </row>
    <row r="4821" spans="14:14">
      <c r="N4821" s="3">
        <v>2448386857.7241497</v>
      </c>
    </row>
    <row r="4822" spans="14:14">
      <c r="N4822" s="3">
        <v>2269889813.0497952</v>
      </c>
    </row>
    <row r="4823" spans="14:14">
      <c r="N4823" s="3">
        <v>1024053894.6644177</v>
      </c>
    </row>
    <row r="4824" spans="14:14">
      <c r="N4824" s="3">
        <v>1602569168.095917</v>
      </c>
    </row>
    <row r="4825" spans="14:14">
      <c r="N4825" s="3">
        <v>2133642776.6905644</v>
      </c>
    </row>
    <row r="4826" spans="14:14">
      <c r="N4826" s="3">
        <v>3075069016.3076596</v>
      </c>
    </row>
    <row r="4827" spans="14:14">
      <c r="N4827" s="3">
        <v>2082776963.8431389</v>
      </c>
    </row>
    <row r="4828" spans="14:14">
      <c r="N4828" s="3">
        <v>2845152120.2040977</v>
      </c>
    </row>
    <row r="4829" spans="14:14">
      <c r="N4829" s="3">
        <v>1276413740.3941832</v>
      </c>
    </row>
    <row r="4830" spans="14:14">
      <c r="N4830" s="3">
        <v>2258071048.9430075</v>
      </c>
    </row>
    <row r="4831" spans="14:14">
      <c r="N4831" s="3">
        <v>1724813863.2909462</v>
      </c>
    </row>
    <row r="4832" spans="14:14">
      <c r="N4832" s="3">
        <v>3079488109.5322461</v>
      </c>
    </row>
    <row r="4833" spans="14:14">
      <c r="N4833" s="3">
        <v>1868221200.4068539</v>
      </c>
    </row>
    <row r="4834" spans="14:14">
      <c r="N4834" s="3">
        <v>1669024075.1018393</v>
      </c>
    </row>
    <row r="4835" spans="14:14">
      <c r="N4835" s="3">
        <v>1831135635.4937401</v>
      </c>
    </row>
    <row r="4836" spans="14:14">
      <c r="N4836" s="3">
        <v>2217985486.3066344</v>
      </c>
    </row>
    <row r="4837" spans="14:14">
      <c r="N4837" s="3">
        <v>1627162507.4929082</v>
      </c>
    </row>
    <row r="4838" spans="14:14">
      <c r="N4838" s="3">
        <v>1702625868.1329281</v>
      </c>
    </row>
    <row r="4839" spans="14:14">
      <c r="N4839" s="3">
        <v>3023214728.6384878</v>
      </c>
    </row>
    <row r="4840" spans="14:14">
      <c r="N4840" s="3">
        <v>4569390764.5147581</v>
      </c>
    </row>
    <row r="4841" spans="14:14">
      <c r="N4841" s="3">
        <v>1212128494.5729365</v>
      </c>
    </row>
    <row r="4842" spans="14:14">
      <c r="N4842" s="3">
        <v>1452367742.0376611</v>
      </c>
    </row>
    <row r="4843" spans="14:14">
      <c r="N4843" s="3">
        <v>2927539567.9086537</v>
      </c>
    </row>
    <row r="4844" spans="14:14">
      <c r="N4844" s="3">
        <v>3504717105.4819131</v>
      </c>
    </row>
    <row r="4845" spans="14:14">
      <c r="N4845" s="3">
        <v>2385606520.2768331</v>
      </c>
    </row>
    <row r="4846" spans="14:14">
      <c r="N4846" s="3">
        <v>2862271717.7053761</v>
      </c>
    </row>
    <row r="4847" spans="14:14">
      <c r="N4847" s="3">
        <v>2104593632.6754241</v>
      </c>
    </row>
    <row r="4848" spans="14:14">
      <c r="N4848" s="3">
        <v>2786538802.1772752</v>
      </c>
    </row>
    <row r="4849" spans="14:14">
      <c r="N4849" s="3">
        <v>1466708370.4391644</v>
      </c>
    </row>
    <row r="4850" spans="14:14">
      <c r="N4850" s="3">
        <v>1091127095.9334877</v>
      </c>
    </row>
    <row r="4851" spans="14:14">
      <c r="N4851" s="3">
        <v>1657320019.6370316</v>
      </c>
    </row>
    <row r="4852" spans="14:14">
      <c r="N4852" s="3">
        <v>2770508609.7691326</v>
      </c>
    </row>
    <row r="4853" spans="14:14">
      <c r="N4853" s="3">
        <v>2458105340.3042312</v>
      </c>
    </row>
    <row r="4854" spans="14:14">
      <c r="N4854" s="3">
        <v>2507446369.892539</v>
      </c>
    </row>
    <row r="4855" spans="14:14">
      <c r="N4855" s="3">
        <v>2513492987.1036215</v>
      </c>
    </row>
    <row r="4856" spans="14:14">
      <c r="N4856" s="3">
        <v>1934760945.8781424</v>
      </c>
    </row>
    <row r="4857" spans="14:14">
      <c r="N4857" s="3">
        <v>2037155594.7551544</v>
      </c>
    </row>
    <row r="4858" spans="14:14">
      <c r="N4858" s="3">
        <v>1157648792.8358152</v>
      </c>
    </row>
    <row r="4859" spans="14:14">
      <c r="N4859" s="3">
        <v>2402138468.7519984</v>
      </c>
    </row>
    <row r="4860" spans="14:14">
      <c r="N4860" s="3">
        <v>2154709605.6631885</v>
      </c>
    </row>
    <row r="4861" spans="14:14">
      <c r="N4861" s="3">
        <v>2107572501.2267094</v>
      </c>
    </row>
    <row r="4862" spans="14:14">
      <c r="N4862" s="3">
        <v>1395356046.9246426</v>
      </c>
    </row>
    <row r="4863" spans="14:14">
      <c r="N4863" s="3">
        <v>2686768544.8777671</v>
      </c>
    </row>
    <row r="4864" spans="14:14">
      <c r="N4864" s="3">
        <v>3688835858.0087132</v>
      </c>
    </row>
    <row r="4865" spans="14:14">
      <c r="N4865" s="3">
        <v>3811330600.2428126</v>
      </c>
    </row>
    <row r="4866" spans="14:14">
      <c r="N4866" s="3">
        <v>2850358586.3592501</v>
      </c>
    </row>
    <row r="4867" spans="14:14">
      <c r="N4867" s="3">
        <v>2444664700.937593</v>
      </c>
    </row>
    <row r="4868" spans="14:14">
      <c r="N4868" s="3">
        <v>3825265976.073575</v>
      </c>
    </row>
    <row r="4869" spans="14:14">
      <c r="N4869" s="3">
        <v>1086228403.4147637</v>
      </c>
    </row>
    <row r="4870" spans="14:14">
      <c r="N4870" s="3">
        <v>1566169932.8407137</v>
      </c>
    </row>
    <row r="4871" spans="14:14">
      <c r="N4871" s="3">
        <v>1427846045.3849351</v>
      </c>
    </row>
    <row r="4872" spans="14:14">
      <c r="N4872" s="3">
        <v>1409702425.2731285</v>
      </c>
    </row>
    <row r="4873" spans="14:14">
      <c r="N4873" s="3">
        <v>2115009976.0779836</v>
      </c>
    </row>
    <row r="4874" spans="14:14">
      <c r="N4874" s="3">
        <v>1632662117.3755696</v>
      </c>
    </row>
    <row r="4875" spans="14:14">
      <c r="N4875" s="3">
        <v>2410188848.652143</v>
      </c>
    </row>
    <row r="4876" spans="14:14">
      <c r="N4876" s="3">
        <v>1779270736.8682747</v>
      </c>
    </row>
    <row r="4877" spans="14:14">
      <c r="N4877" s="3">
        <v>1951538258.6512485</v>
      </c>
    </row>
    <row r="4878" spans="14:14">
      <c r="N4878" s="3">
        <v>1276050746.8368473</v>
      </c>
    </row>
    <row r="4879" spans="14:14">
      <c r="N4879" s="3">
        <v>1191697540.4475601</v>
      </c>
    </row>
    <row r="4880" spans="14:14">
      <c r="N4880" s="3">
        <v>2092060263.2920909</v>
      </c>
    </row>
    <row r="4881" spans="14:14">
      <c r="N4881" s="3">
        <v>2634331407.1356254</v>
      </c>
    </row>
    <row r="4882" spans="14:14">
      <c r="N4882" s="3">
        <v>1409383086.888643</v>
      </c>
    </row>
    <row r="4883" spans="14:14">
      <c r="N4883" s="3">
        <v>3256005065.997448</v>
      </c>
    </row>
    <row r="4884" spans="14:14">
      <c r="N4884" s="3">
        <v>2172032430.6102414</v>
      </c>
    </row>
    <row r="4885" spans="14:14">
      <c r="N4885" s="3">
        <v>1495687571.953227</v>
      </c>
    </row>
    <row r="4886" spans="14:14">
      <c r="N4886" s="3">
        <v>2203308765.0482211</v>
      </c>
    </row>
    <row r="4887" spans="14:14">
      <c r="N4887" s="3">
        <v>2527220834.6789994</v>
      </c>
    </row>
    <row r="4888" spans="14:14">
      <c r="N4888" s="3">
        <v>3574890123.8999085</v>
      </c>
    </row>
    <row r="4889" spans="14:14">
      <c r="N4889" s="3">
        <v>2095210870.5388837</v>
      </c>
    </row>
    <row r="4890" spans="14:14">
      <c r="N4890" s="3">
        <v>1489178992.0483394</v>
      </c>
    </row>
    <row r="4891" spans="14:14">
      <c r="N4891" s="3">
        <v>1960662163.8721664</v>
      </c>
    </row>
    <row r="4892" spans="14:14">
      <c r="N4892" s="3">
        <v>1753808076.4503956</v>
      </c>
    </row>
    <row r="4893" spans="14:14">
      <c r="N4893" s="3">
        <v>1188286692.3160148</v>
      </c>
    </row>
    <row r="4894" spans="14:14">
      <c r="N4894" s="3">
        <v>1975764834.0484345</v>
      </c>
    </row>
    <row r="4895" spans="14:14">
      <c r="N4895" s="3">
        <v>1219320688.3197374</v>
      </c>
    </row>
    <row r="4896" spans="14:14">
      <c r="N4896" s="3">
        <v>2399256508.3693147</v>
      </c>
    </row>
    <row r="4897" spans="14:14">
      <c r="N4897" s="3">
        <v>1557996192.9193516</v>
      </c>
    </row>
    <row r="4898" spans="14:14">
      <c r="N4898" s="3">
        <v>1508625989.7664659</v>
      </c>
    </row>
    <row r="4899" spans="14:14">
      <c r="N4899" s="3">
        <v>2650011663.3488417</v>
      </c>
    </row>
    <row r="4900" spans="14:14">
      <c r="N4900" s="3">
        <v>2644836634.5448775</v>
      </c>
    </row>
    <row r="4901" spans="14:14">
      <c r="N4901" s="3">
        <v>4097223535.9914379</v>
      </c>
    </row>
    <row r="4902" spans="14:14">
      <c r="N4902" s="3">
        <v>1616580787.6682894</v>
      </c>
    </row>
    <row r="4903" spans="14:14">
      <c r="N4903" s="3">
        <v>2953818824.4267526</v>
      </c>
    </row>
    <row r="4904" spans="14:14">
      <c r="N4904" s="3">
        <v>1751006842.4959006</v>
      </c>
    </row>
    <row r="4905" spans="14:14">
      <c r="N4905" s="3">
        <v>1064922008.8051407</v>
      </c>
    </row>
    <row r="4906" spans="14:14">
      <c r="N4906" s="3">
        <v>1967163529.0974112</v>
      </c>
    </row>
    <row r="4907" spans="14:14">
      <c r="N4907" s="3">
        <v>2447157586.4691849</v>
      </c>
    </row>
    <row r="4908" spans="14:14">
      <c r="N4908" s="3">
        <v>2586189683.1586533</v>
      </c>
    </row>
    <row r="4909" spans="14:14">
      <c r="N4909" s="3">
        <v>2201246519.8778057</v>
      </c>
    </row>
    <row r="4910" spans="14:14">
      <c r="N4910" s="3">
        <v>4132335246.2971406</v>
      </c>
    </row>
    <row r="4911" spans="14:14">
      <c r="N4911" s="3">
        <v>3563558910.7748671</v>
      </c>
    </row>
    <row r="4912" spans="14:14">
      <c r="N4912" s="3">
        <v>2133045101.6006451</v>
      </c>
    </row>
    <row r="4913" spans="14:14">
      <c r="N4913" s="3">
        <v>5106543241.8024559</v>
      </c>
    </row>
    <row r="4914" spans="14:14">
      <c r="N4914" s="3">
        <v>1583532164.3367441</v>
      </c>
    </row>
    <row r="4915" spans="14:14">
      <c r="N4915" s="3">
        <v>2677669071.955749</v>
      </c>
    </row>
    <row r="4916" spans="14:14">
      <c r="N4916" s="3">
        <v>1419412971.6440604</v>
      </c>
    </row>
    <row r="4917" spans="14:14">
      <c r="N4917" s="3">
        <v>1235644243.8903518</v>
      </c>
    </row>
    <row r="4918" spans="14:14">
      <c r="N4918" s="3">
        <v>1230845791.2284853</v>
      </c>
    </row>
    <row r="4919" spans="14:14">
      <c r="N4919" s="3">
        <v>1124192073.9928493</v>
      </c>
    </row>
    <row r="4920" spans="14:14">
      <c r="N4920" s="3">
        <v>2822262640.3537188</v>
      </c>
    </row>
    <row r="4921" spans="14:14">
      <c r="N4921" s="3">
        <v>3086318211.9474053</v>
      </c>
    </row>
    <row r="4922" spans="14:14">
      <c r="N4922" s="3">
        <v>2068102958.6348817</v>
      </c>
    </row>
    <row r="4923" spans="14:14">
      <c r="N4923" s="3">
        <v>2967032789.5779366</v>
      </c>
    </row>
    <row r="4924" spans="14:14">
      <c r="N4924" s="3">
        <v>3042788321.5545921</v>
      </c>
    </row>
    <row r="4925" spans="14:14">
      <c r="N4925" s="3">
        <v>1689090955.475069</v>
      </c>
    </row>
    <row r="4926" spans="14:14">
      <c r="N4926" s="3">
        <v>1862163239.0828478</v>
      </c>
    </row>
    <row r="4927" spans="14:14">
      <c r="N4927" s="3">
        <v>1377655782.754761</v>
      </c>
    </row>
    <row r="4928" spans="14:14">
      <c r="N4928" s="3">
        <v>1360734133.7938337</v>
      </c>
    </row>
    <row r="4929" spans="14:14">
      <c r="N4929" s="3">
        <v>1882639586.5000641</v>
      </c>
    </row>
    <row r="4930" spans="14:14">
      <c r="N4930" s="3">
        <v>2923215386.2795954</v>
      </c>
    </row>
    <row r="4931" spans="14:14">
      <c r="N4931" s="3">
        <v>2246521547.1682487</v>
      </c>
    </row>
    <row r="4932" spans="14:14">
      <c r="N4932" s="3">
        <v>2202747454.9461904</v>
      </c>
    </row>
    <row r="4933" spans="14:14">
      <c r="N4933" s="3">
        <v>3486789523.2328467</v>
      </c>
    </row>
    <row r="4934" spans="14:14">
      <c r="N4934" s="3">
        <v>3249022424.1645308</v>
      </c>
    </row>
    <row r="4935" spans="14:14">
      <c r="N4935" s="3">
        <v>1702978664.0211735</v>
      </c>
    </row>
    <row r="4936" spans="14:14">
      <c r="N4936" s="3">
        <v>2193625976.4982214</v>
      </c>
    </row>
    <row r="4937" spans="14:14">
      <c r="N4937" s="3">
        <v>1765595551.5148692</v>
      </c>
    </row>
    <row r="4938" spans="14:14">
      <c r="N4938" s="3">
        <v>2080221955.5581167</v>
      </c>
    </row>
    <row r="4939" spans="14:14">
      <c r="N4939" s="3">
        <v>1350754851.0810101</v>
      </c>
    </row>
    <row r="4940" spans="14:14">
      <c r="N4940" s="3">
        <v>2666494855.5699353</v>
      </c>
    </row>
    <row r="4941" spans="14:14">
      <c r="N4941" s="3">
        <v>1348073738.5628431</v>
      </c>
    </row>
    <row r="4942" spans="14:14">
      <c r="N4942" s="3">
        <v>2087005570.0707135</v>
      </c>
    </row>
    <row r="4943" spans="14:14">
      <c r="N4943" s="3">
        <v>1455942982.0627913</v>
      </c>
    </row>
    <row r="4944" spans="14:14">
      <c r="N4944" s="3">
        <v>2625163112.3748274</v>
      </c>
    </row>
    <row r="4945" spans="14:14">
      <c r="N4945" s="3">
        <v>941077077.81042981</v>
      </c>
    </row>
    <row r="4946" spans="14:14">
      <c r="N4946" s="3">
        <v>2945817463.6480684</v>
      </c>
    </row>
    <row r="4947" spans="14:14">
      <c r="N4947" s="3">
        <v>1731698185.9343162</v>
      </c>
    </row>
    <row r="4948" spans="14:14">
      <c r="N4948" s="3">
        <v>2191460837.6034741</v>
      </c>
    </row>
    <row r="4949" spans="14:14">
      <c r="N4949" s="3">
        <v>3882091958.992506</v>
      </c>
    </row>
    <row r="4950" spans="14:14">
      <c r="N4950" s="3">
        <v>1351823688.4752572</v>
      </c>
    </row>
    <row r="4951" spans="14:14">
      <c r="N4951" s="3">
        <v>928582231.53987372</v>
      </c>
    </row>
    <row r="4952" spans="14:14">
      <c r="N4952" s="3">
        <v>1321705653.8665562</v>
      </c>
    </row>
    <row r="4953" spans="14:14">
      <c r="N4953" s="3">
        <v>1923473279.6049323</v>
      </c>
    </row>
    <row r="4954" spans="14:14">
      <c r="N4954" s="3">
        <v>1693465125.7908449</v>
      </c>
    </row>
    <row r="4955" spans="14:14">
      <c r="N4955" s="3">
        <v>1725069682.2178378</v>
      </c>
    </row>
    <row r="4956" spans="14:14">
      <c r="N4956" s="3">
        <v>2516695081.9559484</v>
      </c>
    </row>
    <row r="4957" spans="14:14">
      <c r="N4957" s="3">
        <v>1801710982.1662915</v>
      </c>
    </row>
    <row r="4958" spans="14:14">
      <c r="N4958" s="3">
        <v>879784882.15952897</v>
      </c>
    </row>
    <row r="4959" spans="14:14">
      <c r="N4959" s="3">
        <v>2516738871.6491075</v>
      </c>
    </row>
    <row r="4960" spans="14:14">
      <c r="N4960" s="3">
        <v>1881257107.1967261</v>
      </c>
    </row>
    <row r="4961" spans="14:14">
      <c r="N4961" s="3">
        <v>2598356514.952363</v>
      </c>
    </row>
    <row r="4962" spans="14:14">
      <c r="N4962" s="3">
        <v>1607031857.9396875</v>
      </c>
    </row>
    <row r="4963" spans="14:14">
      <c r="N4963" s="3">
        <v>1351040457.1543369</v>
      </c>
    </row>
    <row r="4964" spans="14:14">
      <c r="N4964" s="3">
        <v>3434029477.659142</v>
      </c>
    </row>
    <row r="4965" spans="14:14">
      <c r="N4965" s="3">
        <v>2547289436.3129525</v>
      </c>
    </row>
    <row r="4966" spans="14:14">
      <c r="N4966" s="3">
        <v>3317669547.6306119</v>
      </c>
    </row>
    <row r="4967" spans="14:14">
      <c r="N4967" s="3">
        <v>1756106461.2430959</v>
      </c>
    </row>
    <row r="4968" spans="14:14">
      <c r="N4968" s="3">
        <v>2351095073.4193125</v>
      </c>
    </row>
    <row r="4969" spans="14:14">
      <c r="N4969" s="3">
        <v>1377317864.21789</v>
      </c>
    </row>
    <row r="4970" spans="14:14">
      <c r="N4970" s="3">
        <v>1539623690.9910862</v>
      </c>
    </row>
    <row r="4971" spans="14:14">
      <c r="N4971" s="3">
        <v>4220965716.0627532</v>
      </c>
    </row>
    <row r="4972" spans="14:14">
      <c r="N4972" s="3">
        <v>1517433798.127954</v>
      </c>
    </row>
    <row r="4973" spans="14:14">
      <c r="N4973" s="3">
        <v>1044847927.1525275</v>
      </c>
    </row>
    <row r="4974" spans="14:14">
      <c r="N4974" s="3">
        <v>2444060001.5117979</v>
      </c>
    </row>
    <row r="4975" spans="14:14">
      <c r="N4975" s="3">
        <v>1967761004.1715724</v>
      </c>
    </row>
    <row r="4976" spans="14:14">
      <c r="N4976" s="3">
        <v>1405608004.5890603</v>
      </c>
    </row>
    <row r="4977" spans="14:14">
      <c r="N4977" s="3">
        <v>1812434971.0916653</v>
      </c>
    </row>
    <row r="4978" spans="14:14">
      <c r="N4978" s="3">
        <v>2073888172.2173183</v>
      </c>
    </row>
    <row r="4979" spans="14:14">
      <c r="N4979" s="3">
        <v>1581213849.7684276</v>
      </c>
    </row>
    <row r="4980" spans="14:14">
      <c r="N4980" s="3">
        <v>2715990663.7339869</v>
      </c>
    </row>
    <row r="4981" spans="14:14">
      <c r="N4981" s="3">
        <v>1813904235.8463476</v>
      </c>
    </row>
    <row r="4982" spans="14:14">
      <c r="N4982" s="3">
        <v>3520153596.5682726</v>
      </c>
    </row>
    <row r="4983" spans="14:14">
      <c r="N4983" s="3">
        <v>3673862967.6694436</v>
      </c>
    </row>
    <row r="4984" spans="14:14">
      <c r="N4984" s="3">
        <v>3765745202.5147853</v>
      </c>
    </row>
    <row r="4985" spans="14:14">
      <c r="N4985" s="3">
        <v>2647923545.3335171</v>
      </c>
    </row>
    <row r="4986" spans="14:14">
      <c r="N4986" s="3">
        <v>1410951304.8427379</v>
      </c>
    </row>
    <row r="4987" spans="14:14">
      <c r="N4987" s="3">
        <v>1514398208.7310073</v>
      </c>
    </row>
    <row r="4988" spans="14:14">
      <c r="N4988" s="3">
        <v>4080994024.2557607</v>
      </c>
    </row>
    <row r="4989" spans="14:14">
      <c r="N4989" s="3">
        <v>3041855399.6495981</v>
      </c>
    </row>
    <row r="4990" spans="14:14">
      <c r="N4990" s="3">
        <v>1953729397.0255346</v>
      </c>
    </row>
    <row r="4991" spans="14:14">
      <c r="N4991" s="3">
        <v>2921077417.2957497</v>
      </c>
    </row>
    <row r="4992" spans="14:14">
      <c r="N4992" s="3">
        <v>2052610860.8870776</v>
      </c>
    </row>
    <row r="4993" spans="14:14">
      <c r="N4993" s="3">
        <v>1903157378.3362525</v>
      </c>
    </row>
    <row r="4994" spans="14:14">
      <c r="N4994" s="3">
        <v>2519901902.701159</v>
      </c>
    </row>
    <row r="4995" spans="14:14">
      <c r="N4995" s="3">
        <v>3806897377.6106348</v>
      </c>
    </row>
    <row r="4996" spans="14:14">
      <c r="N4996" s="3">
        <v>4777737258.4581137</v>
      </c>
    </row>
    <row r="4997" spans="14:14">
      <c r="N4997" s="3">
        <v>3345273820.1144123</v>
      </c>
    </row>
    <row r="4998" spans="14:14">
      <c r="N4998" s="3">
        <v>1465396813.0563769</v>
      </c>
    </row>
    <row r="4999" spans="14:14">
      <c r="N4999" s="3">
        <v>2523809538.3511801</v>
      </c>
    </row>
    <row r="5000" spans="14:14">
      <c r="N5000" s="3">
        <v>3057022520.970789</v>
      </c>
    </row>
    <row r="5001" spans="14:14">
      <c r="N5001" s="3">
        <v>1602808085.7449427</v>
      </c>
    </row>
    <row r="5002" spans="14:14">
      <c r="N5002" s="3">
        <v>3480090361.8673182</v>
      </c>
    </row>
    <row r="5003" spans="14:14">
      <c r="N5003" s="3">
        <v>1345721042.9228895</v>
      </c>
    </row>
    <row r="5004" spans="14:14">
      <c r="N5004" s="3">
        <v>1211368042.1028633</v>
      </c>
    </row>
  </sheetData>
  <mergeCells count="2">
    <mergeCell ref="A1:J1"/>
    <mergeCell ref="A2:J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Z199"/>
  <sheetViews>
    <sheetView workbookViewId="0">
      <selection activeCell="B134" sqref="B134"/>
    </sheetView>
  </sheetViews>
  <sheetFormatPr baseColWidth="10" defaultColWidth="8.83203125" defaultRowHeight="14"/>
  <cols>
    <col min="1" max="1" width="31" style="56" bestFit="1" customWidth="1"/>
    <col min="2" max="2" width="23.83203125" style="56" bestFit="1" customWidth="1"/>
    <col min="3" max="3" width="17.33203125" style="56" bestFit="1" customWidth="1"/>
    <col min="4" max="4" width="17" style="56" customWidth="1"/>
    <col min="5" max="6" width="15" style="56" customWidth="1"/>
    <col min="7" max="7" width="18" style="56" customWidth="1"/>
    <col min="8" max="8" width="15" style="56" customWidth="1"/>
    <col min="9" max="9" width="17" style="56" customWidth="1"/>
    <col min="10" max="11" width="16" style="56" customWidth="1"/>
    <col min="12" max="13" width="18" style="56" customWidth="1"/>
    <col min="14" max="16384" width="8.83203125" style="56"/>
  </cols>
  <sheetData>
    <row r="1" spans="1:52" ht="40" customHeight="1">
      <c r="A1" s="52" t="s">
        <v>125</v>
      </c>
      <c r="B1" s="52"/>
      <c r="C1" s="52"/>
      <c r="D1" s="53"/>
      <c r="E1" s="52"/>
      <c r="F1" s="52"/>
      <c r="G1" s="52"/>
      <c r="H1" s="52"/>
      <c r="I1" s="52"/>
      <c r="J1" s="52"/>
      <c r="K1" s="52"/>
      <c r="L1" s="54"/>
      <c r="M1" s="54"/>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row>
    <row r="2" spans="1:52">
      <c r="A2" s="55"/>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row>
    <row r="3" spans="1:52" ht="48" customHeight="1">
      <c r="A3" s="57" t="s">
        <v>48</v>
      </c>
      <c r="B3" s="57" t="s">
        <v>126</v>
      </c>
      <c r="C3" s="57" t="s">
        <v>127</v>
      </c>
      <c r="D3" s="57" t="s">
        <v>128</v>
      </c>
      <c r="E3" s="57" t="s">
        <v>129</v>
      </c>
      <c r="F3" s="57" t="s">
        <v>130</v>
      </c>
      <c r="G3" s="57" t="s">
        <v>131</v>
      </c>
      <c r="H3" s="57" t="s">
        <v>132</v>
      </c>
      <c r="I3" s="57" t="s">
        <v>133</v>
      </c>
      <c r="J3" s="57" t="s">
        <v>134</v>
      </c>
      <c r="K3" s="57" t="s">
        <v>135</v>
      </c>
      <c r="L3" s="57" t="s">
        <v>136</v>
      </c>
      <c r="M3" s="57" t="s">
        <v>137</v>
      </c>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row>
    <row r="4" spans="1:52">
      <c r="A4" s="58">
        <v>46023</v>
      </c>
      <c r="B4" s="59" t="s">
        <v>138</v>
      </c>
      <c r="C4" s="60">
        <v>100</v>
      </c>
      <c r="D4" s="61">
        <f>Inputs!$B$6</f>
        <v>10000000</v>
      </c>
      <c r="E4" s="62">
        <f t="shared" ref="E4:E35" si="0">D4/C4</f>
        <v>100000</v>
      </c>
      <c r="F4" s="62">
        <f>E4</f>
        <v>100000</v>
      </c>
      <c r="G4" s="63">
        <f t="shared" ref="G4:G35" si="1">F4*C4</f>
        <v>10000000</v>
      </c>
      <c r="H4" s="60">
        <v>100</v>
      </c>
      <c r="I4" s="63">
        <f t="shared" ref="I4:I35" si="2">D4</f>
        <v>10000000</v>
      </c>
      <c r="J4" s="62">
        <f t="shared" ref="J4:J35" si="3">I4/H4</f>
        <v>100000</v>
      </c>
      <c r="K4" s="62">
        <f>J4</f>
        <v>100000</v>
      </c>
      <c r="L4" s="63">
        <f t="shared" ref="L4:L35" si="4">K4*H4</f>
        <v>10000000</v>
      </c>
      <c r="M4" s="63">
        <f>D4</f>
        <v>10000000</v>
      </c>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row>
    <row r="5" spans="1:52">
      <c r="A5" s="58">
        <v>46054</v>
      </c>
      <c r="B5" s="59" t="s">
        <v>138</v>
      </c>
      <c r="C5" s="64">
        <f>C4*(1+'Monthly Returns'!B30*'Portfolio Analysis'!$E$4+'Monthly Returns'!C30*'Portfolio Analysis'!$E$5+'Monthly Returns'!D30*'Portfolio Analysis'!$E$6+'Monthly Returns'!E30*'Portfolio Analysis'!$E$7+'Monthly Returns'!F30*'Portfolio Analysis'!$E$8)</f>
        <v>105.14100802238839</v>
      </c>
      <c r="D5" s="61">
        <f>Inputs!$B$7</f>
        <v>10000000</v>
      </c>
      <c r="E5" s="62">
        <f t="shared" si="0"/>
        <v>95110.368333834427</v>
      </c>
      <c r="F5" s="62">
        <f t="shared" ref="F5:F36" si="5">F4+E5</f>
        <v>195110.36833383443</v>
      </c>
      <c r="G5" s="63">
        <f t="shared" si="1"/>
        <v>20514100.802238841</v>
      </c>
      <c r="H5" s="64">
        <f>H4*(1+'Monthly Returns'!G30)</f>
        <v>101.01207783493624</v>
      </c>
      <c r="I5" s="63">
        <f t="shared" si="2"/>
        <v>10000000</v>
      </c>
      <c r="J5" s="62">
        <f t="shared" si="3"/>
        <v>98998.062551895957</v>
      </c>
      <c r="K5" s="62">
        <f t="shared" ref="K5:K36" si="6">K4+J5</f>
        <v>198998.06255189597</v>
      </c>
      <c r="L5" s="63">
        <f t="shared" si="4"/>
        <v>20101207.783493627</v>
      </c>
      <c r="M5" s="63">
        <f t="shared" ref="M5:M36" si="7">M4+D5</f>
        <v>20000000</v>
      </c>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row>
    <row r="6" spans="1:52">
      <c r="A6" s="58">
        <v>46082</v>
      </c>
      <c r="B6" s="59" t="s">
        <v>138</v>
      </c>
      <c r="C6" s="64">
        <f>C5*(1+'Monthly Returns'!B31*'Portfolio Analysis'!$E$4+'Monthly Returns'!C31*'Portfolio Analysis'!$E$5+'Monthly Returns'!D31*'Portfolio Analysis'!$E$6+'Monthly Returns'!E31*'Portfolio Analysis'!$E$7+'Monthly Returns'!F31*'Portfolio Analysis'!$E$8)</f>
        <v>105.97407710363754</v>
      </c>
      <c r="D6" s="61">
        <f>Inputs!$B$7</f>
        <v>10000000</v>
      </c>
      <c r="E6" s="62">
        <f t="shared" si="0"/>
        <v>94362.699570579716</v>
      </c>
      <c r="F6" s="62">
        <f t="shared" si="5"/>
        <v>289473.06790441414</v>
      </c>
      <c r="G6" s="63">
        <f t="shared" si="1"/>
        <v>30676641.217528891</v>
      </c>
      <c r="H6" s="64">
        <f>H5*(1+'Monthly Returns'!G31)</f>
        <v>103.2263475732498</v>
      </c>
      <c r="I6" s="63">
        <f t="shared" si="2"/>
        <v>10000000</v>
      </c>
      <c r="J6" s="62">
        <f t="shared" si="3"/>
        <v>96874.492172688406</v>
      </c>
      <c r="K6" s="62">
        <f t="shared" si="6"/>
        <v>295872.55472458439</v>
      </c>
      <c r="L6" s="63">
        <f t="shared" si="4"/>
        <v>30541843.171385318</v>
      </c>
      <c r="M6" s="63">
        <f t="shared" si="7"/>
        <v>30000000</v>
      </c>
      <c r="N6" s="55"/>
      <c r="O6" s="55"/>
      <c r="P6" s="55"/>
      <c r="Q6" s="55"/>
      <c r="R6" s="55"/>
      <c r="S6" s="55"/>
      <c r="T6" s="55"/>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row>
    <row r="7" spans="1:52">
      <c r="A7" s="58">
        <v>46113</v>
      </c>
      <c r="B7" s="59" t="s">
        <v>138</v>
      </c>
      <c r="C7" s="64">
        <f>C6*(1+'Monthly Returns'!B32*'Portfolio Analysis'!$E$4+'Monthly Returns'!C32*'Portfolio Analysis'!$E$5+'Monthly Returns'!D32*'Portfolio Analysis'!$E$6+'Monthly Returns'!E32*'Portfolio Analysis'!$E$7+'Monthly Returns'!F32*'Portfolio Analysis'!$E$8)</f>
        <v>98.459586964824766</v>
      </c>
      <c r="D7" s="61">
        <f>Inputs!$B$7</f>
        <v>10000000</v>
      </c>
      <c r="E7" s="62">
        <f t="shared" si="0"/>
        <v>101564.51299732301</v>
      </c>
      <c r="F7" s="62">
        <f t="shared" si="5"/>
        <v>391037.58090173715</v>
      </c>
      <c r="G7" s="63">
        <f t="shared" si="1"/>
        <v>38501398.70330929</v>
      </c>
      <c r="H7" s="64">
        <f>H6*(1+'Monthly Returns'!G32)</f>
        <v>95.22086781480651</v>
      </c>
      <c r="I7" s="63">
        <f t="shared" si="2"/>
        <v>10000000</v>
      </c>
      <c r="J7" s="62">
        <f t="shared" si="3"/>
        <v>105018.9966704445</v>
      </c>
      <c r="K7" s="62">
        <f t="shared" si="6"/>
        <v>400891.55139502889</v>
      </c>
      <c r="L7" s="63">
        <f t="shared" si="4"/>
        <v>38173241.423458755</v>
      </c>
      <c r="M7" s="63">
        <f t="shared" si="7"/>
        <v>40000000</v>
      </c>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5"/>
      <c r="AR7" s="55"/>
      <c r="AS7" s="55"/>
      <c r="AT7" s="55"/>
      <c r="AU7" s="55"/>
      <c r="AV7" s="55"/>
      <c r="AW7" s="55"/>
      <c r="AX7" s="55"/>
      <c r="AY7" s="55"/>
      <c r="AZ7" s="55"/>
    </row>
    <row r="8" spans="1:52">
      <c r="A8" s="58">
        <v>46143</v>
      </c>
      <c r="B8" s="59" t="s">
        <v>138</v>
      </c>
      <c r="C8" s="64">
        <f>C7*(1+'Monthly Returns'!B33*'Portfolio Analysis'!$E$4+'Monthly Returns'!C33*'Portfolio Analysis'!$E$5+'Monthly Returns'!D33*'Portfolio Analysis'!$E$6+'Monthly Returns'!E33*'Portfolio Analysis'!$E$7+'Monthly Returns'!F33*'Portfolio Analysis'!$E$8)</f>
        <v>99.446537955162484</v>
      </c>
      <c r="D8" s="61">
        <f>Inputs!$B$7</f>
        <v>10000000</v>
      </c>
      <c r="E8" s="62">
        <f t="shared" si="0"/>
        <v>100556.54229520494</v>
      </c>
      <c r="F8" s="62">
        <f t="shared" si="5"/>
        <v>491594.12319694209</v>
      </c>
      <c r="G8" s="63">
        <f t="shared" si="1"/>
        <v>48887333.631039523</v>
      </c>
      <c r="H8" s="64">
        <f>H7*(1+'Monthly Returns'!G33)</f>
        <v>103.67143815701183</v>
      </c>
      <c r="I8" s="63">
        <f t="shared" si="2"/>
        <v>10000000</v>
      </c>
      <c r="J8" s="62">
        <f t="shared" si="3"/>
        <v>96458.58278588613</v>
      </c>
      <c r="K8" s="62">
        <f t="shared" si="6"/>
        <v>497350.13418091502</v>
      </c>
      <c r="L8" s="63">
        <f t="shared" si="4"/>
        <v>51561003.678118266</v>
      </c>
      <c r="M8" s="63">
        <f t="shared" si="7"/>
        <v>50000000</v>
      </c>
      <c r="N8" s="55"/>
      <c r="O8" s="55"/>
      <c r="P8" s="55"/>
      <c r="Q8" s="55"/>
      <c r="R8" s="55"/>
      <c r="S8" s="55"/>
      <c r="T8" s="55"/>
      <c r="U8" s="55"/>
      <c r="V8" s="55"/>
      <c r="W8" s="55"/>
      <c r="X8" s="55"/>
      <c r="Y8" s="55"/>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c r="AZ8" s="55"/>
    </row>
    <row r="9" spans="1:52">
      <c r="A9" s="58">
        <v>46174</v>
      </c>
      <c r="B9" s="59" t="s">
        <v>138</v>
      </c>
      <c r="C9" s="64">
        <f>C8*(1+'Monthly Returns'!B34*'Portfolio Analysis'!$E$4+'Monthly Returns'!C34*'Portfolio Analysis'!$E$5+'Monthly Returns'!D34*'Portfolio Analysis'!$E$6+'Monthly Returns'!E34*'Portfolio Analysis'!$E$7+'Monthly Returns'!F34*'Portfolio Analysis'!$E$8)</f>
        <v>97.48252680217557</v>
      </c>
      <c r="D9" s="61">
        <f>Inputs!$B$7</f>
        <v>10000000</v>
      </c>
      <c r="E9" s="62">
        <f t="shared" si="0"/>
        <v>102582.48660596706</v>
      </c>
      <c r="F9" s="62">
        <f t="shared" si="5"/>
        <v>594176.6098029092</v>
      </c>
      <c r="G9" s="63">
        <f t="shared" si="1"/>
        <v>57921837.290337913</v>
      </c>
      <c r="H9" s="64">
        <f>H8*(1+'Monthly Returns'!G34)</f>
        <v>103.13911876537685</v>
      </c>
      <c r="I9" s="63">
        <f t="shared" si="2"/>
        <v>10000000</v>
      </c>
      <c r="J9" s="62">
        <f t="shared" si="3"/>
        <v>96956.42273954484</v>
      </c>
      <c r="K9" s="62">
        <f t="shared" si="6"/>
        <v>594306.55692045984</v>
      </c>
      <c r="L9" s="63">
        <f t="shared" si="4"/>
        <v>61296254.557261504</v>
      </c>
      <c r="M9" s="63">
        <f t="shared" si="7"/>
        <v>60000000</v>
      </c>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row>
    <row r="10" spans="1:52">
      <c r="A10" s="65">
        <v>46204</v>
      </c>
      <c r="B10" s="66" t="s">
        <v>138</v>
      </c>
      <c r="C10" s="67">
        <f>C9*(1+'Monthly Returns'!B35*'Portfolio Analysis'!$E$4+'Monthly Returns'!C35*'Portfolio Analysis'!$E$5+'Monthly Returns'!D35*'Portfolio Analysis'!$E$6+'Monthly Returns'!E35*'Portfolio Analysis'!$E$7+'Monthly Returns'!F35*'Portfolio Analysis'!$E$8)</f>
        <v>97.281327805065189</v>
      </c>
      <c r="D10" s="68">
        <f>Inputs!$B$7</f>
        <v>10000000</v>
      </c>
      <c r="E10" s="69">
        <f t="shared" si="0"/>
        <v>102794.64955534176</v>
      </c>
      <c r="F10" s="69">
        <f t="shared" si="5"/>
        <v>696971.259358251</v>
      </c>
      <c r="G10" s="70">
        <f t="shared" si="1"/>
        <v>67802289.552339122</v>
      </c>
      <c r="H10" s="67">
        <f>H9*(1+'Monthly Returns'!G35)</f>
        <v>104.40673227465888</v>
      </c>
      <c r="I10" s="70">
        <f t="shared" si="2"/>
        <v>10000000</v>
      </c>
      <c r="J10" s="69">
        <f t="shared" si="3"/>
        <v>95779.264249870161</v>
      </c>
      <c r="K10" s="69">
        <f t="shared" si="6"/>
        <v>690085.82117033005</v>
      </c>
      <c r="L10" s="70">
        <f t="shared" si="4"/>
        <v>72049605.577468768</v>
      </c>
      <c r="M10" s="70">
        <f t="shared" si="7"/>
        <v>70000000</v>
      </c>
      <c r="N10" s="55"/>
      <c r="O10" s="55"/>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c r="AY10" s="55"/>
      <c r="AZ10" s="55"/>
    </row>
    <row r="11" spans="1:52">
      <c r="A11" s="71">
        <v>46235</v>
      </c>
      <c r="B11" s="72" t="s">
        <v>139</v>
      </c>
      <c r="C11" s="73">
        <f>C10*(1+((1+Inputs!$H$8)^(1/12)-1))</f>
        <v>98.204410181008754</v>
      </c>
      <c r="D11" s="74">
        <f>Inputs!$B$7</f>
        <v>10000000</v>
      </c>
      <c r="E11" s="75">
        <f t="shared" si="0"/>
        <v>101828.4207559331</v>
      </c>
      <c r="F11" s="75">
        <f t="shared" si="5"/>
        <v>798799.68011418404</v>
      </c>
      <c r="G11" s="76">
        <f t="shared" si="1"/>
        <v>78445651.438391909</v>
      </c>
      <c r="H11" s="73">
        <f>H10*(1+((1+Inputs!$H$9)^(1/12)-1))</f>
        <v>105.23928621953996</v>
      </c>
      <c r="I11" s="76">
        <f t="shared" si="2"/>
        <v>10000000</v>
      </c>
      <c r="J11" s="75">
        <f t="shared" si="3"/>
        <v>95021.549073783841</v>
      </c>
      <c r="K11" s="75">
        <f t="shared" si="6"/>
        <v>785107.37024411384</v>
      </c>
      <c r="L11" s="76">
        <f t="shared" si="4"/>
        <v>82624139.250190631</v>
      </c>
      <c r="M11" s="76">
        <f t="shared" si="7"/>
        <v>80000000</v>
      </c>
      <c r="N11" s="55"/>
      <c r="O11" s="55"/>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c r="AZ11" s="55"/>
    </row>
    <row r="12" spans="1:52">
      <c r="A12" s="71">
        <v>46266</v>
      </c>
      <c r="B12" s="72" t="s">
        <v>139</v>
      </c>
      <c r="C12" s="73">
        <f>C11*(1+((1+Inputs!$H$8)^(1/12)-1))</f>
        <v>99.136251494479211</v>
      </c>
      <c r="D12" s="74">
        <f>Inputs!$B$7</f>
        <v>10000000</v>
      </c>
      <c r="E12" s="75">
        <f t="shared" si="0"/>
        <v>100871.2741227349</v>
      </c>
      <c r="F12" s="75">
        <f t="shared" si="5"/>
        <v>899670.95423691894</v>
      </c>
      <c r="G12" s="76">
        <f t="shared" si="1"/>
        <v>89190005.981509298</v>
      </c>
      <c r="H12" s="73">
        <f>H11*(1+((1+Inputs!$H$9)^(1/12)-1))</f>
        <v>106.07847906649216</v>
      </c>
      <c r="I12" s="76">
        <f t="shared" si="2"/>
        <v>10000000</v>
      </c>
      <c r="J12" s="75">
        <f t="shared" si="3"/>
        <v>94269.828225306614</v>
      </c>
      <c r="K12" s="75">
        <f t="shared" si="6"/>
        <v>879377.19846942043</v>
      </c>
      <c r="L12" s="76">
        <f t="shared" si="4"/>
        <v>93282995.739388943</v>
      </c>
      <c r="M12" s="76">
        <f t="shared" si="7"/>
        <v>90000000</v>
      </c>
      <c r="N12" s="55"/>
      <c r="O12" s="55"/>
      <c r="P12" s="55"/>
      <c r="Q12" s="55"/>
      <c r="R12" s="55"/>
      <c r="S12" s="55"/>
      <c r="T12" s="55"/>
      <c r="U12" s="55"/>
      <c r="V12" s="55"/>
      <c r="W12" s="55"/>
      <c r="X12" s="55"/>
      <c r="Y12" s="55"/>
      <c r="Z12" s="55"/>
      <c r="AA12" s="55"/>
      <c r="AB12" s="55"/>
      <c r="AC12" s="55"/>
      <c r="AD12" s="55"/>
      <c r="AE12" s="55"/>
      <c r="AF12" s="55"/>
      <c r="AG12" s="55"/>
      <c r="AH12" s="55"/>
      <c r="AI12" s="55"/>
      <c r="AJ12" s="55"/>
      <c r="AK12" s="55"/>
      <c r="AL12" s="55"/>
      <c r="AM12" s="55"/>
      <c r="AN12" s="55"/>
      <c r="AO12" s="55"/>
      <c r="AP12" s="55"/>
      <c r="AQ12" s="55"/>
      <c r="AR12" s="55"/>
      <c r="AS12" s="55"/>
      <c r="AT12" s="55"/>
      <c r="AU12" s="55"/>
      <c r="AV12" s="55"/>
      <c r="AW12" s="55"/>
      <c r="AX12" s="55"/>
      <c r="AY12" s="55"/>
      <c r="AZ12" s="55"/>
    </row>
    <row r="13" spans="1:52">
      <c r="A13" s="71">
        <v>46296</v>
      </c>
      <c r="B13" s="72" t="s">
        <v>139</v>
      </c>
      <c r="C13" s="73">
        <f>C12*(1+((1+Inputs!$H$8)^(1/12)-1))</f>
        <v>100.07693485722108</v>
      </c>
      <c r="D13" s="74">
        <f>Inputs!$B$7</f>
        <v>10000000</v>
      </c>
      <c r="E13" s="75">
        <f t="shared" si="0"/>
        <v>99923.124286998966</v>
      </c>
      <c r="F13" s="75">
        <f t="shared" si="5"/>
        <v>999594.07852391794</v>
      </c>
      <c r="G13" s="76">
        <f t="shared" si="1"/>
        <v>100036311.48010206</v>
      </c>
      <c r="H13" s="73">
        <f>H12*(1+((1+Inputs!$H$9)^(1/12)-1))</f>
        <v>106.92436375505289</v>
      </c>
      <c r="I13" s="76">
        <f t="shared" si="2"/>
        <v>10000000</v>
      </c>
      <c r="J13" s="75">
        <f t="shared" si="3"/>
        <v>93524.054282973768</v>
      </c>
      <c r="K13" s="75">
        <f t="shared" si="6"/>
        <v>972901.25275239418</v>
      </c>
      <c r="L13" s="76">
        <f t="shared" si="4"/>
        <v>104026847.44704366</v>
      </c>
      <c r="M13" s="76">
        <f t="shared" si="7"/>
        <v>100000000</v>
      </c>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row>
    <row r="14" spans="1:52">
      <c r="A14" s="71">
        <v>46327</v>
      </c>
      <c r="B14" s="72" t="s">
        <v>139</v>
      </c>
      <c r="C14" s="73">
        <f>C13*(1+((1+Inputs!$H$8)^(1/12)-1))</f>
        <v>101.026544169609</v>
      </c>
      <c r="D14" s="74">
        <f>Inputs!$B$7</f>
        <v>10000000</v>
      </c>
      <c r="E14" s="75">
        <f t="shared" si="0"/>
        <v>98983.886682409357</v>
      </c>
      <c r="F14" s="75">
        <f t="shared" si="5"/>
        <v>1098577.9652063274</v>
      </c>
      <c r="G14" s="76">
        <f t="shared" si="1"/>
        <v>110985535.3256762</v>
      </c>
      <c r="H14" s="73">
        <f>H13*(1+((1+Inputs!$H$9)^(1/12)-1))</f>
        <v>107.77699364690687</v>
      </c>
      <c r="I14" s="76">
        <f t="shared" si="2"/>
        <v>10000000</v>
      </c>
      <c r="J14" s="75">
        <f t="shared" si="3"/>
        <v>92784.180200474468</v>
      </c>
      <c r="K14" s="75">
        <f t="shared" si="6"/>
        <v>1065685.4329528688</v>
      </c>
      <c r="L14" s="76">
        <f t="shared" si="4"/>
        <v>114856372.13696253</v>
      </c>
      <c r="M14" s="76">
        <f t="shared" si="7"/>
        <v>110000000</v>
      </c>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row>
    <row r="15" spans="1:52">
      <c r="A15" s="71">
        <v>46357</v>
      </c>
      <c r="B15" s="72" t="s">
        <v>139</v>
      </c>
      <c r="C15" s="73">
        <f>C14*(1+((1+Inputs!$H$8)^(1/12)-1))</f>
        <v>101.98516412813092</v>
      </c>
      <c r="D15" s="74">
        <f>Inputs!$B$7</f>
        <v>10000000</v>
      </c>
      <c r="E15" s="75">
        <f t="shared" si="0"/>
        <v>98053.477537539846</v>
      </c>
      <c r="F15" s="75">
        <f t="shared" si="5"/>
        <v>1196631.4427438672</v>
      </c>
      <c r="G15" s="76">
        <f t="shared" si="1"/>
        <v>122038654.0891154</v>
      </c>
      <c r="H15" s="73">
        <f>H14*(1+((1+Inputs!$H$9)^(1/12)-1))</f>
        <v>108.63642252925237</v>
      </c>
      <c r="I15" s="76">
        <f t="shared" si="2"/>
        <v>10000000</v>
      </c>
      <c r="J15" s="75">
        <f t="shared" si="3"/>
        <v>92050.159303683948</v>
      </c>
      <c r="K15" s="75">
        <f t="shared" si="6"/>
        <v>1157735.5922565528</v>
      </c>
      <c r="L15" s="76">
        <f t="shared" si="4"/>
        <v>125772252.97753711</v>
      </c>
      <c r="M15" s="76">
        <f t="shared" si="7"/>
        <v>120000000</v>
      </c>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row>
    <row r="16" spans="1:52">
      <c r="A16" s="71">
        <v>46388</v>
      </c>
      <c r="B16" s="72" t="s">
        <v>139</v>
      </c>
      <c r="C16" s="73">
        <f>C15*(1+((1+Inputs!$H$8)^(1/12)-1))</f>
        <v>102.95288023294222</v>
      </c>
      <c r="D16" s="74">
        <f>Inputs!$B$7</f>
        <v>10000000</v>
      </c>
      <c r="E16" s="75">
        <f t="shared" si="0"/>
        <v>97131.813868382305</v>
      </c>
      <c r="F16" s="75">
        <f t="shared" si="5"/>
        <v>1293763.2566122494</v>
      </c>
      <c r="G16" s="76">
        <f t="shared" si="1"/>
        <v>133196653.6077822</v>
      </c>
      <c r="H16" s="73">
        <f>H15*(1+((1+Inputs!$H$9)^(1/12)-1))</f>
        <v>109.50270461819436</v>
      </c>
      <c r="I16" s="76">
        <f t="shared" si="2"/>
        <v>10000000</v>
      </c>
      <c r="J16" s="75">
        <f t="shared" si="3"/>
        <v>91321.945287719005</v>
      </c>
      <c r="K16" s="75">
        <f t="shared" si="6"/>
        <v>1249057.5375442717</v>
      </c>
      <c r="L16" s="76">
        <f t="shared" si="4"/>
        <v>136775178.58483958</v>
      </c>
      <c r="M16" s="76">
        <f t="shared" si="7"/>
        <v>130000000</v>
      </c>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row>
    <row r="17" spans="1:52">
      <c r="A17" s="71">
        <v>46419</v>
      </c>
      <c r="B17" s="72" t="s">
        <v>139</v>
      </c>
      <c r="C17" s="73">
        <f>C16*(1+((1+Inputs!$H$8)^(1/12)-1))</f>
        <v>103.92977879549154</v>
      </c>
      <c r="D17" s="74">
        <f>Inputs!$B$7</f>
        <v>10000000</v>
      </c>
      <c r="E17" s="75">
        <f t="shared" si="0"/>
        <v>96218.813470945228</v>
      </c>
      <c r="F17" s="75">
        <f t="shared" si="5"/>
        <v>1389982.0700831946</v>
      </c>
      <c r="G17" s="76">
        <f t="shared" si="1"/>
        <v>144460529.07344586</v>
      </c>
      <c r="H17" s="73">
        <f>H16*(1+((1+Inputs!$H$9)^(1/12)-1))</f>
        <v>110.3758945621646</v>
      </c>
      <c r="I17" s="76">
        <f t="shared" si="2"/>
        <v>10000000</v>
      </c>
      <c r="J17" s="75">
        <f t="shared" si="3"/>
        <v>90599.492214017067</v>
      </c>
      <c r="K17" s="75">
        <f t="shared" si="6"/>
        <v>1339657.0297582888</v>
      </c>
      <c r="L17" s="76">
        <f t="shared" si="4"/>
        <v>147865843.06606349</v>
      </c>
      <c r="M17" s="76">
        <f t="shared" si="7"/>
        <v>140000000</v>
      </c>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row>
    <row r="18" spans="1:52">
      <c r="A18" s="71">
        <v>46447</v>
      </c>
      <c r="B18" s="72" t="s">
        <v>139</v>
      </c>
      <c r="C18" s="73">
        <f>C17*(1+((1+Inputs!$H$8)^(1/12)-1))</f>
        <v>104.91594694621898</v>
      </c>
      <c r="D18" s="74">
        <f>Inputs!$B$7</f>
        <v>10000000</v>
      </c>
      <c r="E18" s="75">
        <f t="shared" si="0"/>
        <v>95314.394913921948</v>
      </c>
      <c r="F18" s="75">
        <f t="shared" si="5"/>
        <v>1485296.4649971165</v>
      </c>
      <c r="G18" s="76">
        <f t="shared" si="1"/>
        <v>155831285.12104407</v>
      </c>
      <c r="H18" s="73">
        <f>H17*(1+((1+Inputs!$H$9)^(1/12)-1))</f>
        <v>111.25604744536918</v>
      </c>
      <c r="I18" s="76">
        <f t="shared" si="2"/>
        <v>10000000</v>
      </c>
      <c r="J18" s="75">
        <f t="shared" si="3"/>
        <v>89882.754507438061</v>
      </c>
      <c r="K18" s="75">
        <f t="shared" si="6"/>
        <v>1429539.7842657268</v>
      </c>
      <c r="L18" s="76">
        <f t="shared" si="4"/>
        <v>159044946.0633105</v>
      </c>
      <c r="M18" s="76">
        <f t="shared" si="7"/>
        <v>150000000</v>
      </c>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row>
    <row r="19" spans="1:52">
      <c r="A19" s="71">
        <v>46478</v>
      </c>
      <c r="B19" s="72" t="s">
        <v>139</v>
      </c>
      <c r="C19" s="73">
        <f>C18*(1+((1+Inputs!$H$8)^(1/12)-1))</f>
        <v>105.91147264232735</v>
      </c>
      <c r="D19" s="74">
        <f>Inputs!$B$7</f>
        <v>10000000</v>
      </c>
      <c r="E19" s="75">
        <f t="shared" si="0"/>
        <v>94418.477531427649</v>
      </c>
      <c r="F19" s="75">
        <f t="shared" si="5"/>
        <v>1579714.9425285442</v>
      </c>
      <c r="G19" s="76">
        <f t="shared" si="1"/>
        <v>167309935.91828763</v>
      </c>
      <c r="H19" s="73">
        <f>H18*(1+((1+Inputs!$H$9)^(1/12)-1))</f>
        <v>112.14321879126334</v>
      </c>
      <c r="I19" s="76">
        <f t="shared" si="2"/>
        <v>10000000</v>
      </c>
      <c r="J19" s="75">
        <f t="shared" si="3"/>
        <v>89171.686953389493</v>
      </c>
      <c r="K19" s="75">
        <f t="shared" si="6"/>
        <v>1518711.4712191164</v>
      </c>
      <c r="L19" s="76">
        <f t="shared" si="4"/>
        <v>170313192.79772681</v>
      </c>
      <c r="M19" s="76">
        <f t="shared" si="7"/>
        <v>160000000</v>
      </c>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row>
    <row r="20" spans="1:52">
      <c r="A20" s="71">
        <v>46508</v>
      </c>
      <c r="B20" s="72" t="s">
        <v>139</v>
      </c>
      <c r="C20" s="73">
        <f>C19*(1+((1+Inputs!$H$8)^(1/12)-1))</f>
        <v>106.91644467562716</v>
      </c>
      <c r="D20" s="74">
        <f>Inputs!$B$7</f>
        <v>10000000</v>
      </c>
      <c r="E20" s="75">
        <f t="shared" si="0"/>
        <v>93530.981415804737</v>
      </c>
      <c r="F20" s="75">
        <f t="shared" si="5"/>
        <v>1673245.9239443489</v>
      </c>
      <c r="G20" s="76">
        <f t="shared" si="1"/>
        <v>178897505.25611463</v>
      </c>
      <c r="H20" s="73">
        <f>H19*(1+((1+Inputs!$H$9)^(1/12)-1))</f>
        <v>113.03746456605415</v>
      </c>
      <c r="I20" s="76">
        <f t="shared" si="2"/>
        <v>10000000</v>
      </c>
      <c r="J20" s="75">
        <f t="shared" si="3"/>
        <v>88466.244694973997</v>
      </c>
      <c r="K20" s="75">
        <f t="shared" si="6"/>
        <v>1607177.7159140904</v>
      </c>
      <c r="L20" s="76">
        <f t="shared" si="4"/>
        <v>181671294.11399084</v>
      </c>
      <c r="M20" s="76">
        <f t="shared" si="7"/>
        <v>170000000</v>
      </c>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row>
    <row r="21" spans="1:52">
      <c r="A21" s="71">
        <v>46539</v>
      </c>
      <c r="B21" s="72" t="s">
        <v>139</v>
      </c>
      <c r="C21" s="73">
        <f>C20*(1+((1+Inputs!$H$8)^(1/12)-1))</f>
        <v>107.93095268045599</v>
      </c>
      <c r="D21" s="74">
        <f>Inputs!$B$7</f>
        <v>10000000</v>
      </c>
      <c r="E21" s="75">
        <f t="shared" si="0"/>
        <v>92651.827410495825</v>
      </c>
      <c r="F21" s="75">
        <f t="shared" si="5"/>
        <v>1765897.7513548448</v>
      </c>
      <c r="G21" s="76">
        <f t="shared" si="1"/>
        <v>190595026.64000338</v>
      </c>
      <c r="H21" s="73">
        <f>H20*(1+((1+Inputs!$H$9)^(1/12)-1))</f>
        <v>113.9388411822311</v>
      </c>
      <c r="I21" s="76">
        <f t="shared" si="2"/>
        <v>10000000</v>
      </c>
      <c r="J21" s="75">
        <f t="shared" si="3"/>
        <v>87766.383230159729</v>
      </c>
      <c r="K21" s="75">
        <f t="shared" si="6"/>
        <v>1694944.0991442502</v>
      </c>
      <c r="L21" s="76">
        <f t="shared" si="4"/>
        <v>193119966.5251565</v>
      </c>
      <c r="M21" s="76">
        <f t="shared" si="7"/>
        <v>180000000</v>
      </c>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row>
    <row r="22" spans="1:52">
      <c r="A22" s="71">
        <v>46569</v>
      </c>
      <c r="B22" s="72" t="s">
        <v>139</v>
      </c>
      <c r="C22" s="73">
        <f>C21*(1+((1+Inputs!$H$8)^(1/12)-1))</f>
        <v>108.95508714167312</v>
      </c>
      <c r="D22" s="74">
        <f>Inputs!$B$7</f>
        <v>10000000</v>
      </c>
      <c r="E22" s="75">
        <f t="shared" si="0"/>
        <v>91780.937102983618</v>
      </c>
      <c r="F22" s="75">
        <f t="shared" si="5"/>
        <v>1857678.6884578285</v>
      </c>
      <c r="G22" s="76">
        <f t="shared" si="1"/>
        <v>202403543.38215172</v>
      </c>
      <c r="H22" s="73">
        <f>H21*(1+((1+Inputs!$H$9)^(1/12)-1))</f>
        <v>114.84740550212477</v>
      </c>
      <c r="I22" s="76">
        <f t="shared" si="2"/>
        <v>10000000</v>
      </c>
      <c r="J22" s="75">
        <f t="shared" si="3"/>
        <v>87072.058408972865</v>
      </c>
      <c r="K22" s="75">
        <f t="shared" si="6"/>
        <v>1782016.157553223</v>
      </c>
      <c r="L22" s="76">
        <f t="shared" si="4"/>
        <v>204659932.25785327</v>
      </c>
      <c r="M22" s="76">
        <f t="shared" si="7"/>
        <v>190000000</v>
      </c>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row>
    <row r="23" spans="1:52">
      <c r="A23" s="71">
        <v>46600</v>
      </c>
      <c r="B23" s="72" t="s">
        <v>139</v>
      </c>
      <c r="C23" s="73">
        <f>C22*(1+((1+Inputs!$H$8)^(1/12)-1))</f>
        <v>109.98893940272991</v>
      </c>
      <c r="D23" s="74">
        <f>Inputs!$B$7</f>
        <v>10000000</v>
      </c>
      <c r="E23" s="75">
        <f t="shared" si="0"/>
        <v>90918.232817797325</v>
      </c>
      <c r="F23" s="75">
        <f t="shared" si="5"/>
        <v>1948596.9212756257</v>
      </c>
      <c r="G23" s="76">
        <f t="shared" si="1"/>
        <v>214324108.69453087</v>
      </c>
      <c r="H23" s="73">
        <f>H22*(1+((1+Inputs!$H$9)^(1/12)-1))</f>
        <v>115.76321484149398</v>
      </c>
      <c r="I23" s="76">
        <f t="shared" si="2"/>
        <v>10000000</v>
      </c>
      <c r="J23" s="75">
        <f t="shared" si="3"/>
        <v>86383.226430712573</v>
      </c>
      <c r="K23" s="75">
        <f t="shared" si="6"/>
        <v>1868399.3839839355</v>
      </c>
      <c r="L23" s="76">
        <f t="shared" si="4"/>
        <v>216291919.29784733</v>
      </c>
      <c r="M23" s="76">
        <f t="shared" si="7"/>
        <v>200000000</v>
      </c>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row>
    <row r="24" spans="1:52">
      <c r="A24" s="71">
        <v>46631</v>
      </c>
      <c r="B24" s="72" t="s">
        <v>139</v>
      </c>
      <c r="C24" s="73">
        <f>C23*(1+((1+Inputs!$H$8)^(1/12)-1))</f>
        <v>111.03260167381681</v>
      </c>
      <c r="D24" s="74">
        <f>Inputs!$B$7</f>
        <v>10000000</v>
      </c>
      <c r="E24" s="75">
        <f t="shared" si="0"/>
        <v>90063.63760958465</v>
      </c>
      <c r="F24" s="75">
        <f t="shared" si="5"/>
        <v>2038660.5588852104</v>
      </c>
      <c r="G24" s="76">
        <f t="shared" si="1"/>
        <v>226357785.78282234</v>
      </c>
      <c r="H24" s="73">
        <f>H23*(1+((1+Inputs!$H$9)^(1/12)-1))</f>
        <v>116.68632697314141</v>
      </c>
      <c r="I24" s="76">
        <f t="shared" si="2"/>
        <v>10000000</v>
      </c>
      <c r="J24" s="75">
        <f t="shared" si="3"/>
        <v>85699.843841187816</v>
      </c>
      <c r="K24" s="75">
        <f t="shared" si="6"/>
        <v>1954099.2278251234</v>
      </c>
      <c r="L24" s="76">
        <f t="shared" si="4"/>
        <v>228016661.43596548</v>
      </c>
      <c r="M24" s="76">
        <f t="shared" si="7"/>
        <v>210000000</v>
      </c>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row>
    <row r="25" spans="1:52">
      <c r="A25" s="71">
        <v>46661</v>
      </c>
      <c r="B25" s="72" t="s">
        <v>139</v>
      </c>
      <c r="C25" s="73">
        <f>C24*(1+((1+Inputs!$H$8)^(1/12)-1))</f>
        <v>112.0861670400877</v>
      </c>
      <c r="D25" s="74">
        <f>Inputs!$B$7</f>
        <v>10000000</v>
      </c>
      <c r="E25" s="75">
        <f t="shared" si="0"/>
        <v>89217.075256248994</v>
      </c>
      <c r="F25" s="75">
        <f t="shared" si="5"/>
        <v>2127877.6341414596</v>
      </c>
      <c r="G25" s="76">
        <f t="shared" si="1"/>
        <v>238505647.94124627</v>
      </c>
      <c r="H25" s="73">
        <f>H24*(1+((1+Inputs!$H$9)^(1/12)-1))</f>
        <v>117.61680013055822</v>
      </c>
      <c r="I25" s="76">
        <f t="shared" si="2"/>
        <v>10000000</v>
      </c>
      <c r="J25" s="75">
        <f t="shared" si="3"/>
        <v>85021.867529976123</v>
      </c>
      <c r="K25" s="75">
        <f t="shared" si="6"/>
        <v>2039121.0953550995</v>
      </c>
      <c r="L25" s="76">
        <f t="shared" si="4"/>
        <v>239834898.31438568</v>
      </c>
      <c r="M25" s="76">
        <f t="shared" si="7"/>
        <v>220000000</v>
      </c>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row>
    <row r="26" spans="1:52">
      <c r="A26" s="71">
        <v>46692</v>
      </c>
      <c r="B26" s="72" t="s">
        <v>139</v>
      </c>
      <c r="C26" s="73">
        <f>C25*(1+((1+Inputs!$H$8)^(1/12)-1))</f>
        <v>113.14972946996218</v>
      </c>
      <c r="D26" s="74">
        <f>Inputs!$B$7</f>
        <v>10000000</v>
      </c>
      <c r="E26" s="75">
        <f t="shared" si="0"/>
        <v>88378.470252151121</v>
      </c>
      <c r="F26" s="75">
        <f t="shared" si="5"/>
        <v>2216256.1043936107</v>
      </c>
      <c r="G26" s="76">
        <f t="shared" si="1"/>
        <v>250768778.64828932</v>
      </c>
      <c r="H26" s="73">
        <f>H25*(1+((1+Inputs!$H$9)^(1/12)-1))</f>
        <v>118.55469301159759</v>
      </c>
      <c r="I26" s="76">
        <f t="shared" si="2"/>
        <v>10000000</v>
      </c>
      <c r="J26" s="75">
        <f t="shared" si="3"/>
        <v>84349.254727704043</v>
      </c>
      <c r="K26" s="75">
        <f t="shared" si="6"/>
        <v>2123470.3500828035</v>
      </c>
      <c r="L26" s="76">
        <f t="shared" si="4"/>
        <v>251747375.47329643</v>
      </c>
      <c r="M26" s="76">
        <f t="shared" si="7"/>
        <v>230000000</v>
      </c>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row>
    <row r="27" spans="1:52">
      <c r="A27" s="71">
        <v>46722</v>
      </c>
      <c r="B27" s="72" t="s">
        <v>139</v>
      </c>
      <c r="C27" s="73">
        <f>C26*(1+((1+Inputs!$H$8)^(1/12)-1))</f>
        <v>114.22338382350674</v>
      </c>
      <c r="D27" s="74">
        <f>Inputs!$B$7</f>
        <v>10000000</v>
      </c>
      <c r="E27" s="75">
        <f t="shared" si="0"/>
        <v>87547.74780137479</v>
      </c>
      <c r="F27" s="75">
        <f t="shared" si="5"/>
        <v>2303803.8521949854</v>
      </c>
      <c r="G27" s="76">
        <f t="shared" si="1"/>
        <v>263148271.66334119</v>
      </c>
      <c r="H27" s="73">
        <f>H26*(1+((1+Inputs!$H$9)^(1/12)-1))</f>
        <v>119.50006478217765</v>
      </c>
      <c r="I27" s="76">
        <f t="shared" si="2"/>
        <v>10000000</v>
      </c>
      <c r="J27" s="75">
        <f t="shared" si="3"/>
        <v>83681.96300334901</v>
      </c>
      <c r="K27" s="75">
        <f t="shared" si="6"/>
        <v>2207152.3130861525</v>
      </c>
      <c r="L27" s="76">
        <f t="shared" si="4"/>
        <v>263754844.39792848</v>
      </c>
      <c r="M27" s="76">
        <f t="shared" si="7"/>
        <v>240000000</v>
      </c>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row>
    <row r="28" spans="1:52">
      <c r="A28" s="71">
        <v>46753</v>
      </c>
      <c r="B28" s="72" t="s">
        <v>139</v>
      </c>
      <c r="C28" s="73">
        <f>C27*(1+((1+Inputs!$H$8)^(1/12)-1))</f>
        <v>115.3072258608954</v>
      </c>
      <c r="D28" s="74">
        <f>Inputs!$B$7</f>
        <v>10000000</v>
      </c>
      <c r="E28" s="75">
        <f t="shared" si="0"/>
        <v>86724.833811055549</v>
      </c>
      <c r="F28" s="75">
        <f t="shared" si="5"/>
        <v>2390528.6860060408</v>
      </c>
      <c r="G28" s="76">
        <f t="shared" si="1"/>
        <v>275645231.12424803</v>
      </c>
      <c r="H28" s="73">
        <f>H27*(1+((1+Inputs!$H$9)^(1/12)-1))</f>
        <v>120.45297508001383</v>
      </c>
      <c r="I28" s="76">
        <f t="shared" si="2"/>
        <v>10000000</v>
      </c>
      <c r="J28" s="75">
        <f t="shared" si="3"/>
        <v>83019.950261562699</v>
      </c>
      <c r="K28" s="75">
        <f t="shared" si="6"/>
        <v>2290172.2633477151</v>
      </c>
      <c r="L28" s="76">
        <f t="shared" si="4"/>
        <v>275858062.56596118</v>
      </c>
      <c r="M28" s="76">
        <f t="shared" si="7"/>
        <v>250000000</v>
      </c>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row>
    <row r="29" spans="1:52">
      <c r="A29" s="71">
        <v>46784</v>
      </c>
      <c r="B29" s="72" t="s">
        <v>139</v>
      </c>
      <c r="C29" s="73">
        <f>C28*(1+((1+Inputs!$H$8)^(1/12)-1))</f>
        <v>116.40135225095064</v>
      </c>
      <c r="D29" s="74">
        <f>Inputs!$B$7</f>
        <v>10000000</v>
      </c>
      <c r="E29" s="75">
        <f t="shared" si="0"/>
        <v>85909.654884772448</v>
      </c>
      <c r="F29" s="75">
        <f t="shared" si="5"/>
        <v>2476438.3408908132</v>
      </c>
      <c r="G29" s="76">
        <f t="shared" si="1"/>
        <v>288260771.64579129</v>
      </c>
      <c r="H29" s="73">
        <f>H28*(1+((1+Inputs!$H$9)^(1/12)-1))</f>
        <v>121.4134840183811</v>
      </c>
      <c r="I29" s="76">
        <f t="shared" si="2"/>
        <v>10000000</v>
      </c>
      <c r="J29" s="75">
        <f t="shared" si="3"/>
        <v>82363.174740015485</v>
      </c>
      <c r="K29" s="75">
        <f t="shared" si="6"/>
        <v>2372535.4380877307</v>
      </c>
      <c r="L29" s="76">
        <f t="shared" si="4"/>
        <v>288057793.49530751</v>
      </c>
      <c r="M29" s="76">
        <f t="shared" si="7"/>
        <v>260000000</v>
      </c>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row>
    <row r="30" spans="1:52">
      <c r="A30" s="71">
        <v>46813</v>
      </c>
      <c r="B30" s="72" t="s">
        <v>139</v>
      </c>
      <c r="C30" s="73">
        <f>C29*(1+((1+Inputs!$H$8)^(1/12)-1))</f>
        <v>117.50586057976537</v>
      </c>
      <c r="D30" s="74">
        <f>Inputs!$B$7</f>
        <v>10000000</v>
      </c>
      <c r="E30" s="75">
        <f t="shared" si="0"/>
        <v>85102.13831600167</v>
      </c>
      <c r="F30" s="75">
        <f t="shared" si="5"/>
        <v>2561540.4792068149</v>
      </c>
      <c r="G30" s="76">
        <f t="shared" si="1"/>
        <v>300996018.41910136</v>
      </c>
      <c r="H30" s="73">
        <f>H29*(1+((1+Inputs!$H$9)^(1/12)-1))</f>
        <v>122.38165218990613</v>
      </c>
      <c r="I30" s="76">
        <f t="shared" si="2"/>
        <v>10000000</v>
      </c>
      <c r="J30" s="75">
        <f t="shared" si="3"/>
        <v>81711.595006761854</v>
      </c>
      <c r="K30" s="75">
        <f t="shared" si="6"/>
        <v>2454247.0330944927</v>
      </c>
      <c r="L30" s="76">
        <f t="shared" si="4"/>
        <v>300354806.79227924</v>
      </c>
      <c r="M30" s="76">
        <f t="shared" si="7"/>
        <v>270000000</v>
      </c>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row>
    <row r="31" spans="1:52">
      <c r="A31" s="71">
        <v>46844</v>
      </c>
      <c r="B31" s="72" t="s">
        <v>139</v>
      </c>
      <c r="C31" s="73">
        <f>C30*(1+((1+Inputs!$H$8)^(1/12)-1))</f>
        <v>118.62084935940675</v>
      </c>
      <c r="D31" s="74">
        <f>Inputs!$B$7</f>
        <v>10000000</v>
      </c>
      <c r="E31" s="75">
        <f t="shared" si="0"/>
        <v>84302.212081631762</v>
      </c>
      <c r="F31" s="75">
        <f t="shared" si="5"/>
        <v>2645842.6912884465</v>
      </c>
      <c r="G31" s="76">
        <f t="shared" si="1"/>
        <v>313852107.31201416</v>
      </c>
      <c r="H31" s="73">
        <f>H30*(1+((1+Inputs!$H$9)^(1/12)-1))</f>
        <v>123.35754067038971</v>
      </c>
      <c r="I31" s="76">
        <f t="shared" si="2"/>
        <v>10000000</v>
      </c>
      <c r="J31" s="75">
        <f t="shared" si="3"/>
        <v>81065.169957626786</v>
      </c>
      <c r="K31" s="75">
        <f t="shared" si="6"/>
        <v>2535312.2030521194</v>
      </c>
      <c r="L31" s="76">
        <f t="shared" si="4"/>
        <v>312749878.20013714</v>
      </c>
      <c r="M31" s="76">
        <f t="shared" si="7"/>
        <v>280000000</v>
      </c>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row>
    <row r="32" spans="1:52">
      <c r="A32" s="71">
        <v>46874</v>
      </c>
      <c r="B32" s="72" t="s">
        <v>139</v>
      </c>
      <c r="C32" s="73">
        <f>C31*(1+((1+Inputs!$H$8)^(1/12)-1))</f>
        <v>119.74641803670252</v>
      </c>
      <c r="D32" s="74">
        <f>Inputs!$B$7</f>
        <v>10000000</v>
      </c>
      <c r="E32" s="75">
        <f t="shared" si="0"/>
        <v>83509.804835539879</v>
      </c>
      <c r="F32" s="75">
        <f t="shared" si="5"/>
        <v>2729352.4961239863</v>
      </c>
      <c r="G32" s="76">
        <f t="shared" si="1"/>
        <v>326830184.97038037</v>
      </c>
      <c r="H32" s="73">
        <f>H31*(1+((1+Inputs!$H$9)^(1/12)-1))</f>
        <v>124.34121102265961</v>
      </c>
      <c r="I32" s="76">
        <f t="shared" si="2"/>
        <v>10000000</v>
      </c>
      <c r="J32" s="75">
        <f t="shared" si="3"/>
        <v>80423.858813612707</v>
      </c>
      <c r="K32" s="75">
        <f t="shared" si="6"/>
        <v>2615736.0618657321</v>
      </c>
      <c r="L32" s="76">
        <f t="shared" si="4"/>
        <v>325243789.6480276</v>
      </c>
      <c r="M32" s="76">
        <f t="shared" si="7"/>
        <v>290000000</v>
      </c>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c r="AZ32" s="55"/>
    </row>
    <row r="33" spans="1:52">
      <c r="A33" s="71">
        <v>46905</v>
      </c>
      <c r="B33" s="72" t="s">
        <v>139</v>
      </c>
      <c r="C33" s="73">
        <f>C32*(1+((1+Inputs!$H$8)^(1/12)-1))</f>
        <v>120.88266700211081</v>
      </c>
      <c r="D33" s="74">
        <f>Inputs!$B$7</f>
        <v>10000000</v>
      </c>
      <c r="E33" s="75">
        <f t="shared" si="0"/>
        <v>82724.84590222835</v>
      </c>
      <c r="F33" s="75">
        <f t="shared" si="5"/>
        <v>2812077.3420262146</v>
      </c>
      <c r="G33" s="76">
        <f t="shared" si="1"/>
        <v>339931408.92033577</v>
      </c>
      <c r="H33" s="73">
        <f>H32*(1+((1+Inputs!$H$9)^(1/12)-1))</f>
        <v>125.33272530045426</v>
      </c>
      <c r="I33" s="76">
        <f t="shared" si="2"/>
        <v>10000000</v>
      </c>
      <c r="J33" s="75">
        <f t="shared" si="3"/>
        <v>79787.621118326992</v>
      </c>
      <c r="K33" s="75">
        <f t="shared" si="6"/>
        <v>2695523.6829840592</v>
      </c>
      <c r="L33" s="76">
        <f t="shared" si="4"/>
        <v>337837329.30030984</v>
      </c>
      <c r="M33" s="76">
        <f t="shared" si="7"/>
        <v>300000000</v>
      </c>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row>
    <row r="34" spans="1:52">
      <c r="A34" s="71">
        <v>46935</v>
      </c>
      <c r="B34" s="72" t="s">
        <v>139</v>
      </c>
      <c r="C34" s="73">
        <f>C33*(1+((1+Inputs!$H$8)^(1/12)-1))</f>
        <v>122.02969759867399</v>
      </c>
      <c r="D34" s="74">
        <f>Inputs!$B$7</f>
        <v>10000000</v>
      </c>
      <c r="E34" s="75">
        <f t="shared" si="0"/>
        <v>81947.26527052102</v>
      </c>
      <c r="F34" s="75">
        <f t="shared" si="5"/>
        <v>2894024.6072967355</v>
      </c>
      <c r="G34" s="76">
        <f t="shared" si="1"/>
        <v>353156947.67154187</v>
      </c>
      <c r="H34" s="73">
        <f>H33*(1+((1+Inputs!$H$9)^(1/12)-1))</f>
        <v>126.33214605233729</v>
      </c>
      <c r="I34" s="76">
        <f t="shared" si="2"/>
        <v>10000000</v>
      </c>
      <c r="J34" s="75">
        <f t="shared" si="3"/>
        <v>79156.416735429855</v>
      </c>
      <c r="K34" s="75">
        <f t="shared" si="6"/>
        <v>2774680.099719489</v>
      </c>
      <c r="L34" s="76">
        <f t="shared" si="4"/>
        <v>350531291.60627627</v>
      </c>
      <c r="M34" s="76">
        <f t="shared" si="7"/>
        <v>310000000</v>
      </c>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row>
    <row r="35" spans="1:52">
      <c r="A35" s="71">
        <v>46966</v>
      </c>
      <c r="B35" s="77" t="s">
        <v>139</v>
      </c>
      <c r="C35" s="73">
        <f>C34*(1+((1+Inputs!$H$8)^(1/12)-1))</f>
        <v>123.18761213105759</v>
      </c>
      <c r="D35" s="74">
        <f>Inputs!$B$7</f>
        <v>10000000</v>
      </c>
      <c r="E35" s="75">
        <f t="shared" si="0"/>
        <v>81176.993587318982</v>
      </c>
      <c r="F35" s="75">
        <f t="shared" si="5"/>
        <v>2975201.6008840543</v>
      </c>
      <c r="G35" s="76">
        <f t="shared" si="1"/>
        <v>366507980.82140648</v>
      </c>
      <c r="H35" s="73">
        <f>H34*(1+((1+Inputs!$H$9)^(1/12)-1))</f>
        <v>127.33953632564341</v>
      </c>
      <c r="I35" s="76">
        <f t="shared" si="2"/>
        <v>10000000</v>
      </c>
      <c r="J35" s="75">
        <f t="shared" si="3"/>
        <v>78530.205846102312</v>
      </c>
      <c r="K35" s="75">
        <f t="shared" si="6"/>
        <v>2853210.3055655914</v>
      </c>
      <c r="L35" s="76">
        <f t="shared" si="4"/>
        <v>363326477.35026973</v>
      </c>
      <c r="M35" s="76">
        <f t="shared" si="7"/>
        <v>320000000</v>
      </c>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row>
    <row r="36" spans="1:52">
      <c r="A36" s="71">
        <v>46997</v>
      </c>
      <c r="B36" s="77" t="s">
        <v>139</v>
      </c>
      <c r="C36" s="73">
        <f>C35*(1+((1+Inputs!$H$8)^(1/12)-1))</f>
        <v>124.35651387467493</v>
      </c>
      <c r="D36" s="74">
        <f>Inputs!$B$7</f>
        <v>10000000</v>
      </c>
      <c r="E36" s="75">
        <f t="shared" ref="E36:E67" si="8">D36/C36</f>
        <v>80413.962151414802</v>
      </c>
      <c r="F36" s="75">
        <f t="shared" si="5"/>
        <v>3055615.563035469</v>
      </c>
      <c r="G36" s="76">
        <f t="shared" ref="G36:G67" si="9">F36*C36</f>
        <v>379985699.16029298</v>
      </c>
      <c r="H36" s="73">
        <f>H35*(1+((1+Inputs!$H$9)^(1/12)-1))</f>
        <v>128.35495967045557</v>
      </c>
      <c r="I36" s="76">
        <f t="shared" ref="I36:I67" si="10">D36</f>
        <v>10000000</v>
      </c>
      <c r="J36" s="75">
        <f t="shared" ref="J36:J67" si="11">I36/H36</f>
        <v>77908.948946534365</v>
      </c>
      <c r="K36" s="75">
        <f t="shared" si="6"/>
        <v>2931119.2545121256</v>
      </c>
      <c r="L36" s="76">
        <f t="shared" ref="L36:L67" si="12">K36*H36</f>
        <v>376223693.7021997</v>
      </c>
      <c r="M36" s="76">
        <f t="shared" si="7"/>
        <v>330000000</v>
      </c>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row>
    <row r="37" spans="1:52" s="83" customFormat="1">
      <c r="A37" s="96">
        <v>47027</v>
      </c>
      <c r="B37" s="78" t="s">
        <v>139</v>
      </c>
      <c r="C37" s="97">
        <f>C36*(1+((1+Inputs!$H$8)^(1/12)-1))</f>
        <v>125.53650708489833</v>
      </c>
      <c r="D37" s="79">
        <f>Inputs!$B$7</f>
        <v>10000000</v>
      </c>
      <c r="E37" s="80">
        <f t="shared" si="8"/>
        <v>79658.102907365101</v>
      </c>
      <c r="F37" s="80">
        <f t="shared" ref="F37:F68" si="13">F36+E37</f>
        <v>3135273.6659428342</v>
      </c>
      <c r="G37" s="79">
        <f t="shared" si="9"/>
        <v>393591304.77772778</v>
      </c>
      <c r="H37" s="81">
        <f>H36*(1+((1+Inputs!$H$9)^(1/12)-1))</f>
        <v>129.37848014361407</v>
      </c>
      <c r="I37" s="79">
        <f t="shared" si="10"/>
        <v>10000000</v>
      </c>
      <c r="J37" s="80">
        <f t="shared" si="11"/>
        <v>77292.606845432834</v>
      </c>
      <c r="K37" s="80">
        <f t="shared" ref="K37:K68" si="14">K36+J37</f>
        <v>3008411.8613575585</v>
      </c>
      <c r="L37" s="79">
        <f t="shared" si="12"/>
        <v>389223754.26846194</v>
      </c>
      <c r="M37" s="79">
        <f t="shared" ref="M37:M68" si="15">M36+D37</f>
        <v>340000000</v>
      </c>
      <c r="N37" s="82"/>
      <c r="O37" s="82"/>
      <c r="P37" s="82"/>
      <c r="Q37" s="82"/>
      <c r="R37" s="82"/>
      <c r="S37" s="82"/>
      <c r="T37" s="82"/>
      <c r="U37" s="82"/>
      <c r="V37" s="82"/>
      <c r="W37" s="82"/>
      <c r="X37" s="82"/>
      <c r="Y37" s="82"/>
      <c r="Z37" s="82"/>
      <c r="AA37" s="82"/>
      <c r="AB37" s="82"/>
      <c r="AC37" s="82"/>
      <c r="AD37" s="82"/>
      <c r="AE37" s="82"/>
      <c r="AF37" s="82"/>
      <c r="AG37" s="82"/>
      <c r="AH37" s="82"/>
      <c r="AI37" s="82"/>
      <c r="AJ37" s="82"/>
      <c r="AK37" s="82"/>
      <c r="AL37" s="82"/>
      <c r="AM37" s="82"/>
      <c r="AN37" s="82"/>
      <c r="AO37" s="82"/>
      <c r="AP37" s="82"/>
      <c r="AQ37" s="82"/>
      <c r="AR37" s="82"/>
      <c r="AS37" s="82"/>
      <c r="AT37" s="82"/>
      <c r="AU37" s="82"/>
      <c r="AV37" s="82"/>
      <c r="AW37" s="82"/>
      <c r="AX37" s="82"/>
      <c r="AY37" s="82"/>
      <c r="AZ37" s="82"/>
    </row>
    <row r="38" spans="1:52">
      <c r="A38" s="71">
        <v>47058</v>
      </c>
      <c r="B38" s="84" t="s">
        <v>139</v>
      </c>
      <c r="C38" s="73">
        <f>C37*(1+((1+Inputs!$H$8)^(1/12)-1))</f>
        <v>126.72769700635774</v>
      </c>
      <c r="D38" s="74">
        <f>Inputs!$B$7</f>
        <v>10000000</v>
      </c>
      <c r="E38" s="75">
        <f t="shared" si="8"/>
        <v>78909.348439420588</v>
      </c>
      <c r="F38" s="75">
        <f t="shared" si="13"/>
        <v>3214183.0143822548</v>
      </c>
      <c r="G38" s="76">
        <f t="shared" si="9"/>
        <v>407326011.16961598</v>
      </c>
      <c r="H38" s="73">
        <f>H37*(1+((1+Inputs!$H$9)^(1/12)-1))</f>
        <v>130.41016231275739</v>
      </c>
      <c r="I38" s="76">
        <f t="shared" si="10"/>
        <v>10000000</v>
      </c>
      <c r="J38" s="75">
        <f t="shared" si="11"/>
        <v>76681.140661549114</v>
      </c>
      <c r="K38" s="75">
        <f t="shared" si="14"/>
        <v>3085093.0020191078</v>
      </c>
      <c r="L38" s="76">
        <f t="shared" si="12"/>
        <v>402327479.14326382</v>
      </c>
      <c r="M38" s="76">
        <f t="shared" si="15"/>
        <v>350000000</v>
      </c>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row>
    <row r="39" spans="1:52">
      <c r="A39" s="71">
        <v>47088</v>
      </c>
      <c r="B39" s="84" t="s">
        <v>139</v>
      </c>
      <c r="C39" s="73">
        <f>C38*(1+((1+Inputs!$H$8)^(1/12)-1))</f>
        <v>127.93018988232765</v>
      </c>
      <c r="D39" s="74">
        <f>Inputs!$B$7</f>
        <v>10000000</v>
      </c>
      <c r="E39" s="75">
        <f t="shared" si="8"/>
        <v>78167.631965513137</v>
      </c>
      <c r="F39" s="75">
        <f t="shared" si="13"/>
        <v>3292350.6463477681</v>
      </c>
      <c r="G39" s="76">
        <f t="shared" si="9"/>
        <v>421191043.34647417</v>
      </c>
      <c r="H39" s="73">
        <f>H38*(1+((1+Inputs!$H$9)^(1/12)-1))</f>
        <v>131.45007126039545</v>
      </c>
      <c r="I39" s="76">
        <f t="shared" si="10"/>
        <v>10000000</v>
      </c>
      <c r="J39" s="75">
        <f t="shared" si="11"/>
        <v>76074.511821226348</v>
      </c>
      <c r="K39" s="75">
        <f t="shared" si="14"/>
        <v>3161167.513840334</v>
      </c>
      <c r="L39" s="76">
        <f t="shared" si="12"/>
        <v>415535694.96035904</v>
      </c>
      <c r="M39" s="76">
        <f t="shared" si="15"/>
        <v>360000000</v>
      </c>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row>
    <row r="40" spans="1:52">
      <c r="A40" s="71">
        <v>47119</v>
      </c>
      <c r="B40" s="84" t="s">
        <v>139</v>
      </c>
      <c r="C40" s="73">
        <f>C39*(1+((1+Inputs!$H$8)^(1/12)-1))</f>
        <v>129.14409296420294</v>
      </c>
      <c r="D40" s="74">
        <f>Inputs!$B$7</f>
        <v>10000000</v>
      </c>
      <c r="E40" s="75">
        <f t="shared" si="8"/>
        <v>77432.887331299542</v>
      </c>
      <c r="F40" s="75">
        <f t="shared" si="13"/>
        <v>3369783.5336790676</v>
      </c>
      <c r="G40" s="76">
        <f t="shared" si="9"/>
        <v>435187637.94268978</v>
      </c>
      <c r="H40" s="73">
        <f>H39*(1+((1+Inputs!$H$9)^(1/12)-1))</f>
        <v>132.49827258801525</v>
      </c>
      <c r="I40" s="76">
        <f t="shared" si="10"/>
        <v>10000000</v>
      </c>
      <c r="J40" s="75">
        <f t="shared" si="11"/>
        <v>75472.68205596607</v>
      </c>
      <c r="K40" s="75">
        <f t="shared" si="14"/>
        <v>3236640.1958963</v>
      </c>
      <c r="L40" s="76">
        <f t="shared" si="12"/>
        <v>428849234.94519508</v>
      </c>
      <c r="M40" s="76">
        <f t="shared" si="15"/>
        <v>370000000</v>
      </c>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row>
    <row r="41" spans="1:52">
      <c r="A41" s="71">
        <v>47150</v>
      </c>
      <c r="B41" s="85" t="s">
        <v>139</v>
      </c>
      <c r="C41" s="73">
        <f>C40*(1+((1+Inputs!$H$8)^(1/12)-1))</f>
        <v>130.36951452106481</v>
      </c>
      <c r="D41" s="74">
        <f>Inputs!$B$7</f>
        <v>10000000</v>
      </c>
      <c r="E41" s="75">
        <f t="shared" si="8"/>
        <v>76705.049004261062</v>
      </c>
      <c r="F41" s="75">
        <f t="shared" si="13"/>
        <v>3446488.5826833285</v>
      </c>
      <c r="G41" s="76">
        <f t="shared" si="9"/>
        <v>449317043.32681829</v>
      </c>
      <c r="H41" s="73">
        <f>H40*(1+((1+Inputs!$H$9)^(1/12)-1))</f>
        <v>133.55483242021927</v>
      </c>
      <c r="I41" s="76">
        <f t="shared" si="10"/>
        <v>10000000</v>
      </c>
      <c r="J41" s="75">
        <f t="shared" si="11"/>
        <v>74875.613400014045</v>
      </c>
      <c r="K41" s="75">
        <f t="shared" si="14"/>
        <v>3311515.8092963141</v>
      </c>
      <c r="L41" s="76">
        <f t="shared" si="12"/>
        <v>442268938.96747601</v>
      </c>
      <c r="M41" s="76">
        <f t="shared" si="15"/>
        <v>380000000</v>
      </c>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row>
    <row r="42" spans="1:52">
      <c r="A42" s="71">
        <v>47178</v>
      </c>
      <c r="B42" s="77" t="s">
        <v>139</v>
      </c>
      <c r="C42" s="73">
        <f>C41*(1+((1+Inputs!$H$8)^(1/12)-1))</f>
        <v>131.60656384933731</v>
      </c>
      <c r="D42" s="74">
        <f>Inputs!$B$7</f>
        <v>10000000</v>
      </c>
      <c r="E42" s="75">
        <f t="shared" si="8"/>
        <v>75984.052067858574</v>
      </c>
      <c r="F42" s="75">
        <f t="shared" si="13"/>
        <v>3522472.6347511872</v>
      </c>
      <c r="G42" s="76">
        <f t="shared" si="9"/>
        <v>463580519.71292549</v>
      </c>
      <c r="H42" s="73">
        <f>H41*(1+((1+Inputs!$H$9)^(1/12)-1))</f>
        <v>134.61981740889681</v>
      </c>
      <c r="I42" s="76">
        <f t="shared" si="10"/>
        <v>10000000</v>
      </c>
      <c r="J42" s="75">
        <f t="shared" si="11"/>
        <v>74283.268187965296</v>
      </c>
      <c r="K42" s="75">
        <f t="shared" si="14"/>
        <v>3385799.0774842794</v>
      </c>
      <c r="L42" s="76">
        <f t="shared" si="12"/>
        <v>455795653.59414494</v>
      </c>
      <c r="M42" s="76">
        <f t="shared" si="15"/>
        <v>390000000</v>
      </c>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row>
    <row r="43" spans="1:52">
      <c r="A43" s="71">
        <v>47209</v>
      </c>
      <c r="B43" s="77" t="s">
        <v>139</v>
      </c>
      <c r="C43" s="73">
        <f>C42*(1+((1+Inputs!$H$8)^(1/12)-1))</f>
        <v>132.85535128253565</v>
      </c>
      <c r="D43" s="74">
        <f>Inputs!$B$7</f>
        <v>10000000</v>
      </c>
      <c r="E43" s="75">
        <f t="shared" si="8"/>
        <v>75269.832215742586</v>
      </c>
      <c r="F43" s="75">
        <f t="shared" si="13"/>
        <v>3597742.4669669298</v>
      </c>
      <c r="G43" s="76">
        <f t="shared" si="9"/>
        <v>477979339.2729879</v>
      </c>
      <c r="H43" s="73">
        <f>H42*(1+((1+Inputs!$H$9)^(1/12)-1))</f>
        <v>135.69329473742874</v>
      </c>
      <c r="I43" s="76">
        <f t="shared" si="10"/>
        <v>10000000</v>
      </c>
      <c r="J43" s="75">
        <f t="shared" si="11"/>
        <v>73695.609052387954</v>
      </c>
      <c r="K43" s="75">
        <f t="shared" si="14"/>
        <v>3459494.6865366674</v>
      </c>
      <c r="L43" s="76">
        <f t="shared" si="12"/>
        <v>469430232.14278865</v>
      </c>
      <c r="M43" s="76">
        <f t="shared" si="15"/>
        <v>400000000</v>
      </c>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row>
    <row r="44" spans="1:52">
      <c r="A44" s="71">
        <v>47239</v>
      </c>
      <c r="B44" s="77" t="s">
        <v>139</v>
      </c>
      <c r="C44" s="73">
        <f>C43*(1+((1+Inputs!$H$8)^(1/12)-1))</f>
        <v>134.11598820110692</v>
      </c>
      <c r="D44" s="74">
        <f>Inputs!$B$7</f>
        <v>10000000</v>
      </c>
      <c r="E44" s="75">
        <f t="shared" si="8"/>
        <v>74562.325746017697</v>
      </c>
      <c r="F44" s="75">
        <f t="shared" si="13"/>
        <v>3672304.7927129474</v>
      </c>
      <c r="G44" s="76">
        <f t="shared" si="9"/>
        <v>492514786.25035805</v>
      </c>
      <c r="H44" s="73">
        <f>H43*(1+((1+Inputs!$H$9)^(1/12)-1))</f>
        <v>136.77533212492563</v>
      </c>
      <c r="I44" s="76">
        <f t="shared" si="10"/>
        <v>10000000</v>
      </c>
      <c r="J44" s="75">
        <f t="shared" si="11"/>
        <v>73112.598921466066</v>
      </c>
      <c r="K44" s="75">
        <f t="shared" si="14"/>
        <v>3532607.2854581336</v>
      </c>
      <c r="L44" s="76">
        <f t="shared" si="12"/>
        <v>483173534.73546815</v>
      </c>
      <c r="M44" s="76">
        <f t="shared" si="15"/>
        <v>410000000</v>
      </c>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55"/>
      <c r="AO44" s="55"/>
      <c r="AP44" s="55"/>
      <c r="AQ44" s="55"/>
      <c r="AR44" s="55"/>
      <c r="AS44" s="55"/>
      <c r="AT44" s="55"/>
      <c r="AU44" s="55"/>
      <c r="AV44" s="55"/>
      <c r="AW44" s="55"/>
      <c r="AX44" s="55"/>
      <c r="AY44" s="55"/>
      <c r="AZ44" s="55"/>
    </row>
    <row r="45" spans="1:52">
      <c r="A45" s="71">
        <v>47270</v>
      </c>
      <c r="B45" s="77" t="s">
        <v>139</v>
      </c>
      <c r="C45" s="73">
        <f>C44*(1+((1+Inputs!$H$8)^(1/12)-1))</f>
        <v>135.38858704236421</v>
      </c>
      <c r="D45" s="74">
        <f>Inputs!$B$7</f>
        <v>10000000</v>
      </c>
      <c r="E45" s="75">
        <f t="shared" si="8"/>
        <v>73861.469555560965</v>
      </c>
      <c r="F45" s="75">
        <f t="shared" si="13"/>
        <v>3746166.2622685083</v>
      </c>
      <c r="G45" s="76">
        <f t="shared" si="9"/>
        <v>507188157.0743081</v>
      </c>
      <c r="H45" s="73">
        <f>H44*(1+((1+Inputs!$H$9)^(1/12)-1))</f>
        <v>137.86599783049974</v>
      </c>
      <c r="I45" s="76">
        <f t="shared" si="10"/>
        <v>10000000</v>
      </c>
      <c r="J45" s="75">
        <f t="shared" si="11"/>
        <v>72534.201016660882</v>
      </c>
      <c r="K45" s="75">
        <f t="shared" si="14"/>
        <v>3605141.4864747943</v>
      </c>
      <c r="L45" s="76">
        <f t="shared" si="12"/>
        <v>497026428.35297859</v>
      </c>
      <c r="M45" s="76">
        <f t="shared" si="15"/>
        <v>420000000</v>
      </c>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row>
    <row r="46" spans="1:52">
      <c r="A46" s="71">
        <v>47300</v>
      </c>
      <c r="B46" s="77" t="s">
        <v>139</v>
      </c>
      <c r="C46" s="73">
        <f>C45*(1+((1+Inputs!$H$8)^(1/12)-1))</f>
        <v>136.67326131051499</v>
      </c>
      <c r="D46" s="74">
        <f>Inputs!$B$7</f>
        <v>10000000</v>
      </c>
      <c r="E46" s="75">
        <f t="shared" si="8"/>
        <v>73167.201134393705</v>
      </c>
      <c r="F46" s="75">
        <f t="shared" si="13"/>
        <v>3819333.4634029022</v>
      </c>
      <c r="G46" s="76">
        <f t="shared" si="9"/>
        <v>522000760.47565907</v>
      </c>
      <c r="H46" s="73">
        <f>H45*(1+((1+Inputs!$H$9)^(1/12)-1))</f>
        <v>138.9653606575711</v>
      </c>
      <c r="I46" s="76">
        <f t="shared" si="10"/>
        <v>10000000</v>
      </c>
      <c r="J46" s="75">
        <f t="shared" si="11"/>
        <v>71960.378850390742</v>
      </c>
      <c r="K46" s="75">
        <f t="shared" si="14"/>
        <v>3677101.865325185</v>
      </c>
      <c r="L46" s="76">
        <f t="shared" si="12"/>
        <v>510989786.88954175</v>
      </c>
      <c r="M46" s="76">
        <f t="shared" si="15"/>
        <v>430000000</v>
      </c>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c r="AO46" s="55"/>
      <c r="AP46" s="55"/>
      <c r="AQ46" s="55"/>
      <c r="AR46" s="55"/>
      <c r="AS46" s="55"/>
      <c r="AT46" s="55"/>
      <c r="AU46" s="55"/>
      <c r="AV46" s="55"/>
      <c r="AW46" s="55"/>
      <c r="AX46" s="55"/>
      <c r="AY46" s="55"/>
      <c r="AZ46" s="55"/>
    </row>
    <row r="47" spans="1:52">
      <c r="A47" s="71">
        <v>47331</v>
      </c>
      <c r="B47" s="77" t="s">
        <v>139</v>
      </c>
      <c r="C47" s="73">
        <f>C46*(1+((1+Inputs!$H$8)^(1/12)-1))</f>
        <v>137.97012558678463</v>
      </c>
      <c r="D47" s="74">
        <f>Inputs!$B$7</f>
        <v>10000000</v>
      </c>
      <c r="E47" s="75">
        <f t="shared" si="8"/>
        <v>72479.45856010617</v>
      </c>
      <c r="F47" s="75">
        <f t="shared" si="13"/>
        <v>3891812.9219630086</v>
      </c>
      <c r="G47" s="76">
        <f t="shared" si="9"/>
        <v>536953917.60350752</v>
      </c>
      <c r="H47" s="73">
        <f>H46*(1+((1+Inputs!$H$9)^(1/12)-1))</f>
        <v>140.07348995820783</v>
      </c>
      <c r="I47" s="76">
        <f t="shared" si="10"/>
        <v>10000000</v>
      </c>
      <c r="J47" s="75">
        <f t="shared" si="11"/>
        <v>71391.096223729342</v>
      </c>
      <c r="K47" s="75">
        <f t="shared" si="14"/>
        <v>3748492.9615489142</v>
      </c>
      <c r="L47" s="76">
        <f t="shared" si="12"/>
        <v>525064491.20793456</v>
      </c>
      <c r="M47" s="76">
        <f t="shared" si="15"/>
        <v>440000000</v>
      </c>
      <c r="N47" s="55"/>
      <c r="O47" s="55"/>
      <c r="P47" s="55"/>
      <c r="Q47" s="55"/>
      <c r="R47" s="55"/>
      <c r="S47" s="55"/>
      <c r="T47" s="55"/>
      <c r="U47" s="55"/>
      <c r="V47" s="55"/>
      <c r="W47" s="55"/>
      <c r="X47" s="55"/>
      <c r="Y47" s="55"/>
      <c r="Z47" s="55"/>
      <c r="AA47" s="55"/>
      <c r="AB47" s="55"/>
      <c r="AC47" s="55"/>
      <c r="AD47" s="55"/>
      <c r="AE47" s="55"/>
      <c r="AF47" s="55"/>
      <c r="AG47" s="55"/>
      <c r="AH47" s="55"/>
      <c r="AI47" s="55"/>
      <c r="AJ47" s="55"/>
      <c r="AK47" s="55"/>
      <c r="AL47" s="55"/>
      <c r="AM47" s="55"/>
      <c r="AN47" s="55"/>
      <c r="AO47" s="55"/>
      <c r="AP47" s="55"/>
      <c r="AQ47" s="55"/>
      <c r="AR47" s="55"/>
      <c r="AS47" s="55"/>
      <c r="AT47" s="55"/>
      <c r="AU47" s="55"/>
      <c r="AV47" s="55"/>
      <c r="AW47" s="55"/>
      <c r="AX47" s="55"/>
      <c r="AY47" s="55"/>
      <c r="AZ47" s="55"/>
    </row>
    <row r="48" spans="1:52">
      <c r="A48" s="71">
        <v>47362</v>
      </c>
      <c r="B48" s="77" t="s">
        <v>139</v>
      </c>
      <c r="C48" s="73">
        <f>C47*(1+((1+Inputs!$H$8)^(1/12)-1))</f>
        <v>139.27929553963605</v>
      </c>
      <c r="D48" s="74">
        <f>Inputs!$B$7</f>
        <v>10000000</v>
      </c>
      <c r="E48" s="75">
        <f t="shared" si="8"/>
        <v>71798.180492334577</v>
      </c>
      <c r="F48" s="75">
        <f t="shared" si="13"/>
        <v>3963611.1024553431</v>
      </c>
      <c r="G48" s="76">
        <f t="shared" si="9"/>
        <v>552048962.14306045</v>
      </c>
      <c r="H48" s="73">
        <f>H47*(1+((1+Inputs!$H$9)^(1/12)-1))</f>
        <v>141.19045563750123</v>
      </c>
      <c r="I48" s="76">
        <f t="shared" si="10"/>
        <v>10000000</v>
      </c>
      <c r="J48" s="75">
        <f t="shared" si="11"/>
        <v>70826.317224122089</v>
      </c>
      <c r="K48" s="75">
        <f t="shared" si="14"/>
        <v>3819319.2787730363</v>
      </c>
      <c r="L48" s="76">
        <f t="shared" si="12"/>
        <v>539251429.19505763</v>
      </c>
      <c r="M48" s="76">
        <f t="shared" si="15"/>
        <v>450000000</v>
      </c>
      <c r="N48" s="55"/>
      <c r="O48" s="55"/>
      <c r="P48" s="55"/>
      <c r="Q48" s="55"/>
      <c r="R48" s="55"/>
      <c r="S48" s="55"/>
      <c r="T48" s="55"/>
      <c r="U48" s="55"/>
      <c r="V48" s="55"/>
      <c r="W48" s="55"/>
      <c r="X48" s="55"/>
      <c r="Y48" s="55"/>
      <c r="Z48" s="55"/>
      <c r="AA48" s="55"/>
      <c r="AB48" s="55"/>
      <c r="AC48" s="55"/>
      <c r="AD48" s="55"/>
      <c r="AE48" s="55"/>
      <c r="AF48" s="55"/>
      <c r="AG48" s="55"/>
      <c r="AH48" s="55"/>
      <c r="AI48" s="55"/>
      <c r="AJ48" s="55"/>
      <c r="AK48" s="55"/>
      <c r="AL48" s="55"/>
      <c r="AM48" s="55"/>
      <c r="AN48" s="55"/>
      <c r="AO48" s="55"/>
      <c r="AP48" s="55"/>
      <c r="AQ48" s="55"/>
      <c r="AR48" s="55"/>
      <c r="AS48" s="55"/>
      <c r="AT48" s="55"/>
      <c r="AU48" s="55"/>
      <c r="AV48" s="55"/>
      <c r="AW48" s="55"/>
      <c r="AX48" s="55"/>
      <c r="AY48" s="55"/>
      <c r="AZ48" s="55"/>
    </row>
    <row r="49" spans="1:52">
      <c r="A49" s="71">
        <v>47392</v>
      </c>
      <c r="B49" s="77" t="s">
        <v>139</v>
      </c>
      <c r="C49" s="73">
        <f>C48*(1+((1+Inputs!$H$8)^(1/12)-1))</f>
        <v>140.60088793508626</v>
      </c>
      <c r="D49" s="74">
        <f>Inputs!$B$7</f>
        <v>10000000</v>
      </c>
      <c r="E49" s="75">
        <f t="shared" si="8"/>
        <v>71123.306167290211</v>
      </c>
      <c r="F49" s="75">
        <f t="shared" si="13"/>
        <v>4034734.4086226332</v>
      </c>
      <c r="G49" s="76">
        <f t="shared" si="9"/>
        <v>567287240.43458736</v>
      </c>
      <c r="H49" s="73">
        <f>H48*(1+((1+Inputs!$H$9)^(1/12)-1))</f>
        <v>142.31632815797556</v>
      </c>
      <c r="I49" s="76">
        <f t="shared" si="10"/>
        <v>10000000</v>
      </c>
      <c r="J49" s="75">
        <f t="shared" si="11"/>
        <v>70266.006223120712</v>
      </c>
      <c r="K49" s="75">
        <f t="shared" si="14"/>
        <v>3889585.284996157</v>
      </c>
      <c r="L49" s="76">
        <f t="shared" si="12"/>
        <v>553551495.81794596</v>
      </c>
      <c r="M49" s="76">
        <f t="shared" si="15"/>
        <v>460000000</v>
      </c>
      <c r="N49" s="55"/>
      <c r="O49" s="55"/>
      <c r="P49" s="55"/>
      <c r="Q49" s="55"/>
      <c r="R49" s="55"/>
      <c r="S49" s="55"/>
      <c r="T49" s="55"/>
      <c r="U49" s="55"/>
      <c r="V49" s="55"/>
      <c r="W49" s="55"/>
      <c r="X49" s="55"/>
      <c r="Y49" s="55"/>
      <c r="Z49" s="55"/>
      <c r="AA49" s="55"/>
      <c r="AB49" s="55"/>
      <c r="AC49" s="55"/>
      <c r="AD49" s="55"/>
      <c r="AE49" s="55"/>
      <c r="AF49" s="55"/>
      <c r="AG49" s="55"/>
      <c r="AH49" s="55"/>
      <c r="AI49" s="55"/>
      <c r="AJ49" s="55"/>
      <c r="AK49" s="55"/>
      <c r="AL49" s="55"/>
      <c r="AM49" s="55"/>
      <c r="AN49" s="55"/>
      <c r="AO49" s="55"/>
      <c r="AP49" s="55"/>
      <c r="AQ49" s="55"/>
      <c r="AR49" s="55"/>
      <c r="AS49" s="55"/>
      <c r="AT49" s="55"/>
      <c r="AU49" s="55"/>
      <c r="AV49" s="55"/>
      <c r="AW49" s="55"/>
      <c r="AX49" s="55"/>
      <c r="AY49" s="55"/>
      <c r="AZ49" s="55"/>
    </row>
    <row r="50" spans="1:52">
      <c r="A50" s="71">
        <v>47423</v>
      </c>
      <c r="B50" s="77" t="s">
        <v>139</v>
      </c>
      <c r="C50" s="73">
        <f>C49*(1+((1+Inputs!$H$8)^(1/12)-1))</f>
        <v>141.93502064712081</v>
      </c>
      <c r="D50" s="74">
        <f>Inputs!$B$7</f>
        <v>10000000</v>
      </c>
      <c r="E50" s="75">
        <f t="shared" si="8"/>
        <v>70454.775392339739</v>
      </c>
      <c r="F50" s="75">
        <f t="shared" si="13"/>
        <v>4105189.1840149728</v>
      </c>
      <c r="G50" s="76">
        <f t="shared" si="9"/>
        <v>582670111.59350216</v>
      </c>
      <c r="H50" s="73">
        <f>H49*(1+((1+Inputs!$H$9)^(1/12)-1))</f>
        <v>143.45117854403321</v>
      </c>
      <c r="I50" s="76">
        <f t="shared" si="10"/>
        <v>10000000</v>
      </c>
      <c r="J50" s="75">
        <f t="shared" si="11"/>
        <v>69710.12787413552</v>
      </c>
      <c r="K50" s="75">
        <f t="shared" si="14"/>
        <v>3959295.4128702926</v>
      </c>
      <c r="L50" s="76">
        <f t="shared" si="12"/>
        <v>567965593.18022799</v>
      </c>
      <c r="M50" s="76">
        <f t="shared" si="15"/>
        <v>470000000</v>
      </c>
      <c r="N50" s="55"/>
      <c r="O50" s="55"/>
      <c r="P50" s="55"/>
      <c r="Q50" s="55"/>
      <c r="R50" s="55"/>
      <c r="S50" s="55"/>
      <c r="T50" s="55"/>
      <c r="U50" s="55"/>
      <c r="V50" s="55"/>
      <c r="W50" s="55"/>
      <c r="X50" s="55"/>
      <c r="Y50" s="55"/>
      <c r="Z50" s="55"/>
      <c r="AA50" s="55"/>
      <c r="AB50" s="55"/>
      <c r="AC50" s="55"/>
      <c r="AD50" s="55"/>
      <c r="AE50" s="55"/>
      <c r="AF50" s="55"/>
      <c r="AG50" s="55"/>
      <c r="AH50" s="55"/>
      <c r="AI50" s="55"/>
      <c r="AJ50" s="55"/>
      <c r="AK50" s="55"/>
      <c r="AL50" s="55"/>
      <c r="AM50" s="55"/>
      <c r="AN50" s="55"/>
      <c r="AO50" s="55"/>
      <c r="AP50" s="55"/>
      <c r="AQ50" s="55"/>
      <c r="AR50" s="55"/>
      <c r="AS50" s="55"/>
      <c r="AT50" s="55"/>
      <c r="AU50" s="55"/>
      <c r="AV50" s="55"/>
      <c r="AW50" s="55"/>
      <c r="AX50" s="55"/>
      <c r="AY50" s="55"/>
      <c r="AZ50" s="55"/>
    </row>
    <row r="51" spans="1:52">
      <c r="A51" s="71">
        <v>47453</v>
      </c>
      <c r="B51" s="77" t="s">
        <v>139</v>
      </c>
      <c r="C51" s="73">
        <f>C50*(1+((1+Inputs!$H$8)^(1/12)-1))</f>
        <v>143.2818126682071</v>
      </c>
      <c r="D51" s="74">
        <f>Inputs!$B$7</f>
        <v>10000000</v>
      </c>
      <c r="E51" s="75">
        <f t="shared" si="8"/>
        <v>69792.52854063666</v>
      </c>
      <c r="F51" s="75">
        <f t="shared" si="13"/>
        <v>4174981.7125556096</v>
      </c>
      <c r="G51" s="76">
        <f t="shared" si="9"/>
        <v>598198947.63158333</v>
      </c>
      <c r="H51" s="73">
        <f>H50*(1+((1+Inputs!$H$9)^(1/12)-1))</f>
        <v>144.59507838643509</v>
      </c>
      <c r="I51" s="76">
        <f t="shared" si="10"/>
        <v>10000000</v>
      </c>
      <c r="J51" s="75">
        <f t="shared" si="11"/>
        <v>69158.647110205726</v>
      </c>
      <c r="K51" s="75">
        <f t="shared" si="14"/>
        <v>4028454.0599804982</v>
      </c>
      <c r="L51" s="76">
        <f t="shared" si="12"/>
        <v>582494630.57903278</v>
      </c>
      <c r="M51" s="76">
        <f t="shared" si="15"/>
        <v>480000000</v>
      </c>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c r="AO51" s="55"/>
      <c r="AP51" s="55"/>
      <c r="AQ51" s="55"/>
      <c r="AR51" s="55"/>
      <c r="AS51" s="55"/>
      <c r="AT51" s="55"/>
      <c r="AU51" s="55"/>
      <c r="AV51" s="55"/>
      <c r="AW51" s="55"/>
      <c r="AX51" s="55"/>
      <c r="AY51" s="55"/>
      <c r="AZ51" s="55"/>
    </row>
    <row r="52" spans="1:52">
      <c r="A52" s="71">
        <v>47484</v>
      </c>
      <c r="B52" s="77" t="s">
        <v>139</v>
      </c>
      <c r="C52" s="73">
        <f>C51*(1+((1+Inputs!$H$8)^(1/12)-1))</f>
        <v>144.64138411990743</v>
      </c>
      <c r="D52" s="74">
        <f>Inputs!$B$7</f>
        <v>10000000</v>
      </c>
      <c r="E52" s="75">
        <f t="shared" si="8"/>
        <v>69136.506545803102</v>
      </c>
      <c r="F52" s="75">
        <f t="shared" si="13"/>
        <v>4244118.2191014132</v>
      </c>
      <c r="G52" s="76">
        <f t="shared" si="9"/>
        <v>613875133.57934499</v>
      </c>
      <c r="H52" s="73">
        <f>H51*(1+((1+Inputs!$H$9)^(1/12)-1))</f>
        <v>145.74809984681687</v>
      </c>
      <c r="I52" s="76">
        <f t="shared" si="10"/>
        <v>10000000</v>
      </c>
      <c r="J52" s="75">
        <f t="shared" si="11"/>
        <v>68611.529141787294</v>
      </c>
      <c r="K52" s="75">
        <f t="shared" si="14"/>
        <v>4097065.5891222856</v>
      </c>
      <c r="L52" s="76">
        <f t="shared" si="12"/>
        <v>597139524.56235242</v>
      </c>
      <c r="M52" s="76">
        <f t="shared" si="15"/>
        <v>490000000</v>
      </c>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c r="AS52" s="55"/>
      <c r="AT52" s="55"/>
      <c r="AU52" s="55"/>
      <c r="AV52" s="55"/>
      <c r="AW52" s="55"/>
      <c r="AX52" s="55"/>
      <c r="AY52" s="55"/>
      <c r="AZ52" s="55"/>
    </row>
    <row r="53" spans="1:52">
      <c r="A53" s="71">
        <v>47515</v>
      </c>
      <c r="B53" s="77" t="s">
        <v>139</v>
      </c>
      <c r="C53" s="73">
        <f>C52*(1+((1+Inputs!$H$8)^(1/12)-1))</f>
        <v>146.01385626359271</v>
      </c>
      <c r="D53" s="74">
        <f>Inputs!$B$7</f>
        <v>10000000</v>
      </c>
      <c r="E53" s="75">
        <f t="shared" si="8"/>
        <v>68486.650896661595</v>
      </c>
      <c r="F53" s="75">
        <f t="shared" si="13"/>
        <v>4312604.8699980751</v>
      </c>
      <c r="G53" s="76">
        <f t="shared" si="9"/>
        <v>629700067.60956883</v>
      </c>
      <c r="H53" s="73">
        <f>H52*(1+((1+Inputs!$H$9)^(1/12)-1))</f>
        <v>146.91031566224129</v>
      </c>
      <c r="I53" s="76">
        <f t="shared" si="10"/>
        <v>10000000</v>
      </c>
      <c r="J53" s="75">
        <f t="shared" si="11"/>
        <v>68068.739454558177</v>
      </c>
      <c r="K53" s="75">
        <f t="shared" si="14"/>
        <v>4165134.3285768437</v>
      </c>
      <c r="L53" s="76">
        <f t="shared" si="12"/>
        <v>611901198.98686159</v>
      </c>
      <c r="M53" s="76">
        <f t="shared" si="15"/>
        <v>500000000</v>
      </c>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c r="AO53" s="55"/>
      <c r="AP53" s="55"/>
      <c r="AQ53" s="55"/>
      <c r="AR53" s="55"/>
      <c r="AS53" s="55"/>
      <c r="AT53" s="55"/>
      <c r="AU53" s="55"/>
      <c r="AV53" s="55"/>
      <c r="AW53" s="55"/>
      <c r="AX53" s="55"/>
      <c r="AY53" s="55"/>
      <c r="AZ53" s="55"/>
    </row>
    <row r="54" spans="1:52">
      <c r="A54" s="71">
        <v>47543</v>
      </c>
      <c r="B54" s="77" t="s">
        <v>139</v>
      </c>
      <c r="C54" s="73">
        <f>C53*(1+((1+Inputs!$H$8)^(1/12)-1))</f>
        <v>147.39935151125792</v>
      </c>
      <c r="D54" s="74">
        <f>Inputs!$B$7</f>
        <v>10000000</v>
      </c>
      <c r="E54" s="75">
        <f t="shared" si="8"/>
        <v>67842.903632016518</v>
      </c>
      <c r="F54" s="75">
        <f t="shared" si="13"/>
        <v>4380447.7736300919</v>
      </c>
      <c r="G54" s="76">
        <f t="shared" si="9"/>
        <v>645675161.16200912</v>
      </c>
      <c r="H54" s="73">
        <f>H53*(1+((1+Inputs!$H$9)^(1/12)-1))</f>
        <v>148.08179914978658</v>
      </c>
      <c r="I54" s="76">
        <f t="shared" si="10"/>
        <v>10000000</v>
      </c>
      <c r="J54" s="75">
        <f t="shared" si="11"/>
        <v>67530.243807241131</v>
      </c>
      <c r="K54" s="75">
        <f t="shared" si="14"/>
        <v>4232664.5723840846</v>
      </c>
      <c r="L54" s="76">
        <f t="shared" si="12"/>
        <v>626780585.07619727</v>
      </c>
      <c r="M54" s="76">
        <f t="shared" si="15"/>
        <v>510000000</v>
      </c>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c r="AZ54" s="55"/>
    </row>
    <row r="55" spans="1:52">
      <c r="A55" s="71">
        <v>47574</v>
      </c>
      <c r="B55" s="77" t="s">
        <v>139</v>
      </c>
      <c r="C55" s="73">
        <f>C54*(1+((1+Inputs!$H$8)^(1/12)-1))</f>
        <v>148.79799343644007</v>
      </c>
      <c r="D55" s="74">
        <f>Inputs!$B$7</f>
        <v>10000000</v>
      </c>
      <c r="E55" s="75">
        <f t="shared" si="8"/>
        <v>67205.207335484389</v>
      </c>
      <c r="F55" s="75">
        <f t="shared" si="13"/>
        <v>4447652.9809655761</v>
      </c>
      <c r="G55" s="76">
        <f t="shared" si="9"/>
        <v>661801839.06927884</v>
      </c>
      <c r="H55" s="73">
        <f>H54*(1+((1+Inputs!$H$9)^(1/12)-1))</f>
        <v>149.2626242111717</v>
      </c>
      <c r="I55" s="76">
        <f t="shared" si="10"/>
        <v>10000000</v>
      </c>
      <c r="J55" s="75">
        <f t="shared" si="11"/>
        <v>66996.008229443556</v>
      </c>
      <c r="K55" s="75">
        <f t="shared" si="14"/>
        <v>4299660.5806135284</v>
      </c>
      <c r="L55" s="76">
        <f t="shared" si="12"/>
        <v>641778621.47970545</v>
      </c>
      <c r="M55" s="76">
        <f t="shared" si="15"/>
        <v>520000000</v>
      </c>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row>
    <row r="56" spans="1:52">
      <c r="A56" s="71">
        <v>47604</v>
      </c>
      <c r="B56" s="77" t="s">
        <v>139</v>
      </c>
      <c r="C56" s="73">
        <f>C55*(1+((1+Inputs!$H$8)^(1/12)-1))</f>
        <v>150.20990678523989</v>
      </c>
      <c r="D56" s="74">
        <f>Inputs!$B$7</f>
        <v>10000000</v>
      </c>
      <c r="E56" s="75">
        <f t="shared" si="8"/>
        <v>66573.505130372883</v>
      </c>
      <c r="F56" s="75">
        <f t="shared" si="13"/>
        <v>4514226.4860959491</v>
      </c>
      <c r="G56" s="76">
        <f t="shared" si="9"/>
        <v>678081539.6839335</v>
      </c>
      <c r="H56" s="73">
        <f>H55*(1+((1+Inputs!$H$9)^(1/12)-1))</f>
        <v>150.45286533741827</v>
      </c>
      <c r="I56" s="76">
        <f t="shared" si="10"/>
        <v>10000000</v>
      </c>
      <c r="J56" s="75">
        <f t="shared" si="11"/>
        <v>66465.999019514566</v>
      </c>
      <c r="K56" s="75">
        <f t="shared" si="14"/>
        <v>4366126.5796330431</v>
      </c>
      <c r="L56" s="76">
        <f t="shared" si="12"/>
        <v>656896254.33165288</v>
      </c>
      <c r="M56" s="76">
        <f t="shared" si="15"/>
        <v>530000000</v>
      </c>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row>
    <row r="57" spans="1:52">
      <c r="A57" s="71">
        <v>47635</v>
      </c>
      <c r="B57" s="77" t="s">
        <v>139</v>
      </c>
      <c r="C57" s="73">
        <f>C56*(1+((1+Inputs!$H$8)^(1/12)-1))</f>
        <v>151.63521748744805</v>
      </c>
      <c r="D57" s="74">
        <f>Inputs!$B$7</f>
        <v>10000000</v>
      </c>
      <c r="E57" s="75">
        <f t="shared" si="8"/>
        <v>65947.74067460795</v>
      </c>
      <c r="F57" s="75">
        <f t="shared" si="13"/>
        <v>4580174.2267705575</v>
      </c>
      <c r="G57" s="76">
        <f t="shared" si="9"/>
        <v>694515715.00675762</v>
      </c>
      <c r="H57" s="73">
        <f>H56*(1+((1+Inputs!$H$9)^(1/12)-1))</f>
        <v>151.6525976135498</v>
      </c>
      <c r="I57" s="76">
        <f t="shared" si="10"/>
        <v>10000000</v>
      </c>
      <c r="J57" s="75">
        <f t="shared" si="11"/>
        <v>65940.18274241894</v>
      </c>
      <c r="K57" s="75">
        <f t="shared" si="14"/>
        <v>4432066.7623754619</v>
      </c>
      <c r="L57" s="76">
        <f t="shared" si="12"/>
        <v>672134437.3109144</v>
      </c>
      <c r="M57" s="76">
        <f t="shared" si="15"/>
        <v>540000000</v>
      </c>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55"/>
    </row>
    <row r="58" spans="1:52">
      <c r="A58" s="71">
        <v>47665</v>
      </c>
      <c r="B58" s="77" t="s">
        <v>139</v>
      </c>
      <c r="C58" s="73">
        <f>C57*(1+((1+Inputs!$H$8)^(1/12)-1))</f>
        <v>153.0740526677769</v>
      </c>
      <c r="D58" s="74">
        <f>Inputs!$B$7</f>
        <v>10000000</v>
      </c>
      <c r="E58" s="75">
        <f t="shared" si="8"/>
        <v>65327.858155708622</v>
      </c>
      <c r="F58" s="75">
        <f t="shared" si="13"/>
        <v>4645502.0849262662</v>
      </c>
      <c r="G58" s="76">
        <f t="shared" si="9"/>
        <v>711105830.81627071</v>
      </c>
      <c r="H58" s="73">
        <f>H57*(1+((1+Inputs!$H$9)^(1/12)-1))</f>
        <v>152.86189672332827</v>
      </c>
      <c r="I58" s="76">
        <f t="shared" si="10"/>
        <v>10000000</v>
      </c>
      <c r="J58" s="75">
        <f t="shared" si="11"/>
        <v>65418.526227627917</v>
      </c>
      <c r="K58" s="75">
        <f t="shared" si="14"/>
        <v>4497485.2886030897</v>
      </c>
      <c r="L58" s="76">
        <f t="shared" si="12"/>
        <v>687494131.70113373</v>
      </c>
      <c r="M58" s="76">
        <f t="shared" si="15"/>
        <v>550000000</v>
      </c>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row>
    <row r="59" spans="1:52">
      <c r="A59" s="71">
        <v>47696</v>
      </c>
      <c r="B59" s="77" t="s">
        <v>139</v>
      </c>
      <c r="C59" s="73">
        <f>C58*(1+((1+Inputs!$H$8)^(1/12)-1))</f>
        <v>154.52654065719889</v>
      </c>
      <c r="D59" s="74">
        <f>Inputs!$B$7</f>
        <v>10000000</v>
      </c>
      <c r="E59" s="75">
        <f t="shared" si="8"/>
        <v>64713.802285809033</v>
      </c>
      <c r="F59" s="75">
        <f t="shared" si="13"/>
        <v>4710215.8872120753</v>
      </c>
      <c r="G59" s="76">
        <f t="shared" si="9"/>
        <v>727853366.79946089</v>
      </c>
      <c r="H59" s="73">
        <f>H58*(1+((1+Inputs!$H$9)^(1/12)-1))</f>
        <v>154.08083895402868</v>
      </c>
      <c r="I59" s="76">
        <f t="shared" si="10"/>
        <v>10000000</v>
      </c>
      <c r="J59" s="75">
        <f t="shared" si="11"/>
        <v>64900.996567026639</v>
      </c>
      <c r="K59" s="75">
        <f t="shared" si="14"/>
        <v>4562386.2851701165</v>
      </c>
      <c r="L59" s="76">
        <f t="shared" si="12"/>
        <v>702976306.45136583</v>
      </c>
      <c r="M59" s="76">
        <f t="shared" si="15"/>
        <v>560000000</v>
      </c>
      <c r="N59" s="55"/>
      <c r="O59" s="55"/>
      <c r="P59" s="55"/>
      <c r="Q59" s="55"/>
      <c r="R59" s="55"/>
      <c r="S59" s="55"/>
      <c r="T59" s="55"/>
      <c r="U59" s="55"/>
      <c r="V59" s="55"/>
      <c r="W59" s="55"/>
      <c r="X59" s="55"/>
      <c r="Y59" s="55"/>
      <c r="Z59" s="55"/>
      <c r="AA59" s="55"/>
      <c r="AB59" s="55"/>
      <c r="AC59" s="55"/>
      <c r="AD59" s="55"/>
      <c r="AE59" s="55"/>
      <c r="AF59" s="55"/>
      <c r="AG59" s="55"/>
      <c r="AH59" s="55"/>
      <c r="AI59" s="55"/>
      <c r="AJ59" s="55"/>
      <c r="AK59" s="55"/>
      <c r="AL59" s="55"/>
      <c r="AM59" s="55"/>
      <c r="AN59" s="55"/>
      <c r="AO59" s="55"/>
      <c r="AP59" s="55"/>
      <c r="AQ59" s="55"/>
      <c r="AR59" s="55"/>
      <c r="AS59" s="55"/>
      <c r="AT59" s="55"/>
      <c r="AU59" s="55"/>
      <c r="AV59" s="55"/>
      <c r="AW59" s="55"/>
      <c r="AX59" s="55"/>
      <c r="AY59" s="55"/>
      <c r="AZ59" s="55"/>
    </row>
    <row r="60" spans="1:52">
      <c r="A60" s="71">
        <v>47727</v>
      </c>
      <c r="B60" s="77" t="s">
        <v>139</v>
      </c>
      <c r="C60" s="73">
        <f>C59*(1+((1+Inputs!$H$8)^(1/12)-1))</f>
        <v>155.99281100439248</v>
      </c>
      <c r="D60" s="74">
        <f>Inputs!$B$7</f>
        <v>10000000</v>
      </c>
      <c r="E60" s="75">
        <f t="shared" si="8"/>
        <v>64105.518296727263</v>
      </c>
      <c r="F60" s="75">
        <f t="shared" si="13"/>
        <v>4774321.4055088023</v>
      </c>
      <c r="G60" s="76">
        <f t="shared" si="9"/>
        <v>744759816.68376005</v>
      </c>
      <c r="H60" s="73">
        <f>H59*(1+((1+Inputs!$H$9)^(1/12)-1))</f>
        <v>155.30950120125141</v>
      </c>
      <c r="I60" s="76">
        <f t="shared" si="10"/>
        <v>10000000</v>
      </c>
      <c r="J60" s="75">
        <f t="shared" si="11"/>
        <v>64387.561112838244</v>
      </c>
      <c r="K60" s="75">
        <f t="shared" si="14"/>
        <v>4626773.8462829543</v>
      </c>
      <c r="L60" s="76">
        <f t="shared" si="12"/>
        <v>718581938.23720109</v>
      </c>
      <c r="M60" s="76">
        <f t="shared" si="15"/>
        <v>570000000</v>
      </c>
      <c r="N60" s="55"/>
      <c r="O60" s="55"/>
      <c r="P60" s="55"/>
      <c r="Q60" s="55"/>
      <c r="R60" s="55"/>
      <c r="S60" s="55"/>
      <c r="T60" s="55"/>
      <c r="U60" s="55"/>
      <c r="V60" s="55"/>
      <c r="W60" s="55"/>
      <c r="X60" s="55"/>
      <c r="Y60" s="55"/>
      <c r="Z60" s="55"/>
      <c r="AA60" s="55"/>
      <c r="AB60" s="55"/>
      <c r="AC60" s="55"/>
      <c r="AD60" s="55"/>
      <c r="AE60" s="55"/>
      <c r="AF60" s="55"/>
      <c r="AG60" s="55"/>
      <c r="AH60" s="55"/>
      <c r="AI60" s="55"/>
      <c r="AJ60" s="55"/>
      <c r="AK60" s="55"/>
      <c r="AL60" s="55"/>
      <c r="AM60" s="55"/>
      <c r="AN60" s="55"/>
      <c r="AO60" s="55"/>
      <c r="AP60" s="55"/>
      <c r="AQ60" s="55"/>
      <c r="AR60" s="55"/>
      <c r="AS60" s="55"/>
      <c r="AT60" s="55"/>
      <c r="AU60" s="55"/>
      <c r="AV60" s="55"/>
      <c r="AW60" s="55"/>
      <c r="AX60" s="55"/>
      <c r="AY60" s="55"/>
      <c r="AZ60" s="55"/>
    </row>
    <row r="61" spans="1:52">
      <c r="A61" s="71">
        <v>47757</v>
      </c>
      <c r="B61" s="77" t="s">
        <v>139</v>
      </c>
      <c r="C61" s="73">
        <f>C60*(1+((1+Inputs!$H$8)^(1/12)-1))</f>
        <v>157.47299448729672</v>
      </c>
      <c r="D61" s="74">
        <f>Inputs!$B$7</f>
        <v>10000000</v>
      </c>
      <c r="E61" s="75">
        <f t="shared" si="8"/>
        <v>63502.951935080499</v>
      </c>
      <c r="F61" s="75">
        <f t="shared" si="13"/>
        <v>4837824.3574438831</v>
      </c>
      <c r="G61" s="76">
        <f t="shared" si="9"/>
        <v>761826688.37027037</v>
      </c>
      <c r="H61" s="73">
        <f>H60*(1+((1+Inputs!$H$9)^(1/12)-1))</f>
        <v>156.54796097377317</v>
      </c>
      <c r="I61" s="76">
        <f t="shared" si="10"/>
        <v>10000000</v>
      </c>
      <c r="J61" s="75">
        <f t="shared" si="11"/>
        <v>63878.187475564257</v>
      </c>
      <c r="K61" s="75">
        <f t="shared" si="14"/>
        <v>4690652.0337585183</v>
      </c>
      <c r="L61" s="76">
        <f t="shared" si="12"/>
        <v>734312011.52237833</v>
      </c>
      <c r="M61" s="76">
        <f t="shared" si="15"/>
        <v>580000000</v>
      </c>
      <c r="N61" s="55"/>
      <c r="O61" s="55"/>
      <c r="P61" s="55"/>
      <c r="Q61" s="55"/>
      <c r="R61" s="55"/>
      <c r="S61" s="55"/>
      <c r="T61" s="55"/>
      <c r="U61" s="55"/>
      <c r="V61" s="55"/>
      <c r="W61" s="55"/>
      <c r="X61" s="55"/>
      <c r="Y61" s="55"/>
      <c r="Z61" s="55"/>
      <c r="AA61" s="55"/>
      <c r="AB61" s="55"/>
      <c r="AC61" s="55"/>
      <c r="AD61" s="55"/>
      <c r="AE61" s="55"/>
      <c r="AF61" s="55"/>
      <c r="AG61" s="55"/>
      <c r="AH61" s="55"/>
      <c r="AI61" s="55"/>
      <c r="AJ61" s="55"/>
      <c r="AK61" s="55"/>
      <c r="AL61" s="55"/>
      <c r="AM61" s="55"/>
      <c r="AN61" s="55"/>
      <c r="AO61" s="55"/>
      <c r="AP61" s="55"/>
      <c r="AQ61" s="55"/>
      <c r="AR61" s="55"/>
      <c r="AS61" s="55"/>
      <c r="AT61" s="55"/>
      <c r="AU61" s="55"/>
      <c r="AV61" s="55"/>
      <c r="AW61" s="55"/>
      <c r="AX61" s="55"/>
      <c r="AY61" s="55"/>
      <c r="AZ61" s="55"/>
    </row>
    <row r="62" spans="1:52">
      <c r="A62" s="71">
        <v>47788</v>
      </c>
      <c r="B62" s="77" t="s">
        <v>139</v>
      </c>
      <c r="C62" s="73">
        <f>C61*(1+((1+Inputs!$H$8)^(1/12)-1))</f>
        <v>158.96722312477542</v>
      </c>
      <c r="D62" s="74">
        <f>Inputs!$B$7</f>
        <v>10000000</v>
      </c>
      <c r="E62" s="75">
        <f t="shared" si="8"/>
        <v>62906.049457446155</v>
      </c>
      <c r="F62" s="75">
        <f t="shared" si="13"/>
        <v>4900730.4069013288</v>
      </c>
      <c r="G62" s="76">
        <f t="shared" si="9"/>
        <v>779055504.06825495</v>
      </c>
      <c r="H62" s="73">
        <f>H61*(1+((1+Inputs!$H$9)^(1/12)-1))</f>
        <v>157.7962963984366</v>
      </c>
      <c r="I62" s="76">
        <f t="shared" si="10"/>
        <v>10000000</v>
      </c>
      <c r="J62" s="75">
        <f t="shared" si="11"/>
        <v>63372.843521941351</v>
      </c>
      <c r="K62" s="75">
        <f t="shared" si="14"/>
        <v>4754024.8772804597</v>
      </c>
      <c r="L62" s="76">
        <f t="shared" si="12"/>
        <v>750167518.62088859</v>
      </c>
      <c r="M62" s="76">
        <f t="shared" si="15"/>
        <v>590000000</v>
      </c>
      <c r="N62" s="55"/>
      <c r="O62" s="55"/>
      <c r="P62" s="55"/>
      <c r="Q62" s="55"/>
      <c r="R62" s="55"/>
      <c r="S62" s="55"/>
      <c r="T62" s="55"/>
      <c r="U62" s="55"/>
      <c r="V62" s="55"/>
      <c r="W62" s="55"/>
      <c r="X62" s="55"/>
      <c r="Y62" s="55"/>
      <c r="Z62" s="55"/>
      <c r="AA62" s="55"/>
      <c r="AB62" s="55"/>
      <c r="AC62" s="55"/>
      <c r="AD62" s="55"/>
      <c r="AE62" s="55"/>
      <c r="AF62" s="55"/>
      <c r="AG62" s="55"/>
      <c r="AH62" s="55"/>
      <c r="AI62" s="55"/>
      <c r="AJ62" s="55"/>
      <c r="AK62" s="55"/>
      <c r="AL62" s="55"/>
      <c r="AM62" s="55"/>
      <c r="AN62" s="55"/>
      <c r="AO62" s="55"/>
      <c r="AP62" s="55"/>
      <c r="AQ62" s="55"/>
      <c r="AR62" s="55"/>
      <c r="AS62" s="55"/>
      <c r="AT62" s="55"/>
      <c r="AU62" s="55"/>
      <c r="AV62" s="55"/>
      <c r="AW62" s="55"/>
      <c r="AX62" s="55"/>
      <c r="AY62" s="55"/>
      <c r="AZ62" s="55"/>
    </row>
    <row r="63" spans="1:52">
      <c r="A63" s="71">
        <v>47818</v>
      </c>
      <c r="B63" s="77" t="s">
        <v>139</v>
      </c>
      <c r="C63" s="73">
        <f>C62*(1+((1+Inputs!$H$8)^(1/12)-1))</f>
        <v>160.47563018839207</v>
      </c>
      <c r="D63" s="74">
        <f>Inputs!$B$7</f>
        <v>10000000</v>
      </c>
      <c r="E63" s="75">
        <f t="shared" si="8"/>
        <v>62314.757625568403</v>
      </c>
      <c r="F63" s="75">
        <f t="shared" si="13"/>
        <v>4963045.1645268975</v>
      </c>
      <c r="G63" s="76">
        <f t="shared" si="9"/>
        <v>796447800.43090594</v>
      </c>
      <c r="H63" s="73">
        <f>H62*(1+((1+Inputs!$H$9)^(1/12)-1))</f>
        <v>159.05458622507865</v>
      </c>
      <c r="I63" s="76">
        <f t="shared" si="10"/>
        <v>10000000</v>
      </c>
      <c r="J63" s="75">
        <f t="shared" si="11"/>
        <v>62871.49737291428</v>
      </c>
      <c r="K63" s="75">
        <f t="shared" si="14"/>
        <v>4816896.3746533738</v>
      </c>
      <c r="L63" s="76">
        <f t="shared" si="12"/>
        <v>766149459.75957382</v>
      </c>
      <c r="M63" s="76">
        <f t="shared" si="15"/>
        <v>600000000</v>
      </c>
      <c r="N63" s="55"/>
      <c r="O63" s="55"/>
      <c r="P63" s="55"/>
      <c r="Q63" s="55"/>
      <c r="R63" s="55"/>
      <c r="S63" s="55"/>
      <c r="T63" s="55"/>
      <c r="U63" s="55"/>
      <c r="V63" s="55"/>
      <c r="W63" s="55"/>
      <c r="X63" s="55"/>
      <c r="Y63" s="55"/>
      <c r="Z63" s="55"/>
      <c r="AA63" s="55"/>
      <c r="AB63" s="55"/>
      <c r="AC63" s="55"/>
      <c r="AD63" s="55"/>
      <c r="AE63" s="55"/>
      <c r="AF63" s="55"/>
      <c r="AG63" s="55"/>
      <c r="AH63" s="55"/>
      <c r="AI63" s="55"/>
      <c r="AJ63" s="55"/>
      <c r="AK63" s="55"/>
      <c r="AL63" s="55"/>
      <c r="AM63" s="55"/>
      <c r="AN63" s="55"/>
      <c r="AO63" s="55"/>
      <c r="AP63" s="55"/>
      <c r="AQ63" s="55"/>
      <c r="AR63" s="55"/>
      <c r="AS63" s="55"/>
      <c r="AT63" s="55"/>
      <c r="AU63" s="55"/>
      <c r="AV63" s="55"/>
      <c r="AW63" s="55"/>
      <c r="AX63" s="55"/>
      <c r="AY63" s="55"/>
      <c r="AZ63" s="55"/>
    </row>
    <row r="64" spans="1:52">
      <c r="A64" s="71">
        <v>47849</v>
      </c>
      <c r="B64" s="77" t="s">
        <v>139</v>
      </c>
      <c r="C64" s="73">
        <f>C63*(1+((1+Inputs!$H$8)^(1/12)-1))</f>
        <v>161.99835021429644</v>
      </c>
      <c r="D64" s="74">
        <f>Inputs!$B$7</f>
        <v>10000000</v>
      </c>
      <c r="E64" s="75">
        <f t="shared" si="8"/>
        <v>61729.023701609862</v>
      </c>
      <c r="F64" s="75">
        <f t="shared" si="13"/>
        <v>5024774.1882285075</v>
      </c>
      <c r="G64" s="76">
        <f t="shared" si="9"/>
        <v>814005128.69239891</v>
      </c>
      <c r="H64" s="73">
        <f>H63*(1+((1+Inputs!$H$9)^(1/12)-1))</f>
        <v>160.32290983149861</v>
      </c>
      <c r="I64" s="76">
        <f t="shared" si="10"/>
        <v>10000000</v>
      </c>
      <c r="J64" s="75">
        <f t="shared" si="11"/>
        <v>62374.117401624797</v>
      </c>
      <c r="K64" s="75">
        <f t="shared" si="14"/>
        <v>4879270.4920549989</v>
      </c>
      <c r="L64" s="76">
        <f t="shared" si="12"/>
        <v>782258843.14122546</v>
      </c>
      <c r="M64" s="76">
        <f t="shared" si="15"/>
        <v>610000000</v>
      </c>
      <c r="N64" s="55"/>
      <c r="O64" s="55"/>
      <c r="P64" s="55"/>
      <c r="Q64" s="55"/>
      <c r="R64" s="55"/>
      <c r="S64" s="55"/>
      <c r="T64" s="55"/>
      <c r="U64" s="55"/>
      <c r="V64" s="55"/>
      <c r="W64" s="55"/>
      <c r="X64" s="55"/>
      <c r="Y64" s="55"/>
      <c r="Z64" s="55"/>
      <c r="AA64" s="55"/>
      <c r="AB64" s="55"/>
      <c r="AC64" s="55"/>
      <c r="AD64" s="55"/>
      <c r="AE64" s="55"/>
      <c r="AF64" s="55"/>
      <c r="AG64" s="55"/>
      <c r="AH64" s="55"/>
      <c r="AI64" s="55"/>
      <c r="AJ64" s="55"/>
      <c r="AK64" s="55"/>
      <c r="AL64" s="55"/>
      <c r="AM64" s="55"/>
      <c r="AN64" s="55"/>
      <c r="AO64" s="55"/>
      <c r="AP64" s="55"/>
      <c r="AQ64" s="55"/>
      <c r="AR64" s="55"/>
      <c r="AS64" s="55"/>
      <c r="AT64" s="55"/>
      <c r="AU64" s="55"/>
      <c r="AV64" s="55"/>
      <c r="AW64" s="55"/>
      <c r="AX64" s="55"/>
      <c r="AY64" s="55"/>
      <c r="AZ64" s="55"/>
    </row>
    <row r="65" spans="1:52">
      <c r="A65" s="71">
        <v>47880</v>
      </c>
      <c r="B65" s="77" t="s">
        <v>139</v>
      </c>
      <c r="C65" s="73">
        <f>C64*(1+((1+Inputs!$H$8)^(1/12)-1))</f>
        <v>163.53551901522397</v>
      </c>
      <c r="D65" s="74">
        <f>Inputs!$B$7</f>
        <v>10000000</v>
      </c>
      <c r="E65" s="75">
        <f t="shared" si="8"/>
        <v>61148.795443447809</v>
      </c>
      <c r="F65" s="75">
        <f t="shared" si="13"/>
        <v>5085922.9836719558</v>
      </c>
      <c r="G65" s="76">
        <f t="shared" si="9"/>
        <v>831729054.80624974</v>
      </c>
      <c r="H65" s="73">
        <f>H64*(1+((1+Inputs!$H$9)^(1/12)-1))</f>
        <v>161.60134722846544</v>
      </c>
      <c r="I65" s="76">
        <f t="shared" si="10"/>
        <v>10000000</v>
      </c>
      <c r="J65" s="75">
        <f t="shared" si="11"/>
        <v>61880.672231416516</v>
      </c>
      <c r="K65" s="75">
        <f t="shared" si="14"/>
        <v>4941151.1642864151</v>
      </c>
      <c r="L65" s="76">
        <f t="shared" si="12"/>
        <v>798496685.00818527</v>
      </c>
      <c r="M65" s="76">
        <f t="shared" si="15"/>
        <v>620000000</v>
      </c>
      <c r="N65" s="55"/>
      <c r="O65" s="55"/>
      <c r="P65" s="55"/>
      <c r="Q65" s="55"/>
      <c r="R65" s="55"/>
      <c r="S65" s="55"/>
      <c r="T65" s="55"/>
      <c r="U65" s="55"/>
      <c r="V65" s="55"/>
      <c r="W65" s="55"/>
      <c r="X65" s="55"/>
      <c r="Y65" s="55"/>
      <c r="Z65" s="55"/>
      <c r="AA65" s="55"/>
      <c r="AB65" s="55"/>
      <c r="AC65" s="55"/>
      <c r="AD65" s="55"/>
      <c r="AE65" s="55"/>
      <c r="AF65" s="55"/>
      <c r="AG65" s="55"/>
      <c r="AH65" s="55"/>
      <c r="AI65" s="55"/>
      <c r="AJ65" s="55"/>
      <c r="AK65" s="55"/>
      <c r="AL65" s="55"/>
      <c r="AM65" s="55"/>
      <c r="AN65" s="55"/>
      <c r="AO65" s="55"/>
      <c r="AP65" s="55"/>
      <c r="AQ65" s="55"/>
      <c r="AR65" s="55"/>
      <c r="AS65" s="55"/>
      <c r="AT65" s="55"/>
      <c r="AU65" s="55"/>
      <c r="AV65" s="55"/>
      <c r="AW65" s="55"/>
      <c r="AX65" s="55"/>
      <c r="AY65" s="55"/>
      <c r="AZ65" s="55"/>
    </row>
    <row r="66" spans="1:52">
      <c r="A66" s="71">
        <v>47908</v>
      </c>
      <c r="B66" s="77" t="s">
        <v>139</v>
      </c>
      <c r="C66" s="73">
        <f>C65*(1+((1+Inputs!$H$8)^(1/12)-1))</f>
        <v>165.08727369260899</v>
      </c>
      <c r="D66" s="74">
        <f>Inputs!$B$7</f>
        <v>10000000</v>
      </c>
      <c r="E66" s="75">
        <f t="shared" si="8"/>
        <v>60574.02110001471</v>
      </c>
      <c r="F66" s="75">
        <f t="shared" si="13"/>
        <v>5146497.0047719702</v>
      </c>
      <c r="G66" s="76">
        <f t="shared" si="9"/>
        <v>849621159.58498263</v>
      </c>
      <c r="H66" s="73">
        <f>H65*(1+((1+Inputs!$H$9)^(1/12)-1))</f>
        <v>162.88997906476527</v>
      </c>
      <c r="I66" s="76">
        <f t="shared" si="10"/>
        <v>10000000</v>
      </c>
      <c r="J66" s="75">
        <f t="shared" si="11"/>
        <v>61391.130733855563</v>
      </c>
      <c r="K66" s="75">
        <f t="shared" si="14"/>
        <v>5002542.2950202711</v>
      </c>
      <c r="L66" s="76">
        <f t="shared" si="12"/>
        <v>814864009.70645475</v>
      </c>
      <c r="M66" s="76">
        <f t="shared" si="15"/>
        <v>630000000</v>
      </c>
      <c r="N66" s="55"/>
      <c r="O66" s="55"/>
      <c r="P66" s="55"/>
      <c r="Q66" s="55"/>
      <c r="R66" s="55"/>
      <c r="S66" s="55"/>
      <c r="T66" s="55"/>
      <c r="U66" s="55"/>
      <c r="V66" s="55"/>
      <c r="W66" s="55"/>
      <c r="X66" s="55"/>
      <c r="Y66" s="55"/>
      <c r="Z66" s="55"/>
      <c r="AA66" s="55"/>
      <c r="AB66" s="55"/>
      <c r="AC66" s="55"/>
      <c r="AD66" s="55"/>
      <c r="AE66" s="55"/>
      <c r="AF66" s="55"/>
      <c r="AG66" s="55"/>
      <c r="AH66" s="55"/>
      <c r="AI66" s="55"/>
      <c r="AJ66" s="55"/>
      <c r="AK66" s="55"/>
      <c r="AL66" s="55"/>
      <c r="AM66" s="55"/>
      <c r="AN66" s="55"/>
      <c r="AO66" s="55"/>
      <c r="AP66" s="55"/>
      <c r="AQ66" s="55"/>
      <c r="AR66" s="55"/>
      <c r="AS66" s="55"/>
      <c r="AT66" s="55"/>
      <c r="AU66" s="55"/>
      <c r="AV66" s="55"/>
      <c r="AW66" s="55"/>
      <c r="AX66" s="55"/>
      <c r="AY66" s="55"/>
      <c r="AZ66" s="55"/>
    </row>
    <row r="67" spans="1:52">
      <c r="A67" s="71">
        <v>47939</v>
      </c>
      <c r="B67" s="77" t="s">
        <v>139</v>
      </c>
      <c r="C67" s="73">
        <f>C66*(1+((1+Inputs!$H$8)^(1/12)-1))</f>
        <v>166.653752648813</v>
      </c>
      <c r="D67" s="74">
        <f>Inputs!$B$7</f>
        <v>10000000</v>
      </c>
      <c r="E67" s="75">
        <f t="shared" si="8"/>
        <v>60004.649406682445</v>
      </c>
      <c r="F67" s="75">
        <f t="shared" si="13"/>
        <v>5206501.6541786529</v>
      </c>
      <c r="G67" s="76">
        <f t="shared" si="9"/>
        <v>867683038.84112489</v>
      </c>
      <c r="H67" s="73">
        <f>H66*(1+((1+Inputs!$H$9)^(1/12)-1))</f>
        <v>164.1888866322889</v>
      </c>
      <c r="I67" s="76">
        <f t="shared" si="10"/>
        <v>10000000</v>
      </c>
      <c r="J67" s="75">
        <f t="shared" si="11"/>
        <v>60905.462026766858</v>
      </c>
      <c r="K67" s="75">
        <f t="shared" si="14"/>
        <v>5063447.7570470376</v>
      </c>
      <c r="L67" s="76">
        <f t="shared" si="12"/>
        <v>831361849.75031352</v>
      </c>
      <c r="M67" s="76">
        <f t="shared" si="15"/>
        <v>640000000</v>
      </c>
      <c r="N67" s="55"/>
      <c r="O67" s="55"/>
      <c r="P67" s="55"/>
      <c r="Q67" s="55"/>
      <c r="R67" s="55"/>
      <c r="S67" s="55"/>
      <c r="T67" s="55"/>
      <c r="U67" s="55"/>
      <c r="V67" s="55"/>
      <c r="W67" s="55"/>
      <c r="X67" s="55"/>
      <c r="Y67" s="55"/>
      <c r="Z67" s="55"/>
      <c r="AA67" s="55"/>
      <c r="AB67" s="55"/>
      <c r="AC67" s="55"/>
      <c r="AD67" s="55"/>
      <c r="AE67" s="55"/>
      <c r="AF67" s="55"/>
      <c r="AG67" s="55"/>
      <c r="AH67" s="55"/>
      <c r="AI67" s="55"/>
      <c r="AJ67" s="55"/>
      <c r="AK67" s="55"/>
      <c r="AL67" s="55"/>
      <c r="AM67" s="55"/>
      <c r="AN67" s="55"/>
      <c r="AO67" s="55"/>
      <c r="AP67" s="55"/>
      <c r="AQ67" s="55"/>
      <c r="AR67" s="55"/>
      <c r="AS67" s="55"/>
      <c r="AT67" s="55"/>
      <c r="AU67" s="55"/>
      <c r="AV67" s="55"/>
      <c r="AW67" s="55"/>
      <c r="AX67" s="55"/>
      <c r="AY67" s="55"/>
      <c r="AZ67" s="55"/>
    </row>
    <row r="68" spans="1:52">
      <c r="A68" s="71">
        <v>47969</v>
      </c>
      <c r="B68" s="77" t="s">
        <v>139</v>
      </c>
      <c r="C68" s="73">
        <f>C67*(1+((1+Inputs!$H$8)^(1/12)-1))</f>
        <v>168.23509559946879</v>
      </c>
      <c r="D68" s="74">
        <f>Inputs!$B$7</f>
        <v>10000000</v>
      </c>
      <c r="E68" s="75">
        <f t="shared" ref="E68:E99" si="16">D68/C68</f>
        <v>59440.629580690031</v>
      </c>
      <c r="F68" s="75">
        <f t="shared" si="13"/>
        <v>5265942.2837593425</v>
      </c>
      <c r="G68" s="76">
        <f t="shared" ref="G68:G99" si="17">F68*C68</f>
        <v>885916303.52953804</v>
      </c>
      <c r="H68" s="73">
        <f>H67*(1+((1+Inputs!$H$9)^(1/12)-1))</f>
        <v>165.49815187116013</v>
      </c>
      <c r="I68" s="76">
        <f t="shared" ref="I68:I99" si="18">D68</f>
        <v>10000000</v>
      </c>
      <c r="J68" s="75">
        <f t="shared" ref="J68:J99" si="19">I68/H68</f>
        <v>60423.635472285954</v>
      </c>
      <c r="K68" s="75">
        <f t="shared" si="14"/>
        <v>5123871.3925193232</v>
      </c>
      <c r="L68" s="76">
        <f t="shared" ref="L68:L99" si="20">K68*H68</f>
        <v>847991245.8874557</v>
      </c>
      <c r="M68" s="76">
        <f t="shared" si="15"/>
        <v>650000000</v>
      </c>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row>
    <row r="69" spans="1:52">
      <c r="A69" s="71">
        <v>48000</v>
      </c>
      <c r="B69" s="77" t="s">
        <v>139</v>
      </c>
      <c r="C69" s="73">
        <f>C68*(1+((1+Inputs!$H$8)^(1/12)-1))</f>
        <v>169.83144358594194</v>
      </c>
      <c r="D69" s="74">
        <f>Inputs!$B$7</f>
        <v>10000000</v>
      </c>
      <c r="E69" s="75">
        <f t="shared" si="16"/>
        <v>58881.911316614198</v>
      </c>
      <c r="F69" s="75">
        <f t="shared" ref="F69:F100" si="21">F68+E69</f>
        <v>5324824.1950759571</v>
      </c>
      <c r="G69" s="76">
        <f t="shared" si="17"/>
        <v>904322579.89110112</v>
      </c>
      <c r="H69" s="73">
        <f>H68*(1+((1+Inputs!$H$9)^(1/12)-1))</f>
        <v>166.8178573749048</v>
      </c>
      <c r="I69" s="76">
        <f t="shared" si="18"/>
        <v>10000000</v>
      </c>
      <c r="J69" s="75">
        <f t="shared" si="19"/>
        <v>59945.6206749263</v>
      </c>
      <c r="K69" s="75">
        <f t="shared" ref="K69:K100" si="22">K68+J69</f>
        <v>5183817.013194249</v>
      </c>
      <c r="L69" s="76">
        <f t="shared" si="20"/>
        <v>864753247.16464329</v>
      </c>
      <c r="M69" s="76">
        <f t="shared" ref="M69:M100" si="23">M68+D69</f>
        <v>660000000</v>
      </c>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c r="AO69" s="55"/>
      <c r="AP69" s="55"/>
      <c r="AQ69" s="55"/>
      <c r="AR69" s="55"/>
      <c r="AS69" s="55"/>
      <c r="AT69" s="55"/>
      <c r="AU69" s="55"/>
      <c r="AV69" s="55"/>
      <c r="AW69" s="55"/>
      <c r="AX69" s="55"/>
      <c r="AY69" s="55"/>
      <c r="AZ69" s="55"/>
    </row>
    <row r="70" spans="1:52">
      <c r="A70" s="71">
        <v>48030</v>
      </c>
      <c r="B70" s="77" t="s">
        <v>139</v>
      </c>
      <c r="C70" s="73">
        <f>C69*(1+((1+Inputs!$H$8)^(1/12)-1))</f>
        <v>171.44293898791025</v>
      </c>
      <c r="D70" s="74">
        <f>Inputs!$B$7</f>
        <v>10000000</v>
      </c>
      <c r="E70" s="75">
        <f t="shared" si="16"/>
        <v>58328.444781882652</v>
      </c>
      <c r="F70" s="75">
        <f t="shared" si="21"/>
        <v>5383152.6398578398</v>
      </c>
      <c r="G70" s="76">
        <f t="shared" si="17"/>
        <v>922903509.59775567</v>
      </c>
      <c r="H70" s="73">
        <f>H69*(1+((1+Inputs!$H$9)^(1/12)-1))</f>
        <v>168.14808639566112</v>
      </c>
      <c r="I70" s="76">
        <f t="shared" si="18"/>
        <v>10000000</v>
      </c>
      <c r="J70" s="75">
        <f t="shared" si="19"/>
        <v>59471.387479661731</v>
      </c>
      <c r="K70" s="75">
        <f t="shared" si="22"/>
        <v>5243288.400673911</v>
      </c>
      <c r="L70" s="76">
        <f t="shared" si="20"/>
        <v>881648910.99388468</v>
      </c>
      <c r="M70" s="76">
        <f t="shared" si="23"/>
        <v>670000000</v>
      </c>
      <c r="N70" s="55"/>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c r="AO70" s="55"/>
      <c r="AP70" s="55"/>
      <c r="AQ70" s="55"/>
      <c r="AR70" s="55"/>
      <c r="AS70" s="55"/>
      <c r="AT70" s="55"/>
      <c r="AU70" s="55"/>
      <c r="AV70" s="55"/>
      <c r="AW70" s="55"/>
      <c r="AX70" s="55"/>
      <c r="AY70" s="55"/>
      <c r="AZ70" s="55"/>
    </row>
    <row r="71" spans="1:52">
      <c r="A71" s="71">
        <v>48061</v>
      </c>
      <c r="B71" s="77" t="s">
        <v>139</v>
      </c>
      <c r="C71" s="73">
        <f>C70*(1+((1+Inputs!$H$8)^(1/12)-1))</f>
        <v>173.06972553606289</v>
      </c>
      <c r="D71" s="74">
        <f>Inputs!$B$7</f>
        <v>10000000</v>
      </c>
      <c r="E71" s="75">
        <f t="shared" si="16"/>
        <v>57780.180612329452</v>
      </c>
      <c r="F71" s="75">
        <f t="shared" si="21"/>
        <v>5440932.8204701692</v>
      </c>
      <c r="G71" s="76">
        <f t="shared" si="17"/>
        <v>941660749.89892876</v>
      </c>
      <c r="H71" s="73">
        <f>H70*(1+((1+Inputs!$H$9)^(1/12)-1))</f>
        <v>169.48892284943156</v>
      </c>
      <c r="I71" s="76">
        <f t="shared" si="18"/>
        <v>10000000</v>
      </c>
      <c r="J71" s="75">
        <f t="shared" si="19"/>
        <v>59000.905970024214</v>
      </c>
      <c r="K71" s="75">
        <f t="shared" si="22"/>
        <v>5302289.3066439349</v>
      </c>
      <c r="L71" s="76">
        <f t="shared" si="20"/>
        <v>898679303.21913981</v>
      </c>
      <c r="M71" s="76">
        <f t="shared" si="23"/>
        <v>680000000</v>
      </c>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c r="AO71" s="55"/>
      <c r="AP71" s="55"/>
      <c r="AQ71" s="55"/>
      <c r="AR71" s="55"/>
      <c r="AS71" s="55"/>
      <c r="AT71" s="55"/>
      <c r="AU71" s="55"/>
      <c r="AV71" s="55"/>
      <c r="AW71" s="55"/>
      <c r="AX71" s="55"/>
      <c r="AY71" s="55"/>
      <c r="AZ71" s="55"/>
    </row>
    <row r="72" spans="1:52">
      <c r="A72" s="71">
        <v>48092</v>
      </c>
      <c r="B72" s="77" t="s">
        <v>139</v>
      </c>
      <c r="C72" s="73">
        <f>C71*(1+((1+Inputs!$H$8)^(1/12)-1))</f>
        <v>174.71194832491972</v>
      </c>
      <c r="D72" s="74">
        <f>Inputs!$B$7</f>
        <v>10000000</v>
      </c>
      <c r="E72" s="75">
        <f t="shared" si="16"/>
        <v>57237.069907792153</v>
      </c>
      <c r="F72" s="75">
        <f t="shared" si="21"/>
        <v>5498169.8903779611</v>
      </c>
      <c r="G72" s="76">
        <f t="shared" si="17"/>
        <v>960595973.76934385</v>
      </c>
      <c r="H72" s="73">
        <f>H71*(1+((1+Inputs!$H$9)^(1/12)-1))</f>
        <v>170.84045132137658</v>
      </c>
      <c r="I72" s="76">
        <f t="shared" si="18"/>
        <v>10000000</v>
      </c>
      <c r="J72" s="75">
        <f t="shared" si="19"/>
        <v>58534.146466216574</v>
      </c>
      <c r="K72" s="75">
        <f t="shared" si="22"/>
        <v>5360823.4531101519</v>
      </c>
      <c r="L72" s="76">
        <f t="shared" si="20"/>
        <v>915845498.18355882</v>
      </c>
      <c r="M72" s="76">
        <f t="shared" si="23"/>
        <v>690000000</v>
      </c>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55"/>
      <c r="AX72" s="55"/>
      <c r="AY72" s="55"/>
      <c r="AZ72" s="55"/>
    </row>
    <row r="73" spans="1:52">
      <c r="A73" s="71">
        <v>48122</v>
      </c>
      <c r="B73" s="77" t="s">
        <v>139</v>
      </c>
      <c r="C73" s="73">
        <f>C72*(1+((1+Inputs!$H$8)^(1/12)-1))</f>
        <v>176.36975382577245</v>
      </c>
      <c r="D73" s="74">
        <f>Inputs!$B$7</f>
        <v>10000000</v>
      </c>
      <c r="E73" s="75">
        <f t="shared" si="16"/>
        <v>56699.064227750408</v>
      </c>
      <c r="F73" s="75">
        <f t="shared" si="21"/>
        <v>5554868.9546057116</v>
      </c>
      <c r="G73" s="76">
        <f t="shared" si="17"/>
        <v>979710870.05823529</v>
      </c>
      <c r="H73" s="73">
        <f>H72*(1+((1+Inputs!$H$9)^(1/12)-1))</f>
        <v>172.20275707115053</v>
      </c>
      <c r="I73" s="76">
        <f t="shared" si="18"/>
        <v>10000000</v>
      </c>
      <c r="J73" s="75">
        <f t="shared" si="19"/>
        <v>58071.079523240223</v>
      </c>
      <c r="K73" s="75">
        <f t="shared" si="22"/>
        <v>5418894.5326333921</v>
      </c>
      <c r="L73" s="76">
        <f t="shared" si="20"/>
        <v>933148578.79725385</v>
      </c>
      <c r="M73" s="76">
        <f t="shared" si="23"/>
        <v>700000000</v>
      </c>
      <c r="N73" s="55"/>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c r="AZ73" s="55"/>
    </row>
    <row r="74" spans="1:52">
      <c r="A74" s="71">
        <v>48153</v>
      </c>
      <c r="B74" s="77" t="s">
        <v>139</v>
      </c>
      <c r="C74" s="73">
        <f>C73*(1+((1+Inputs!$H$8)^(1/12)-1))</f>
        <v>178.0432898997486</v>
      </c>
      <c r="D74" s="74">
        <f>Inputs!$B$7</f>
        <v>10000000</v>
      </c>
      <c r="E74" s="75">
        <f t="shared" si="16"/>
        <v>56166.11558700545</v>
      </c>
      <c r="F74" s="75">
        <f t="shared" si="21"/>
        <v>5611035.070192717</v>
      </c>
      <c r="G74" s="76">
        <f t="shared" si="17"/>
        <v>999007143.63997817</v>
      </c>
      <c r="H74" s="73">
        <f>H73*(1+((1+Inputs!$H$9)^(1/12)-1))</f>
        <v>173.57592603828027</v>
      </c>
      <c r="I74" s="76">
        <f t="shared" si="18"/>
        <v>10000000</v>
      </c>
      <c r="J74" s="75">
        <f t="shared" si="19"/>
        <v>57611.675929037585</v>
      </c>
      <c r="K74" s="75">
        <f t="shared" si="22"/>
        <v>5476506.20856243</v>
      </c>
      <c r="L74" s="76">
        <f t="shared" si="20"/>
        <v>950589636.60561502</v>
      </c>
      <c r="M74" s="76">
        <f t="shared" si="23"/>
        <v>710000000</v>
      </c>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55"/>
      <c r="AX74" s="55"/>
      <c r="AY74" s="55"/>
      <c r="AZ74" s="55"/>
    </row>
    <row r="75" spans="1:52">
      <c r="A75" s="71">
        <v>48183</v>
      </c>
      <c r="B75" s="77" t="s">
        <v>139</v>
      </c>
      <c r="C75" s="73">
        <f>C74*(1+((1+Inputs!$H$8)^(1/12)-1))</f>
        <v>179.73270581099925</v>
      </c>
      <c r="D75" s="74">
        <f>Inputs!$B$7</f>
        <v>10000000</v>
      </c>
      <c r="E75" s="75">
        <f t="shared" si="16"/>
        <v>55638.176451400323</v>
      </c>
      <c r="F75" s="75">
        <f t="shared" si="21"/>
        <v>5666673.2466441169</v>
      </c>
      <c r="G75" s="76">
        <f t="shared" si="17"/>
        <v>1018486515.5661471</v>
      </c>
      <c r="H75" s="73">
        <f>H74*(1+((1+Inputs!$H$9)^(1/12)-1))</f>
        <v>174.96004484758654</v>
      </c>
      <c r="I75" s="76">
        <f t="shared" si="18"/>
        <v>10000000</v>
      </c>
      <c r="J75" s="75">
        <f t="shared" si="19"/>
        <v>57155.906702649336</v>
      </c>
      <c r="K75" s="75">
        <f t="shared" si="22"/>
        <v>5533662.1152650798</v>
      </c>
      <c r="L75" s="76">
        <f t="shared" si="20"/>
        <v>968169771.85816896</v>
      </c>
      <c r="M75" s="76">
        <f t="shared" si="23"/>
        <v>720000000</v>
      </c>
      <c r="N75" s="55"/>
      <c r="O75" s="55"/>
      <c r="P75" s="55"/>
      <c r="Q75" s="55"/>
      <c r="R75" s="55"/>
      <c r="S75" s="55"/>
      <c r="T75" s="55"/>
      <c r="U75" s="55"/>
      <c r="V75" s="55"/>
      <c r="W75" s="55"/>
      <c r="X75" s="55"/>
      <c r="Y75" s="55"/>
      <c r="Z75" s="55"/>
      <c r="AA75" s="55"/>
      <c r="AB75" s="55"/>
      <c r="AC75" s="55"/>
      <c r="AD75" s="55"/>
      <c r="AE75" s="55"/>
      <c r="AF75" s="55"/>
      <c r="AG75" s="55"/>
      <c r="AH75" s="55"/>
      <c r="AI75" s="55"/>
      <c r="AJ75" s="55"/>
      <c r="AK75" s="55"/>
      <c r="AL75" s="55"/>
      <c r="AM75" s="55"/>
      <c r="AN75" s="55"/>
      <c r="AO75" s="55"/>
      <c r="AP75" s="55"/>
      <c r="AQ75" s="55"/>
      <c r="AR75" s="55"/>
      <c r="AS75" s="55"/>
      <c r="AT75" s="55"/>
      <c r="AU75" s="55"/>
      <c r="AV75" s="55"/>
      <c r="AW75" s="55"/>
      <c r="AX75" s="55"/>
      <c r="AY75" s="55"/>
      <c r="AZ75" s="55"/>
    </row>
    <row r="76" spans="1:52">
      <c r="A76" s="71">
        <v>48214</v>
      </c>
      <c r="B76" s="77" t="s">
        <v>139</v>
      </c>
      <c r="C76" s="73">
        <f>C75*(1+((1+Inputs!$H$8)^(1/12)-1))</f>
        <v>181.43815224001216</v>
      </c>
      <c r="D76" s="74">
        <f>Inputs!$B$7</f>
        <v>10000000</v>
      </c>
      <c r="E76" s="75">
        <f t="shared" si="16"/>
        <v>55115.199733580186</v>
      </c>
      <c r="F76" s="75">
        <f t="shared" si="21"/>
        <v>5721788.4463776974</v>
      </c>
      <c r="G76" s="76">
        <f t="shared" si="17"/>
        <v>1038150723.2190193</v>
      </c>
      <c r="H76" s="73">
        <f>H75*(1+((1+Inputs!$H$9)^(1/12)-1))</f>
        <v>176.3552008146485</v>
      </c>
      <c r="I76" s="76">
        <f t="shared" si="18"/>
        <v>10000000</v>
      </c>
      <c r="J76" s="75">
        <f t="shared" si="19"/>
        <v>56703.743092386168</v>
      </c>
      <c r="K76" s="75">
        <f t="shared" si="22"/>
        <v>5590365.8583574658</v>
      </c>
      <c r="L76" s="76">
        <f t="shared" si="20"/>
        <v>985890093.57798576</v>
      </c>
      <c r="M76" s="76">
        <f t="shared" si="23"/>
        <v>730000000</v>
      </c>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c r="AZ76" s="55"/>
    </row>
    <row r="77" spans="1:52">
      <c r="A77" s="71">
        <v>48245</v>
      </c>
      <c r="B77" s="77" t="s">
        <v>139</v>
      </c>
      <c r="C77" s="73">
        <f>C76*(1+((1+Inputs!$H$8)^(1/12)-1))</f>
        <v>183.15978129705098</v>
      </c>
      <c r="D77" s="74">
        <f>Inputs!$B$7</f>
        <v>10000000</v>
      </c>
      <c r="E77" s="75">
        <f t="shared" si="16"/>
        <v>54597.138788792647</v>
      </c>
      <c r="F77" s="75">
        <f t="shared" si="21"/>
        <v>5776385.5851664897</v>
      </c>
      <c r="G77" s="76">
        <f t="shared" si="17"/>
        <v>1058001520.4665321</v>
      </c>
      <c r="H77" s="73">
        <f>H76*(1+((1+Inputs!$H$9)^(1/12)-1))</f>
        <v>177.76148195131202</v>
      </c>
      <c r="I77" s="76">
        <f t="shared" si="18"/>
        <v>10000000</v>
      </c>
      <c r="J77" s="75">
        <f t="shared" si="19"/>
        <v>56255.156574015004</v>
      </c>
      <c r="K77" s="75">
        <f t="shared" si="22"/>
        <v>5646621.0149314804</v>
      </c>
      <c r="L77" s="76">
        <f t="shared" si="20"/>
        <v>1003751719.6316415</v>
      </c>
      <c r="M77" s="76">
        <f t="shared" si="23"/>
        <v>740000000</v>
      </c>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row>
    <row r="78" spans="1:52">
      <c r="A78" s="71">
        <v>48274</v>
      </c>
      <c r="B78" s="77" t="s">
        <v>139</v>
      </c>
      <c r="C78" s="73">
        <f>C77*(1+((1+Inputs!$H$8)^(1/12)-1))</f>
        <v>184.89774653572221</v>
      </c>
      <c r="D78" s="74">
        <f>Inputs!$B$7</f>
        <v>10000000</v>
      </c>
      <c r="E78" s="75">
        <f t="shared" si="16"/>
        <v>54083.947410727378</v>
      </c>
      <c r="F78" s="75">
        <f t="shared" si="21"/>
        <v>5830469.5325772166</v>
      </c>
      <c r="G78" s="76">
        <f t="shared" si="17"/>
        <v>1078040677.8187129</v>
      </c>
      <c r="H78" s="73">
        <f>H77*(1+((1+Inputs!$H$9)^(1/12)-1))</f>
        <v>179.17897697124184</v>
      </c>
      <c r="I78" s="76">
        <f t="shared" si="18"/>
        <v>10000000</v>
      </c>
      <c r="J78" s="75">
        <f t="shared" si="19"/>
        <v>55810.118848959588</v>
      </c>
      <c r="K78" s="75">
        <f t="shared" si="22"/>
        <v>5702431.1337804403</v>
      </c>
      <c r="L78" s="76">
        <f t="shared" si="20"/>
        <v>1021755776.799738</v>
      </c>
      <c r="M78" s="76">
        <f t="shared" si="23"/>
        <v>750000000</v>
      </c>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c r="AZ78" s="55"/>
    </row>
    <row r="79" spans="1:52">
      <c r="A79" s="71">
        <v>48305</v>
      </c>
      <c r="B79" s="77" t="s">
        <v>139</v>
      </c>
      <c r="C79" s="73">
        <f>C78*(1+((1+Inputs!$H$8)^(1/12)-1))</f>
        <v>186.6522029666707</v>
      </c>
      <c r="D79" s="74">
        <f>Inputs!$B$7</f>
        <v>10000000</v>
      </c>
      <c r="E79" s="75">
        <f t="shared" si="16"/>
        <v>53575.579827394999</v>
      </c>
      <c r="F79" s="75">
        <f t="shared" si="21"/>
        <v>5884045.1124046119</v>
      </c>
      <c r="G79" s="76">
        <f t="shared" si="17"/>
        <v>1098269982.5855923</v>
      </c>
      <c r="H79" s="73">
        <f>H78*(1+((1+Inputs!$H$9)^(1/12)-1))</f>
        <v>180.60777529551783</v>
      </c>
      <c r="I79" s="76">
        <f t="shared" si="18"/>
        <v>10000000</v>
      </c>
      <c r="J79" s="75">
        <f t="shared" si="19"/>
        <v>55368.601842515316</v>
      </c>
      <c r="K79" s="75">
        <f t="shared" si="22"/>
        <v>5757799.7356229555</v>
      </c>
      <c r="L79" s="76">
        <f t="shared" si="20"/>
        <v>1039903400.8479826</v>
      </c>
      <c r="M79" s="76">
        <f t="shared" si="23"/>
        <v>760000000</v>
      </c>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row>
    <row r="80" spans="1:52">
      <c r="A80" s="71">
        <v>48335</v>
      </c>
      <c r="B80" s="77" t="s">
        <v>139</v>
      </c>
      <c r="C80" s="73">
        <f>C79*(1+((1+Inputs!$H$8)^(1/12)-1))</f>
        <v>188.42330707140522</v>
      </c>
      <c r="D80" s="74">
        <f>Inputs!$B$7</f>
        <v>10000000</v>
      </c>
      <c r="E80" s="75">
        <f t="shared" si="16"/>
        <v>53071.990697044625</v>
      </c>
      <c r="F80" s="75">
        <f t="shared" si="21"/>
        <v>5937117.1031016568</v>
      </c>
      <c r="G80" s="76">
        <f t="shared" si="17"/>
        <v>1118691239.0366154</v>
      </c>
      <c r="H80" s="73">
        <f>H79*(1+((1+Inputs!$H$9)^(1/12)-1))</f>
        <v>182.04796705827619</v>
      </c>
      <c r="I80" s="76">
        <f t="shared" si="18"/>
        <v>10000000</v>
      </c>
      <c r="J80" s="75">
        <f t="shared" si="19"/>
        <v>54930.577702078132</v>
      </c>
      <c r="K80" s="75">
        <f t="shared" si="22"/>
        <v>5812730.3133250335</v>
      </c>
      <c r="L80" s="76">
        <f t="shared" si="20"/>
        <v>1058195736.5988392</v>
      </c>
      <c r="M80" s="76">
        <f t="shared" si="23"/>
        <v>770000000</v>
      </c>
      <c r="N80" s="55"/>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c r="AO80" s="55"/>
      <c r="AP80" s="55"/>
      <c r="AQ80" s="55"/>
      <c r="AR80" s="55"/>
      <c r="AS80" s="55"/>
      <c r="AT80" s="55"/>
      <c r="AU80" s="55"/>
      <c r="AV80" s="55"/>
      <c r="AW80" s="55"/>
      <c r="AX80" s="55"/>
      <c r="AY80" s="55"/>
      <c r="AZ80" s="55"/>
    </row>
    <row r="81" spans="1:52">
      <c r="A81" s="71">
        <v>48366</v>
      </c>
      <c r="B81" s="77" t="s">
        <v>139</v>
      </c>
      <c r="C81" s="73">
        <f>C80*(1+((1+Inputs!$H$8)^(1/12)-1))</f>
        <v>190.21121681625513</v>
      </c>
      <c r="D81" s="74">
        <f>Inputs!$B$7</f>
        <v>10000000</v>
      </c>
      <c r="E81" s="75">
        <f t="shared" si="16"/>
        <v>52573.13510411977</v>
      </c>
      <c r="F81" s="75">
        <f t="shared" si="21"/>
        <v>5989690.2382057765</v>
      </c>
      <c r="G81" s="76">
        <f t="shared" si="17"/>
        <v>1139306268.5615659</v>
      </c>
      <c r="H81" s="73">
        <f>H80*(1+((1+Inputs!$H$9)^(1/12)-1))</f>
        <v>183.49964311239532</v>
      </c>
      <c r="I81" s="76">
        <f t="shared" si="18"/>
        <v>10000000</v>
      </c>
      <c r="J81" s="75">
        <f t="shared" si="19"/>
        <v>54496.018795387536</v>
      </c>
      <c r="K81" s="75">
        <f t="shared" si="22"/>
        <v>5867226.3321204213</v>
      </c>
      <c r="L81" s="76">
        <f t="shared" si="20"/>
        <v>1076633938.0037456</v>
      </c>
      <c r="M81" s="76">
        <f t="shared" si="23"/>
        <v>780000000</v>
      </c>
      <c r="N81" s="55"/>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c r="AO81" s="55"/>
      <c r="AP81" s="55"/>
      <c r="AQ81" s="55"/>
      <c r="AR81" s="55"/>
      <c r="AS81" s="55"/>
      <c r="AT81" s="55"/>
      <c r="AU81" s="55"/>
      <c r="AV81" s="55"/>
      <c r="AW81" s="55"/>
      <c r="AX81" s="55"/>
      <c r="AY81" s="55"/>
      <c r="AZ81" s="55"/>
    </row>
    <row r="82" spans="1:52">
      <c r="A82" s="71">
        <v>48396</v>
      </c>
      <c r="B82" s="77" t="s">
        <v>139</v>
      </c>
      <c r="C82" s="73">
        <f>C81*(1+((1+Inputs!$H$8)^(1/12)-1))</f>
        <v>192.01609166645966</v>
      </c>
      <c r="D82" s="74">
        <f>Inputs!$B$7</f>
        <v>10000000</v>
      </c>
      <c r="E82" s="75">
        <f t="shared" si="16"/>
        <v>52078.968555252322</v>
      </c>
      <c r="F82" s="75">
        <f t="shared" si="21"/>
        <v>6041769.2067610286</v>
      </c>
      <c r="G82" s="76">
        <f t="shared" si="17"/>
        <v>1160116909.833019</v>
      </c>
      <c r="H82" s="73">
        <f>H81*(1+((1+Inputs!$H$9)^(1/12)-1))</f>
        <v>184.96289503522729</v>
      </c>
      <c r="I82" s="76">
        <f t="shared" si="18"/>
        <v>10000000</v>
      </c>
      <c r="J82" s="75">
        <f t="shared" si="19"/>
        <v>54064.897708783377</v>
      </c>
      <c r="K82" s="75">
        <f t="shared" si="22"/>
        <v>5921291.2298292043</v>
      </c>
      <c r="L82" s="76">
        <f t="shared" si="20"/>
        <v>1095219168.2159109</v>
      </c>
      <c r="M82" s="76">
        <f t="shared" si="23"/>
        <v>790000000</v>
      </c>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c r="AO82" s="55"/>
      <c r="AP82" s="55"/>
      <c r="AQ82" s="55"/>
      <c r="AR82" s="55"/>
      <c r="AS82" s="55"/>
      <c r="AT82" s="55"/>
      <c r="AU82" s="55"/>
      <c r="AV82" s="55"/>
      <c r="AW82" s="55"/>
      <c r="AX82" s="55"/>
      <c r="AY82" s="55"/>
      <c r="AZ82" s="55"/>
    </row>
    <row r="83" spans="1:52">
      <c r="A83" s="71">
        <v>48427</v>
      </c>
      <c r="B83" s="77" t="s">
        <v>139</v>
      </c>
      <c r="C83" s="73">
        <f>C82*(1+((1+Inputs!$H$8)^(1/12)-1))</f>
        <v>193.83809260039061</v>
      </c>
      <c r="D83" s="74">
        <f>Inputs!$B$7</f>
        <v>10000000</v>
      </c>
      <c r="E83" s="75">
        <f t="shared" si="16"/>
        <v>51589.446975294108</v>
      </c>
      <c r="F83" s="75">
        <f t="shared" si="21"/>
        <v>6093358.6537363231</v>
      </c>
      <c r="G83" s="76">
        <f t="shared" si="17"/>
        <v>1181125018.9703329</v>
      </c>
      <c r="H83" s="73">
        <f>H82*(1+((1+Inputs!$H$9)^(1/12)-1))</f>
        <v>186.43781513437477</v>
      </c>
      <c r="I83" s="76">
        <f t="shared" si="18"/>
        <v>10000000</v>
      </c>
      <c r="J83" s="75">
        <f t="shared" si="19"/>
        <v>53637.18724547654</v>
      </c>
      <c r="K83" s="75">
        <f t="shared" si="22"/>
        <v>5974928.4170746813</v>
      </c>
      <c r="L83" s="76">
        <f t="shared" si="20"/>
        <v>1113952599.663692</v>
      </c>
      <c r="M83" s="76">
        <f t="shared" si="23"/>
        <v>800000000</v>
      </c>
      <c r="N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c r="AO83" s="55"/>
      <c r="AP83" s="55"/>
      <c r="AQ83" s="55"/>
      <c r="AR83" s="55"/>
      <c r="AS83" s="55"/>
      <c r="AT83" s="55"/>
      <c r="AU83" s="55"/>
      <c r="AV83" s="55"/>
      <c r="AW83" s="55"/>
      <c r="AX83" s="55"/>
      <c r="AY83" s="55"/>
      <c r="AZ83" s="55"/>
    </row>
    <row r="84" spans="1:52">
      <c r="A84" s="71">
        <v>48458</v>
      </c>
      <c r="B84" s="77" t="s">
        <v>139</v>
      </c>
      <c r="C84" s="73">
        <f>C83*(1+((1+Inputs!$H$8)^(1/12)-1))</f>
        <v>195.67738212391026</v>
      </c>
      <c r="D84" s="74">
        <f>Inputs!$B$7</f>
        <v>10000000</v>
      </c>
      <c r="E84" s="75">
        <f t="shared" si="16"/>
        <v>51104.526703385804</v>
      </c>
      <c r="F84" s="75">
        <f t="shared" si="21"/>
        <v>6144463.1804397088</v>
      </c>
      <c r="G84" s="76">
        <f t="shared" si="17"/>
        <v>1202332469.7051978</v>
      </c>
      <c r="H84" s="73">
        <f>H83*(1+((1+Inputs!$H$9)^(1/12)-1))</f>
        <v>187.92449645351428</v>
      </c>
      <c r="I84" s="76">
        <f t="shared" si="18"/>
        <v>10000000</v>
      </c>
      <c r="J84" s="75">
        <f t="shared" si="19"/>
        <v>53212.860423833241</v>
      </c>
      <c r="K84" s="75">
        <f t="shared" si="22"/>
        <v>6028141.2774985144</v>
      </c>
      <c r="L84" s="76">
        <f t="shared" si="20"/>
        <v>1132835414.1245527</v>
      </c>
      <c r="M84" s="76">
        <f t="shared" si="23"/>
        <v>810000000</v>
      </c>
      <c r="N84" s="55"/>
      <c r="O84" s="55"/>
      <c r="P84" s="55"/>
      <c r="Q84" s="55"/>
      <c r="R84" s="55"/>
      <c r="S84" s="55"/>
      <c r="T84" s="55"/>
      <c r="U84" s="55"/>
      <c r="V84" s="55"/>
      <c r="W84" s="55"/>
      <c r="X84" s="55"/>
      <c r="Y84" s="55"/>
      <c r="Z84" s="55"/>
      <c r="AA84" s="55"/>
      <c r="AB84" s="55"/>
      <c r="AC84" s="55"/>
      <c r="AD84" s="55"/>
      <c r="AE84" s="55"/>
      <c r="AF84" s="55"/>
      <c r="AG84" s="55"/>
      <c r="AH84" s="55"/>
      <c r="AI84" s="55"/>
      <c r="AJ84" s="55"/>
      <c r="AK84" s="55"/>
      <c r="AL84" s="55"/>
      <c r="AM84" s="55"/>
      <c r="AN84" s="55"/>
      <c r="AO84" s="55"/>
      <c r="AP84" s="55"/>
      <c r="AQ84" s="55"/>
      <c r="AR84" s="55"/>
      <c r="AS84" s="55"/>
      <c r="AT84" s="55"/>
      <c r="AU84" s="55"/>
      <c r="AV84" s="55"/>
      <c r="AW84" s="55"/>
      <c r="AX84" s="55"/>
      <c r="AY84" s="55"/>
      <c r="AZ84" s="55"/>
    </row>
    <row r="85" spans="1:52">
      <c r="A85" s="71">
        <v>48488</v>
      </c>
      <c r="B85" s="77" t="s">
        <v>139</v>
      </c>
      <c r="C85" s="73">
        <f>C84*(1+((1+Inputs!$H$8)^(1/12)-1))</f>
        <v>197.53412428486533</v>
      </c>
      <c r="D85" s="74">
        <f>Inputs!$B$7</f>
        <v>10000000</v>
      </c>
      <c r="E85" s="75">
        <f t="shared" si="16"/>
        <v>50624.164489062816</v>
      </c>
      <c r="F85" s="75">
        <f t="shared" si="21"/>
        <v>6195087.3449287713</v>
      </c>
      <c r="G85" s="76">
        <f t="shared" si="17"/>
        <v>1223741153.5487564</v>
      </c>
      <c r="H85" s="73">
        <f>H84*(1+((1+Inputs!$H$9)^(1/12)-1))</f>
        <v>189.42303277826562</v>
      </c>
      <c r="I85" s="76">
        <f t="shared" si="18"/>
        <v>10000000</v>
      </c>
      <c r="J85" s="75">
        <f t="shared" si="19"/>
        <v>52791.890475672917</v>
      </c>
      <c r="K85" s="75">
        <f t="shared" si="22"/>
        <v>6080933.1679741871</v>
      </c>
      <c r="L85" s="76">
        <f t="shared" si="20"/>
        <v>1151868802.7996171</v>
      </c>
      <c r="M85" s="76">
        <f t="shared" si="23"/>
        <v>820000000</v>
      </c>
      <c r="N85" s="55"/>
      <c r="O85" s="55"/>
      <c r="P85" s="55"/>
      <c r="Q85" s="55"/>
      <c r="R85" s="55"/>
      <c r="S85" s="55"/>
      <c r="T85" s="55"/>
      <c r="U85" s="55"/>
      <c r="V85" s="55"/>
      <c r="W85" s="55"/>
      <c r="X85" s="55"/>
      <c r="Y85" s="55"/>
      <c r="Z85" s="55"/>
      <c r="AA85" s="55"/>
      <c r="AB85" s="55"/>
      <c r="AC85" s="55"/>
      <c r="AD85" s="55"/>
      <c r="AE85" s="55"/>
      <c r="AF85" s="55"/>
      <c r="AG85" s="55"/>
      <c r="AH85" s="55"/>
      <c r="AI85" s="55"/>
      <c r="AJ85" s="55"/>
      <c r="AK85" s="55"/>
      <c r="AL85" s="55"/>
      <c r="AM85" s="55"/>
      <c r="AN85" s="55"/>
      <c r="AO85" s="55"/>
      <c r="AP85" s="55"/>
      <c r="AQ85" s="55"/>
      <c r="AR85" s="55"/>
      <c r="AS85" s="55"/>
      <c r="AT85" s="55"/>
      <c r="AU85" s="55"/>
      <c r="AV85" s="55"/>
      <c r="AW85" s="55"/>
      <c r="AX85" s="55"/>
      <c r="AY85" s="55"/>
      <c r="AZ85" s="55"/>
    </row>
    <row r="86" spans="1:52">
      <c r="A86" s="71">
        <v>48519</v>
      </c>
      <c r="B86" s="77" t="s">
        <v>139</v>
      </c>
      <c r="C86" s="73">
        <f>C85*(1+((1+Inputs!$H$8)^(1/12)-1))</f>
        <v>199.40848468771861</v>
      </c>
      <c r="D86" s="74">
        <f>Inputs!$B$7</f>
        <v>10000000</v>
      </c>
      <c r="E86" s="75">
        <f t="shared" si="16"/>
        <v>50148.317488397675</v>
      </c>
      <c r="F86" s="75">
        <f t="shared" si="21"/>
        <v>6245235.6624171687</v>
      </c>
      <c r="G86" s="76">
        <f t="shared" si="17"/>
        <v>1245352979.9603083</v>
      </c>
      <c r="H86" s="73">
        <f>H85*(1+((1+Inputs!$H$9)^(1/12)-1))</f>
        <v>190.93351864210834</v>
      </c>
      <c r="I86" s="76">
        <f t="shared" si="18"/>
        <v>10000000</v>
      </c>
      <c r="J86" s="75">
        <f t="shared" si="19"/>
        <v>52374.250844579612</v>
      </c>
      <c r="K86" s="75">
        <f t="shared" si="22"/>
        <v>6133307.4188187663</v>
      </c>
      <c r="L86" s="76">
        <f t="shared" si="20"/>
        <v>1171053966.3888142</v>
      </c>
      <c r="M86" s="76">
        <f t="shared" si="23"/>
        <v>830000000</v>
      </c>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c r="AO86" s="55"/>
      <c r="AP86" s="55"/>
      <c r="AQ86" s="55"/>
      <c r="AR86" s="55"/>
      <c r="AS86" s="55"/>
      <c r="AT86" s="55"/>
      <c r="AU86" s="55"/>
      <c r="AV86" s="55"/>
      <c r="AW86" s="55"/>
      <c r="AX86" s="55"/>
      <c r="AY86" s="55"/>
      <c r="AZ86" s="55"/>
    </row>
    <row r="87" spans="1:52">
      <c r="A87" s="71">
        <v>48549</v>
      </c>
      <c r="B87" s="77" t="s">
        <v>139</v>
      </c>
      <c r="C87" s="73">
        <f>C86*(1+((1+Inputs!$H$8)^(1/12)-1))</f>
        <v>201.30063050831936</v>
      </c>
      <c r="D87" s="74">
        <f>Inputs!$B$7</f>
        <v>10000000</v>
      </c>
      <c r="E87" s="75">
        <f t="shared" si="16"/>
        <v>49676.943260178807</v>
      </c>
      <c r="F87" s="75">
        <f t="shared" si="21"/>
        <v>6294912.6056773476</v>
      </c>
      <c r="G87" s="76">
        <f t="shared" si="17"/>
        <v>1267169876.5176177</v>
      </c>
      <c r="H87" s="73">
        <f>H86*(1+((1+Inputs!$H$9)^(1/12)-1))</f>
        <v>192.45604933234523</v>
      </c>
      <c r="I87" s="76">
        <f t="shared" si="18"/>
        <v>10000000</v>
      </c>
      <c r="J87" s="75">
        <f t="shared" si="19"/>
        <v>51959.915184226658</v>
      </c>
      <c r="K87" s="75">
        <f t="shared" si="22"/>
        <v>6185267.3340029931</v>
      </c>
      <c r="L87" s="76">
        <f t="shared" si="20"/>
        <v>1190392115.1666236</v>
      </c>
      <c r="M87" s="76">
        <f t="shared" si="23"/>
        <v>840000000</v>
      </c>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c r="AO87" s="55"/>
      <c r="AP87" s="55"/>
      <c r="AQ87" s="55"/>
      <c r="AR87" s="55"/>
      <c r="AS87" s="55"/>
      <c r="AT87" s="55"/>
      <c r="AU87" s="55"/>
      <c r="AV87" s="55"/>
      <c r="AW87" s="55"/>
      <c r="AX87" s="55"/>
      <c r="AY87" s="55"/>
      <c r="AZ87" s="55"/>
    </row>
    <row r="88" spans="1:52">
      <c r="A88" s="71">
        <v>48580</v>
      </c>
      <c r="B88" s="77" t="s">
        <v>139</v>
      </c>
      <c r="C88" s="73">
        <f>C87*(1+((1+Inputs!$H$8)^(1/12)-1))</f>
        <v>203.21073050881381</v>
      </c>
      <c r="D88" s="74">
        <f>Inputs!$B$7</f>
        <v>10000000</v>
      </c>
      <c r="E88" s="75">
        <f t="shared" si="16"/>
        <v>49209.999762125124</v>
      </c>
      <c r="F88" s="75">
        <f t="shared" si="21"/>
        <v>6344122.6054394729</v>
      </c>
      <c r="G88" s="76">
        <f t="shared" si="17"/>
        <v>1289193789.0888345</v>
      </c>
      <c r="H88" s="73">
        <f>H87*(1+((1+Inputs!$H$9)^(1/12)-1))</f>
        <v>193.99072089611337</v>
      </c>
      <c r="I88" s="76">
        <f t="shared" si="18"/>
        <v>10000000</v>
      </c>
      <c r="J88" s="75">
        <f t="shared" si="19"/>
        <v>51548.857356714689</v>
      </c>
      <c r="K88" s="75">
        <f t="shared" si="22"/>
        <v>6236816.1913597081</v>
      </c>
      <c r="L88" s="76">
        <f t="shared" si="20"/>
        <v>1209884469.0584219</v>
      </c>
      <c r="M88" s="76">
        <f t="shared" si="23"/>
        <v>850000000</v>
      </c>
      <c r="N88" s="55"/>
      <c r="O88" s="55"/>
      <c r="P88" s="55"/>
      <c r="Q88" s="55"/>
      <c r="R88" s="55"/>
      <c r="S88" s="55"/>
      <c r="T88" s="55"/>
      <c r="U88" s="55"/>
      <c r="V88" s="55"/>
      <c r="W88" s="55"/>
      <c r="X88" s="55"/>
      <c r="Y88" s="55"/>
      <c r="Z88" s="55"/>
      <c r="AA88" s="55"/>
      <c r="AB88" s="55"/>
      <c r="AC88" s="55"/>
      <c r="AD88" s="55"/>
      <c r="AE88" s="55"/>
      <c r="AF88" s="55"/>
      <c r="AG88" s="55"/>
      <c r="AH88" s="55"/>
      <c r="AI88" s="55"/>
      <c r="AJ88" s="55"/>
      <c r="AK88" s="55"/>
      <c r="AL88" s="55"/>
      <c r="AM88" s="55"/>
      <c r="AN88" s="55"/>
      <c r="AO88" s="55"/>
      <c r="AP88" s="55"/>
      <c r="AQ88" s="55"/>
      <c r="AR88" s="55"/>
      <c r="AS88" s="55"/>
      <c r="AT88" s="55"/>
      <c r="AU88" s="55"/>
      <c r="AV88" s="55"/>
      <c r="AW88" s="55"/>
      <c r="AX88" s="55"/>
      <c r="AY88" s="55"/>
      <c r="AZ88" s="55"/>
    </row>
    <row r="89" spans="1:52">
      <c r="A89" s="71">
        <v>48611</v>
      </c>
      <c r="B89" s="77" t="s">
        <v>139</v>
      </c>
      <c r="C89" s="73">
        <f>C88*(1+((1+Inputs!$H$8)^(1/12)-1))</f>
        <v>205.1389550526973</v>
      </c>
      <c r="D89" s="74">
        <f>Inputs!$B$7</f>
        <v>10000000</v>
      </c>
      <c r="E89" s="75">
        <f t="shared" si="16"/>
        <v>48747.445347136243</v>
      </c>
      <c r="F89" s="75">
        <f t="shared" si="21"/>
        <v>6392870.0507866088</v>
      </c>
      <c r="G89" s="76">
        <f t="shared" si="17"/>
        <v>1311426682.0060489</v>
      </c>
      <c r="H89" s="73">
        <f>H88*(1+((1+Inputs!$H$9)^(1/12)-1))</f>
        <v>195.53763014644326</v>
      </c>
      <c r="I89" s="76">
        <f t="shared" si="18"/>
        <v>10000000</v>
      </c>
      <c r="J89" s="75">
        <f t="shared" si="19"/>
        <v>51141.051430922722</v>
      </c>
      <c r="K89" s="75">
        <f t="shared" si="22"/>
        <v>6287957.242790631</v>
      </c>
      <c r="L89" s="76">
        <f t="shared" si="20"/>
        <v>1229532257.7174435</v>
      </c>
      <c r="M89" s="76">
        <f t="shared" si="23"/>
        <v>860000000</v>
      </c>
      <c r="N89" s="55"/>
      <c r="O89" s="55"/>
      <c r="P89" s="55"/>
      <c r="Q89" s="55"/>
      <c r="R89" s="55"/>
      <c r="S89" s="55"/>
      <c r="T89" s="55"/>
      <c r="U89" s="55"/>
      <c r="V89" s="55"/>
      <c r="W89" s="55"/>
      <c r="X89" s="55"/>
      <c r="Y89" s="55"/>
      <c r="Z89" s="55"/>
      <c r="AA89" s="55"/>
      <c r="AB89" s="55"/>
      <c r="AC89" s="55"/>
      <c r="AD89" s="55"/>
      <c r="AE89" s="55"/>
      <c r="AF89" s="55"/>
      <c r="AG89" s="55"/>
      <c r="AH89" s="55"/>
      <c r="AI89" s="55"/>
      <c r="AJ89" s="55"/>
      <c r="AK89" s="55"/>
      <c r="AL89" s="55"/>
      <c r="AM89" s="55"/>
      <c r="AN89" s="55"/>
      <c r="AO89" s="55"/>
      <c r="AP89" s="55"/>
      <c r="AQ89" s="55"/>
      <c r="AR89" s="55"/>
      <c r="AS89" s="55"/>
      <c r="AT89" s="55"/>
      <c r="AU89" s="55"/>
      <c r="AV89" s="55"/>
      <c r="AW89" s="55"/>
      <c r="AX89" s="55"/>
      <c r="AY89" s="55"/>
      <c r="AZ89" s="55"/>
    </row>
    <row r="90" spans="1:52">
      <c r="A90" s="71">
        <v>48639</v>
      </c>
      <c r="B90" s="77" t="s">
        <v>139</v>
      </c>
      <c r="C90" s="73">
        <f>C89*(1+((1+Inputs!$H$8)^(1/12)-1))</f>
        <v>207.08547612000908</v>
      </c>
      <c r="D90" s="74">
        <f>Inputs!$B$7</f>
        <v>10000000</v>
      </c>
      <c r="E90" s="75">
        <f t="shared" si="16"/>
        <v>48289.238759577966</v>
      </c>
      <c r="F90" s="75">
        <f t="shared" si="21"/>
        <v>6441159.289546187</v>
      </c>
      <c r="G90" s="76">
        <f t="shared" si="17"/>
        <v>1333870538.2404916</v>
      </c>
      <c r="H90" s="73">
        <f>H89*(1+((1+Inputs!$H$9)^(1/12)-1))</f>
        <v>197.09687466836604</v>
      </c>
      <c r="I90" s="76">
        <f t="shared" si="18"/>
        <v>10000000</v>
      </c>
      <c r="J90" s="75">
        <f t="shared" si="19"/>
        <v>50736.471680872346</v>
      </c>
      <c r="K90" s="75">
        <f t="shared" si="22"/>
        <v>6338693.7144715032</v>
      </c>
      <c r="L90" s="76">
        <f t="shared" si="20"/>
        <v>1249336720.6023495</v>
      </c>
      <c r="M90" s="76">
        <f t="shared" si="23"/>
        <v>870000000</v>
      </c>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row>
    <row r="91" spans="1:52">
      <c r="A91" s="71">
        <v>48670</v>
      </c>
      <c r="B91" s="77" t="s">
        <v>139</v>
      </c>
      <c r="C91" s="73">
        <f>C90*(1+((1+Inputs!$H$8)^(1/12)-1))</f>
        <v>209.05046732267138</v>
      </c>
      <c r="D91" s="74">
        <f>Inputs!$B$7</f>
        <v>10000000</v>
      </c>
      <c r="E91" s="75">
        <f t="shared" si="16"/>
        <v>47835.339131602632</v>
      </c>
      <c r="F91" s="75">
        <f t="shared" si="21"/>
        <v>6488994.6286777901</v>
      </c>
      <c r="G91" s="76">
        <f t="shared" si="17"/>
        <v>1356527359.5793965</v>
      </c>
      <c r="H91" s="73">
        <f>H90*(1+((1+Inputs!$H$9)^(1/12)-1))</f>
        <v>198.66855282506964</v>
      </c>
      <c r="I91" s="76">
        <f t="shared" si="18"/>
        <v>10000000</v>
      </c>
      <c r="J91" s="75">
        <f t="shared" si="19"/>
        <v>50335.092584104823</v>
      </c>
      <c r="K91" s="75">
        <f t="shared" si="22"/>
        <v>6389028.8070556084</v>
      </c>
      <c r="L91" s="76">
        <f t="shared" si="20"/>
        <v>1269299107.0554187</v>
      </c>
      <c r="M91" s="76">
        <f t="shared" si="23"/>
        <v>880000000</v>
      </c>
      <c r="N91" s="55"/>
      <c r="O91" s="55"/>
      <c r="P91" s="55"/>
      <c r="Q91" s="55"/>
      <c r="R91" s="55"/>
      <c r="S91" s="55"/>
      <c r="T91" s="55"/>
      <c r="U91" s="55"/>
      <c r="V91" s="55"/>
      <c r="W91" s="55"/>
      <c r="X91" s="55"/>
      <c r="Y91" s="55"/>
      <c r="Z91" s="55"/>
      <c r="AA91" s="55"/>
      <c r="AB91" s="55"/>
      <c r="AC91" s="55"/>
      <c r="AD91" s="55"/>
      <c r="AE91" s="55"/>
      <c r="AF91" s="55"/>
      <c r="AG91" s="55"/>
      <c r="AH91" s="55"/>
      <c r="AI91" s="55"/>
      <c r="AJ91" s="55"/>
      <c r="AK91" s="55"/>
      <c r="AL91" s="55"/>
      <c r="AM91" s="55"/>
      <c r="AN91" s="55"/>
      <c r="AO91" s="55"/>
      <c r="AP91" s="55"/>
      <c r="AQ91" s="55"/>
      <c r="AR91" s="55"/>
      <c r="AS91" s="55"/>
      <c r="AT91" s="55"/>
      <c r="AU91" s="55"/>
      <c r="AV91" s="55"/>
      <c r="AW91" s="55"/>
      <c r="AX91" s="55"/>
      <c r="AY91" s="55"/>
      <c r="AZ91" s="55"/>
    </row>
    <row r="92" spans="1:52">
      <c r="A92" s="71">
        <v>48700</v>
      </c>
      <c r="B92" s="77" t="s">
        <v>139</v>
      </c>
      <c r="C92" s="73">
        <f>C91*(1+((1+Inputs!$H$8)^(1/12)-1))</f>
        <v>211.03410391997403</v>
      </c>
      <c r="D92" s="74">
        <f>Inputs!$B$7</f>
        <v>10000000</v>
      </c>
      <c r="E92" s="75">
        <f t="shared" si="16"/>
        <v>47385.705979504084</v>
      </c>
      <c r="F92" s="75">
        <f t="shared" si="21"/>
        <v>6536380.3346572937</v>
      </c>
      <c r="G92" s="76">
        <f t="shared" si="17"/>
        <v>1379399166.8045421</v>
      </c>
      <c r="H92" s="73">
        <f>H91*(1+((1+Inputs!$H$9)^(1/12)-1))</f>
        <v>200.25276376410383</v>
      </c>
      <c r="I92" s="76">
        <f t="shared" si="18"/>
        <v>10000000</v>
      </c>
      <c r="J92" s="75">
        <f t="shared" si="19"/>
        <v>49936.888820071021</v>
      </c>
      <c r="K92" s="75">
        <f t="shared" si="22"/>
        <v>6438965.6958756791</v>
      </c>
      <c r="L92" s="76">
        <f t="shared" si="20"/>
        <v>1289420676.3813608</v>
      </c>
      <c r="M92" s="76">
        <f t="shared" si="23"/>
        <v>890000000</v>
      </c>
      <c r="N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c r="AO92" s="55"/>
      <c r="AP92" s="55"/>
      <c r="AQ92" s="55"/>
      <c r="AR92" s="55"/>
      <c r="AS92" s="55"/>
      <c r="AT92" s="55"/>
      <c r="AU92" s="55"/>
      <c r="AV92" s="55"/>
      <c r="AW92" s="55"/>
      <c r="AX92" s="55"/>
      <c r="AY92" s="55"/>
      <c r="AZ92" s="55"/>
    </row>
    <row r="93" spans="1:52">
      <c r="A93" s="71">
        <v>48731</v>
      </c>
      <c r="B93" s="77" t="s">
        <v>139</v>
      </c>
      <c r="C93" s="73">
        <f>C92*(1+((1+Inputs!$H$8)^(1/12)-1))</f>
        <v>213.03656283420594</v>
      </c>
      <c r="D93" s="74">
        <f>Inputs!$B$7</f>
        <v>10000000</v>
      </c>
      <c r="E93" s="75">
        <f t="shared" si="16"/>
        <v>46940.2992001069</v>
      </c>
      <c r="F93" s="75">
        <f t="shared" si="21"/>
        <v>6583320.6338574011</v>
      </c>
      <c r="G93" s="76">
        <f t="shared" si="17"/>
        <v>1402487999.8724866</v>
      </c>
      <c r="H93" s="73">
        <f>H92*(1+((1+Inputs!$H$9)^(1/12)-1))</f>
        <v>201.84960742363489</v>
      </c>
      <c r="I93" s="76">
        <f t="shared" si="18"/>
        <v>10000000</v>
      </c>
      <c r="J93" s="75">
        <f t="shared" si="19"/>
        <v>49541.835268534109</v>
      </c>
      <c r="K93" s="75">
        <f t="shared" si="22"/>
        <v>6488507.5311442129</v>
      </c>
      <c r="L93" s="76">
        <f t="shared" si="20"/>
        <v>1309702697.9267578</v>
      </c>
      <c r="M93" s="76">
        <f t="shared" si="23"/>
        <v>900000000</v>
      </c>
      <c r="N93" s="55"/>
      <c r="O93" s="55"/>
      <c r="P93" s="55"/>
      <c r="Q93" s="55"/>
      <c r="R93" s="55"/>
      <c r="S93" s="55"/>
      <c r="T93" s="55"/>
      <c r="U93" s="55"/>
      <c r="V93" s="55"/>
      <c r="W93" s="55"/>
      <c r="X93" s="55"/>
      <c r="Y93" s="55"/>
      <c r="Z93" s="55"/>
      <c r="AA93" s="55"/>
      <c r="AB93" s="55"/>
      <c r="AC93" s="55"/>
      <c r="AD93" s="55"/>
      <c r="AE93" s="55"/>
      <c r="AF93" s="55"/>
      <c r="AG93" s="55"/>
      <c r="AH93" s="55"/>
      <c r="AI93" s="55"/>
      <c r="AJ93" s="55"/>
      <c r="AK93" s="55"/>
      <c r="AL93" s="55"/>
      <c r="AM93" s="55"/>
      <c r="AN93" s="55"/>
      <c r="AO93" s="55"/>
      <c r="AP93" s="55"/>
      <c r="AQ93" s="55"/>
      <c r="AR93" s="55"/>
      <c r="AS93" s="55"/>
      <c r="AT93" s="55"/>
      <c r="AU93" s="55"/>
      <c r="AV93" s="55"/>
      <c r="AW93" s="55"/>
      <c r="AX93" s="55"/>
      <c r="AY93" s="55"/>
      <c r="AZ93" s="55"/>
    </row>
    <row r="94" spans="1:52">
      <c r="A94" s="71">
        <v>48761</v>
      </c>
      <c r="B94" s="77" t="s">
        <v>139</v>
      </c>
      <c r="C94" s="73">
        <f>C93*(1+((1+Inputs!$H$8)^(1/12)-1))</f>
        <v>215.05802266643502</v>
      </c>
      <c r="D94" s="74">
        <f>Inputs!$B$7</f>
        <v>10000000</v>
      </c>
      <c r="E94" s="75">
        <f t="shared" si="16"/>
        <v>46499.07906718953</v>
      </c>
      <c r="F94" s="75">
        <f t="shared" si="21"/>
        <v>6629819.7129245903</v>
      </c>
      <c r="G94" s="76">
        <f t="shared" si="17"/>
        <v>1425795918.0965142</v>
      </c>
      <c r="H94" s="73">
        <f>H93*(1+((1+Inputs!$H$9)^(1/12)-1))</f>
        <v>203.45918453875007</v>
      </c>
      <c r="I94" s="76">
        <f t="shared" si="18"/>
        <v>10000000</v>
      </c>
      <c r="J94" s="75">
        <f t="shared" si="19"/>
        <v>49149.907007984875</v>
      </c>
      <c r="K94" s="75">
        <f t="shared" si="22"/>
        <v>6537657.4381521977</v>
      </c>
      <c r="L94" s="76">
        <f t="shared" si="20"/>
        <v>1330146451.16014</v>
      </c>
      <c r="M94" s="76">
        <f t="shared" si="23"/>
        <v>910000000</v>
      </c>
      <c r="N94" s="55"/>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c r="AO94" s="55"/>
      <c r="AP94" s="55"/>
      <c r="AQ94" s="55"/>
      <c r="AR94" s="55"/>
      <c r="AS94" s="55"/>
      <c r="AT94" s="55"/>
      <c r="AU94" s="55"/>
      <c r="AV94" s="55"/>
      <c r="AW94" s="55"/>
      <c r="AX94" s="55"/>
      <c r="AY94" s="55"/>
      <c r="AZ94" s="55"/>
    </row>
    <row r="95" spans="1:52">
      <c r="A95" s="71">
        <v>48792</v>
      </c>
      <c r="B95" s="77" t="s">
        <v>139</v>
      </c>
      <c r="C95" s="73">
        <f>C94*(1+((1+Inputs!$H$8)^(1/12)-1))</f>
        <v>217.09866371243768</v>
      </c>
      <c r="D95" s="74">
        <f>Inputs!$B$7</f>
        <v>10000000</v>
      </c>
      <c r="E95" s="75">
        <f t="shared" si="16"/>
        <v>46062.006227941121</v>
      </c>
      <c r="F95" s="75">
        <f t="shared" si="21"/>
        <v>6675881.7191525316</v>
      </c>
      <c r="G95" s="76">
        <f t="shared" si="17"/>
        <v>1449325000.3303058</v>
      </c>
      <c r="H95" s="73">
        <f>H94*(1+((1+Inputs!$H$9)^(1/12)-1))</f>
        <v>205.08159664781229</v>
      </c>
      <c r="I95" s="76">
        <f t="shared" si="18"/>
        <v>10000000</v>
      </c>
      <c r="J95" s="75">
        <f t="shared" si="19"/>
        <v>48761.079314069575</v>
      </c>
      <c r="K95" s="75">
        <f t="shared" si="22"/>
        <v>6586418.5174662676</v>
      </c>
      <c r="L95" s="76">
        <f t="shared" si="20"/>
        <v>1350753225.7526989</v>
      </c>
      <c r="M95" s="76">
        <f t="shared" si="23"/>
        <v>920000000</v>
      </c>
      <c r="N95" s="55"/>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c r="AO95" s="55"/>
      <c r="AP95" s="55"/>
      <c r="AQ95" s="55"/>
      <c r="AR95" s="55"/>
      <c r="AS95" s="55"/>
      <c r="AT95" s="55"/>
      <c r="AU95" s="55"/>
      <c r="AV95" s="55"/>
      <c r="AW95" s="55"/>
      <c r="AX95" s="55"/>
      <c r="AY95" s="55"/>
      <c r="AZ95" s="55"/>
    </row>
    <row r="96" spans="1:52">
      <c r="A96" s="71">
        <v>48823</v>
      </c>
      <c r="B96" s="77" t="s">
        <v>139</v>
      </c>
      <c r="C96" s="73">
        <f>C95*(1+((1+Inputs!$H$8)^(1/12)-1))</f>
        <v>219.15866797877968</v>
      </c>
      <c r="D96" s="74">
        <f>Inputs!$B$7</f>
        <v>10000000</v>
      </c>
      <c r="E96" s="75">
        <f t="shared" si="16"/>
        <v>45629.041699451576</v>
      </c>
      <c r="F96" s="75">
        <f t="shared" si="21"/>
        <v>6721510.760851983</v>
      </c>
      <c r="G96" s="76">
        <f t="shared" si="17"/>
        <v>1473077345.1533544</v>
      </c>
      <c r="H96" s="73">
        <f>H95*(1+((1+Inputs!$H$9)^(1/12)-1))</f>
        <v>206.71694609886575</v>
      </c>
      <c r="I96" s="76">
        <f t="shared" si="18"/>
        <v>10000000</v>
      </c>
      <c r="J96" s="75">
        <f t="shared" si="19"/>
        <v>48375.327658030212</v>
      </c>
      <c r="K96" s="75">
        <f t="shared" si="22"/>
        <v>6634793.8451242978</v>
      </c>
      <c r="L96" s="76">
        <f t="shared" si="20"/>
        <v>1371524321.6596458</v>
      </c>
      <c r="M96" s="76">
        <f t="shared" si="23"/>
        <v>930000000</v>
      </c>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c r="AR96" s="55"/>
      <c r="AS96" s="55"/>
      <c r="AT96" s="55"/>
      <c r="AU96" s="55"/>
      <c r="AV96" s="55"/>
      <c r="AW96" s="55"/>
      <c r="AX96" s="55"/>
      <c r="AY96" s="55"/>
      <c r="AZ96" s="55"/>
    </row>
    <row r="97" spans="1:52">
      <c r="A97" s="71">
        <v>48853</v>
      </c>
      <c r="B97" s="77" t="s">
        <v>139</v>
      </c>
      <c r="C97" s="73">
        <f>C96*(1+((1+Inputs!$H$8)^(1/12)-1))</f>
        <v>221.23821919904935</v>
      </c>
      <c r="D97" s="74">
        <f>Inputs!$B$7</f>
        <v>10000000</v>
      </c>
      <c r="E97" s="75">
        <f t="shared" si="16"/>
        <v>45200.146865234616</v>
      </c>
      <c r="F97" s="75">
        <f t="shared" si="21"/>
        <v>6766710.9077172177</v>
      </c>
      <c r="G97" s="76">
        <f t="shared" si="17"/>
        <v>1497055071.05814</v>
      </c>
      <c r="H97" s="73">
        <f>H96*(1+((1+Inputs!$H$9)^(1/12)-1))</f>
        <v>208.36533605609225</v>
      </c>
      <c r="I97" s="76">
        <f t="shared" si="18"/>
        <v>10000000</v>
      </c>
      <c r="J97" s="75">
        <f t="shared" si="19"/>
        <v>47992.627705157181</v>
      </c>
      <c r="K97" s="75">
        <f t="shared" si="22"/>
        <v>6682786.4728294546</v>
      </c>
      <c r="L97" s="76">
        <f t="shared" si="20"/>
        <v>1392461049.2022166</v>
      </c>
      <c r="M97" s="76">
        <f t="shared" si="23"/>
        <v>940000000</v>
      </c>
      <c r="N97" s="55"/>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c r="AQ97" s="55"/>
      <c r="AR97" s="55"/>
      <c r="AS97" s="55"/>
      <c r="AT97" s="55"/>
      <c r="AU97" s="55"/>
      <c r="AV97" s="55"/>
      <c r="AW97" s="55"/>
      <c r="AX97" s="55"/>
      <c r="AY97" s="55"/>
      <c r="AZ97" s="55"/>
    </row>
    <row r="98" spans="1:52">
      <c r="A98" s="71">
        <v>48884</v>
      </c>
      <c r="B98" s="77" t="s">
        <v>139</v>
      </c>
      <c r="C98" s="73">
        <f>C97*(1+((1+Inputs!$H$8)^(1/12)-1))</f>
        <v>223.33750285024502</v>
      </c>
      <c r="D98" s="74">
        <f>Inputs!$B$7</f>
        <v>10000000</v>
      </c>
      <c r="E98" s="75">
        <f t="shared" si="16"/>
        <v>44775.283471783609</v>
      </c>
      <c r="F98" s="75">
        <f t="shared" si="21"/>
        <v>6811486.1911890013</v>
      </c>
      <c r="G98" s="76">
        <f t="shared" si="17"/>
        <v>1521260316.6390781</v>
      </c>
      <c r="H98" s="73">
        <f>H97*(1+((1+Inputs!$H$9)^(1/12)-1))</f>
        <v>210.02687050631926</v>
      </c>
      <c r="I98" s="76">
        <f t="shared" si="18"/>
        <v>10000000</v>
      </c>
      <c r="J98" s="75">
        <f t="shared" si="19"/>
        <v>47612.955313254177</v>
      </c>
      <c r="K98" s="75">
        <f t="shared" si="22"/>
        <v>6730399.4281427087</v>
      </c>
      <c r="L98" s="76">
        <f t="shared" si="20"/>
        <v>1413564729.1503339</v>
      </c>
      <c r="M98" s="76">
        <f t="shared" si="23"/>
        <v>950000000</v>
      </c>
      <c r="N98" s="55"/>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c r="AO98" s="55"/>
      <c r="AP98" s="55"/>
      <c r="AQ98" s="55"/>
      <c r="AR98" s="55"/>
      <c r="AS98" s="55"/>
      <c r="AT98" s="55"/>
      <c r="AU98" s="55"/>
      <c r="AV98" s="55"/>
      <c r="AW98" s="55"/>
      <c r="AX98" s="55"/>
      <c r="AY98" s="55"/>
      <c r="AZ98" s="55"/>
    </row>
    <row r="99" spans="1:52">
      <c r="A99" s="71">
        <v>48914</v>
      </c>
      <c r="B99" s="77" t="s">
        <v>139</v>
      </c>
      <c r="C99" s="73">
        <f>C98*(1+((1+Inputs!$H$8)^(1/12)-1))</f>
        <v>225.45670616931784</v>
      </c>
      <c r="D99" s="74">
        <f>Inputs!$B$7</f>
        <v>10000000</v>
      </c>
      <c r="E99" s="75">
        <f t="shared" si="16"/>
        <v>44354.413625159621</v>
      </c>
      <c r="F99" s="75">
        <f t="shared" si="21"/>
        <v>6855840.6048141606</v>
      </c>
      <c r="G99" s="76">
        <f t="shared" si="17"/>
        <v>1545695240.7832646</v>
      </c>
      <c r="H99" s="73">
        <f>H98*(1+((1+Inputs!$H$9)^(1/12)-1))</f>
        <v>211.70165426557983</v>
      </c>
      <c r="I99" s="76">
        <f t="shared" si="18"/>
        <v>10000000</v>
      </c>
      <c r="J99" s="75">
        <f t="shared" si="19"/>
        <v>47236.286531115125</v>
      </c>
      <c r="K99" s="75">
        <f t="shared" si="22"/>
        <v>6777635.7146738237</v>
      </c>
      <c r="L99" s="76">
        <f t="shared" si="20"/>
        <v>1434836692.8059239</v>
      </c>
      <c r="M99" s="76">
        <f t="shared" si="23"/>
        <v>960000000</v>
      </c>
      <c r="N99" s="55"/>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c r="AO99" s="55"/>
      <c r="AP99" s="55"/>
      <c r="AQ99" s="55"/>
      <c r="AR99" s="55"/>
      <c r="AS99" s="55"/>
      <c r="AT99" s="55"/>
      <c r="AU99" s="55"/>
      <c r="AV99" s="55"/>
      <c r="AW99" s="55"/>
      <c r="AX99" s="55"/>
      <c r="AY99" s="55"/>
      <c r="AZ99" s="55"/>
    </row>
    <row r="100" spans="1:52">
      <c r="A100" s="71">
        <v>48945</v>
      </c>
      <c r="B100" s="77" t="s">
        <v>139</v>
      </c>
      <c r="C100" s="73">
        <f>C99*(1+((1+Inputs!$H$8)^(1/12)-1))</f>
        <v>227.59601816987163</v>
      </c>
      <c r="D100" s="74">
        <f>Inputs!$B$7</f>
        <v>10000000</v>
      </c>
      <c r="E100" s="75">
        <f t="shared" ref="E100:E131" si="24">D100/C100</f>
        <v>43937.499787611683</v>
      </c>
      <c r="F100" s="75">
        <f t="shared" si="21"/>
        <v>6899778.1046017725</v>
      </c>
      <c r="G100" s="76">
        <f t="shared" ref="G100:G131" si="25">F100*C100</f>
        <v>1570362022.8630273</v>
      </c>
      <c r="H100" s="73">
        <f>H99*(1+((1+Inputs!$H$9)^(1/12)-1))</f>
        <v>213.3897929857248</v>
      </c>
      <c r="I100" s="76">
        <f t="shared" ref="I100:I123" si="26">D100</f>
        <v>10000000</v>
      </c>
      <c r="J100" s="75">
        <f t="shared" ref="J100:J131" si="27">I100/H100</f>
        <v>46862.597597013337</v>
      </c>
      <c r="K100" s="75">
        <f t="shared" si="22"/>
        <v>6824498.3122708369</v>
      </c>
      <c r="L100" s="76">
        <f t="shared" ref="L100:L131" si="28">K100*H100</f>
        <v>1456278282.0869021</v>
      </c>
      <c r="M100" s="76">
        <f t="shared" si="23"/>
        <v>970000000</v>
      </c>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55"/>
      <c r="AM100" s="55"/>
      <c r="AN100" s="55"/>
      <c r="AO100" s="55"/>
      <c r="AP100" s="55"/>
      <c r="AQ100" s="55"/>
      <c r="AR100" s="55"/>
      <c r="AS100" s="55"/>
      <c r="AT100" s="55"/>
      <c r="AU100" s="55"/>
      <c r="AV100" s="55"/>
      <c r="AW100" s="55"/>
      <c r="AX100" s="55"/>
      <c r="AY100" s="55"/>
      <c r="AZ100" s="55"/>
    </row>
    <row r="101" spans="1:52">
      <c r="A101" s="71">
        <v>48976</v>
      </c>
      <c r="B101" s="77" t="s">
        <v>139</v>
      </c>
      <c r="C101" s="73">
        <f>C100*(1+((1+Inputs!$H$8)^(1/12)-1))</f>
        <v>229.75562965902114</v>
      </c>
      <c r="D101" s="74">
        <f>Inputs!$B$7</f>
        <v>10000000</v>
      </c>
      <c r="E101" s="75">
        <f t="shared" si="24"/>
        <v>43524.504774228757</v>
      </c>
      <c r="F101" s="75">
        <f t="shared" ref="F101:F132" si="29">F100+E101</f>
        <v>6943302.6093760012</v>
      </c>
      <c r="G101" s="76">
        <f t="shared" si="25"/>
        <v>1595262862.9303076</v>
      </c>
      <c r="H101" s="73">
        <f>H100*(1+((1+Inputs!$H$9)^(1/12)-1))</f>
        <v>215.09139316108767</v>
      </c>
      <c r="I101" s="76">
        <f t="shared" si="26"/>
        <v>10000000</v>
      </c>
      <c r="J101" s="75">
        <f t="shared" si="27"/>
        <v>46491.864937202459</v>
      </c>
      <c r="K101" s="75">
        <f t="shared" ref="K101:K132" si="30">K100+J101</f>
        <v>6870990.177208039</v>
      </c>
      <c r="L101" s="76">
        <f t="shared" si="28"/>
        <v>1477890849.6118257</v>
      </c>
      <c r="M101" s="76">
        <f t="shared" ref="M101:M123" si="31">M100+D101</f>
        <v>980000000</v>
      </c>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c r="AM101" s="55"/>
      <c r="AN101" s="55"/>
      <c r="AO101" s="55"/>
      <c r="AP101" s="55"/>
      <c r="AQ101" s="55"/>
      <c r="AR101" s="55"/>
      <c r="AS101" s="55"/>
      <c r="AT101" s="55"/>
      <c r="AU101" s="55"/>
      <c r="AV101" s="55"/>
      <c r="AW101" s="55"/>
      <c r="AX101" s="55"/>
      <c r="AY101" s="55"/>
      <c r="AZ101" s="55"/>
    </row>
    <row r="102" spans="1:52">
      <c r="A102" s="71">
        <v>49004</v>
      </c>
      <c r="B102" s="77" t="s">
        <v>139</v>
      </c>
      <c r="C102" s="73">
        <f>C101*(1+((1+Inputs!$H$8)^(1/12)-1))</f>
        <v>231.93573325441034</v>
      </c>
      <c r="D102" s="74">
        <f>Inputs!$B$7</f>
        <v>10000000</v>
      </c>
      <c r="E102" s="75">
        <f t="shared" si="24"/>
        <v>43115.391749623152</v>
      </c>
      <c r="F102" s="75">
        <f t="shared" si="29"/>
        <v>6986418.0011256244</v>
      </c>
      <c r="G102" s="76">
        <f t="shared" si="25"/>
        <v>1620399981.9128835</v>
      </c>
      <c r="H102" s="73">
        <f>H101*(1+((1+Inputs!$H$9)^(1/12)-1))</f>
        <v>216.80656213520274</v>
      </c>
      <c r="I102" s="76">
        <f t="shared" si="26"/>
        <v>10000000</v>
      </c>
      <c r="J102" s="75">
        <f t="shared" si="27"/>
        <v>46124.06516442939</v>
      </c>
      <c r="K102" s="75">
        <f t="shared" si="30"/>
        <v>6917114.2423724681</v>
      </c>
      <c r="L102" s="76">
        <f t="shared" si="28"/>
        <v>1499675758.7852223</v>
      </c>
      <c r="M102" s="76">
        <f t="shared" si="31"/>
        <v>990000000</v>
      </c>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c r="AL102" s="55"/>
      <c r="AM102" s="55"/>
      <c r="AN102" s="55"/>
      <c r="AO102" s="55"/>
      <c r="AP102" s="55"/>
      <c r="AQ102" s="55"/>
      <c r="AR102" s="55"/>
      <c r="AS102" s="55"/>
      <c r="AT102" s="55"/>
      <c r="AU102" s="55"/>
      <c r="AV102" s="55"/>
      <c r="AW102" s="55"/>
      <c r="AX102" s="55"/>
      <c r="AY102" s="55"/>
      <c r="AZ102" s="55"/>
    </row>
    <row r="103" spans="1:52">
      <c r="A103" s="71">
        <v>49035</v>
      </c>
      <c r="B103" s="77" t="s">
        <v>139</v>
      </c>
      <c r="C103" s="73">
        <f>C102*(1+((1+Inputs!$H$8)^(1/12)-1))</f>
        <v>234.13652340139211</v>
      </c>
      <c r="D103" s="74">
        <f>Inputs!$B$7</f>
        <v>10000000</v>
      </c>
      <c r="E103" s="75">
        <f t="shared" si="24"/>
        <v>42710.12422464518</v>
      </c>
      <c r="F103" s="75">
        <f t="shared" si="29"/>
        <v>7029128.1253502695</v>
      </c>
      <c r="G103" s="76">
        <f t="shared" si="25"/>
        <v>1645775621.8124568</v>
      </c>
      <c r="H103" s="73">
        <f>H102*(1+((1+Inputs!$H$9)^(1/12)-1))</f>
        <v>218.5354081075767</v>
      </c>
      <c r="I103" s="76">
        <f t="shared" si="26"/>
        <v>10000000</v>
      </c>
      <c r="J103" s="75">
        <f t="shared" si="27"/>
        <v>45759.175076458909</v>
      </c>
      <c r="K103" s="75">
        <f t="shared" si="30"/>
        <v>6962873.4174489267</v>
      </c>
      <c r="L103" s="76">
        <f t="shared" si="28"/>
        <v>1521634383.8835986</v>
      </c>
      <c r="M103" s="76">
        <f t="shared" si="31"/>
        <v>1000000000</v>
      </c>
      <c r="N103" s="55"/>
      <c r="O103" s="55"/>
      <c r="P103" s="55"/>
      <c r="Q103" s="55"/>
      <c r="R103" s="55"/>
      <c r="S103" s="55"/>
      <c r="T103" s="55"/>
      <c r="U103" s="55"/>
      <c r="V103" s="55"/>
      <c r="W103" s="55"/>
      <c r="X103" s="55"/>
      <c r="Y103" s="55"/>
      <c r="Z103" s="55"/>
      <c r="AA103" s="55"/>
      <c r="AB103" s="55"/>
      <c r="AC103" s="55"/>
      <c r="AD103" s="55"/>
      <c r="AE103" s="55"/>
      <c r="AF103" s="55"/>
      <c r="AG103" s="55"/>
      <c r="AH103" s="55"/>
      <c r="AI103" s="55"/>
      <c r="AJ103" s="55"/>
      <c r="AK103" s="55"/>
      <c r="AL103" s="55"/>
      <c r="AM103" s="55"/>
      <c r="AN103" s="55"/>
      <c r="AO103" s="55"/>
      <c r="AP103" s="55"/>
      <c r="AQ103" s="55"/>
      <c r="AR103" s="55"/>
      <c r="AS103" s="55"/>
      <c r="AT103" s="55"/>
      <c r="AU103" s="55"/>
      <c r="AV103" s="55"/>
      <c r="AW103" s="55"/>
      <c r="AX103" s="55"/>
      <c r="AY103" s="55"/>
      <c r="AZ103" s="55"/>
    </row>
    <row r="104" spans="1:52">
      <c r="A104" s="71">
        <v>49065</v>
      </c>
      <c r="B104" s="77" t="s">
        <v>139</v>
      </c>
      <c r="C104" s="73">
        <f>C103*(1+((1+Inputs!$H$8)^(1/12)-1))</f>
        <v>236.35819639037109</v>
      </c>
      <c r="D104" s="74">
        <f>Inputs!$B$7</f>
        <v>10000000</v>
      </c>
      <c r="E104" s="75">
        <f t="shared" si="24"/>
        <v>42308.666053128618</v>
      </c>
      <c r="F104" s="75">
        <f t="shared" si="29"/>
        <v>7071436.7914033979</v>
      </c>
      <c r="G104" s="76">
        <f t="shared" si="25"/>
        <v>1671392045.9046199</v>
      </c>
      <c r="H104" s="73">
        <f>H103*(1+((1+Inputs!$H$9)^(1/12)-1))</f>
        <v>220.27804014051432</v>
      </c>
      <c r="I104" s="76">
        <f t="shared" si="26"/>
        <v>10000000</v>
      </c>
      <c r="J104" s="75">
        <f t="shared" si="27"/>
        <v>45397.17165461</v>
      </c>
      <c r="K104" s="75">
        <f t="shared" si="30"/>
        <v>7008270.5891035367</v>
      </c>
      <c r="L104" s="76">
        <f t="shared" si="28"/>
        <v>1543768110.1421349</v>
      </c>
      <c r="M104" s="76">
        <f t="shared" si="31"/>
        <v>1010000000</v>
      </c>
      <c r="N104" s="55"/>
      <c r="O104" s="55"/>
      <c r="P104" s="55"/>
      <c r="Q104" s="55"/>
      <c r="R104" s="55"/>
      <c r="S104" s="55"/>
      <c r="T104" s="55"/>
      <c r="U104" s="55"/>
      <c r="V104" s="55"/>
      <c r="W104" s="55"/>
      <c r="X104" s="55"/>
      <c r="Y104" s="55"/>
      <c r="Z104" s="55"/>
      <c r="AA104" s="55"/>
      <c r="AB104" s="55"/>
      <c r="AC104" s="55"/>
      <c r="AD104" s="55"/>
      <c r="AE104" s="55"/>
      <c r="AF104" s="55"/>
      <c r="AG104" s="55"/>
      <c r="AH104" s="55"/>
      <c r="AI104" s="55"/>
      <c r="AJ104" s="55"/>
      <c r="AK104" s="55"/>
      <c r="AL104" s="55"/>
      <c r="AM104" s="55"/>
      <c r="AN104" s="55"/>
      <c r="AO104" s="55"/>
      <c r="AP104" s="55"/>
      <c r="AQ104" s="55"/>
      <c r="AR104" s="55"/>
      <c r="AS104" s="55"/>
      <c r="AT104" s="55"/>
      <c r="AU104" s="55"/>
      <c r="AV104" s="55"/>
      <c r="AW104" s="55"/>
      <c r="AX104" s="55"/>
      <c r="AY104" s="55"/>
      <c r="AZ104" s="55"/>
    </row>
    <row r="105" spans="1:52">
      <c r="A105" s="71">
        <v>49096</v>
      </c>
      <c r="B105" s="77" t="s">
        <v>139</v>
      </c>
      <c r="C105" s="73">
        <f>C104*(1+((1+Inputs!$H$8)^(1/12)-1))</f>
        <v>238.60095037431083</v>
      </c>
      <c r="D105" s="74">
        <f>Inputs!$B$7</f>
        <v>10000000</v>
      </c>
      <c r="E105" s="75">
        <f t="shared" si="24"/>
        <v>41910.981428666841</v>
      </c>
      <c r="F105" s="75">
        <f t="shared" si="29"/>
        <v>7113347.7728320649</v>
      </c>
      <c r="G105" s="76">
        <f t="shared" si="25"/>
        <v>1697251538.9407179</v>
      </c>
      <c r="H105" s="73">
        <f>H104*(1+((1+Inputs!$H$9)^(1/12)-1))</f>
        <v>222.03456816599848</v>
      </c>
      <c r="I105" s="76">
        <f t="shared" si="26"/>
        <v>10000000</v>
      </c>
      <c r="J105" s="75">
        <f t="shared" si="27"/>
        <v>45038.032062303719</v>
      </c>
      <c r="K105" s="75">
        <f t="shared" si="30"/>
        <v>7053308.62116584</v>
      </c>
      <c r="L105" s="76">
        <f t="shared" si="28"/>
        <v>1566078333.8420715</v>
      </c>
      <c r="M105" s="76">
        <f t="shared" si="31"/>
        <v>1020000000</v>
      </c>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c r="AL105" s="55"/>
      <c r="AM105" s="55"/>
      <c r="AN105" s="55"/>
      <c r="AO105" s="55"/>
      <c r="AP105" s="55"/>
      <c r="AQ105" s="55"/>
      <c r="AR105" s="55"/>
      <c r="AS105" s="55"/>
      <c r="AT105" s="55"/>
      <c r="AU105" s="55"/>
      <c r="AV105" s="55"/>
      <c r="AW105" s="55"/>
      <c r="AX105" s="55"/>
      <c r="AY105" s="55"/>
      <c r="AZ105" s="55"/>
    </row>
    <row r="106" spans="1:52">
      <c r="A106" s="71">
        <v>49126</v>
      </c>
      <c r="B106" s="77" t="s">
        <v>139</v>
      </c>
      <c r="C106" s="73">
        <f>C105*(1+((1+Inputs!$H$8)^(1/12)-1))</f>
        <v>240.8649853864074</v>
      </c>
      <c r="D106" s="74">
        <f>Inputs!$B$7</f>
        <v>10000000</v>
      </c>
      <c r="E106" s="75">
        <f t="shared" si="24"/>
        <v>41517.034881419189</v>
      </c>
      <c r="F106" s="75">
        <f t="shared" si="29"/>
        <v>7154864.8077134844</v>
      </c>
      <c r="G106" s="76">
        <f t="shared" si="25"/>
        <v>1723356407.351629</v>
      </c>
      <c r="H106" s="73">
        <f>H105*(1+((1+Inputs!$H$9)^(1/12)-1))</f>
        <v>223.80510299262517</v>
      </c>
      <c r="I106" s="76">
        <f t="shared" si="26"/>
        <v>10000000</v>
      </c>
      <c r="J106" s="75">
        <f t="shared" si="27"/>
        <v>44681.733643622596</v>
      </c>
      <c r="K106" s="75">
        <f t="shared" si="30"/>
        <v>7097990.3548094621</v>
      </c>
      <c r="L106" s="76">
        <f t="shared" si="28"/>
        <v>1588566462.3987918</v>
      </c>
      <c r="M106" s="76">
        <f t="shared" si="31"/>
        <v>1030000000</v>
      </c>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c r="AL106" s="55"/>
      <c r="AM106" s="55"/>
      <c r="AN106" s="55"/>
      <c r="AO106" s="55"/>
      <c r="AP106" s="55"/>
      <c r="AQ106" s="55"/>
      <c r="AR106" s="55"/>
      <c r="AS106" s="55"/>
      <c r="AT106" s="55"/>
      <c r="AU106" s="55"/>
      <c r="AV106" s="55"/>
      <c r="AW106" s="55"/>
      <c r="AX106" s="55"/>
      <c r="AY106" s="55"/>
      <c r="AZ106" s="55"/>
    </row>
    <row r="107" spans="1:52">
      <c r="A107" s="71">
        <v>49157</v>
      </c>
      <c r="B107" s="77" t="s">
        <v>139</v>
      </c>
      <c r="C107" s="73">
        <f>C106*(1+((1+Inputs!$H$8)^(1/12)-1))</f>
        <v>243.15050335793038</v>
      </c>
      <c r="D107" s="74">
        <f>Inputs!$B$7</f>
        <v>10000000</v>
      </c>
      <c r="E107" s="75">
        <f t="shared" si="24"/>
        <v>41126.791274947405</v>
      </c>
      <c r="F107" s="75">
        <f t="shared" si="29"/>
        <v>7195991.5989884315</v>
      </c>
      <c r="G107" s="76">
        <f t="shared" si="25"/>
        <v>1749708979.4534755</v>
      </c>
      <c r="H107" s="73">
        <f>H106*(1+((1+Inputs!$H$9)^(1/12)-1))</f>
        <v>225.58975631259364</v>
      </c>
      <c r="I107" s="76">
        <f t="shared" si="26"/>
        <v>10000000</v>
      </c>
      <c r="J107" s="75">
        <f t="shared" si="27"/>
        <v>44328.253921881405</v>
      </c>
      <c r="K107" s="75">
        <f t="shared" si="30"/>
        <v>7142318.6087313434</v>
      </c>
      <c r="L107" s="76">
        <f t="shared" si="28"/>
        <v>1611233914.4506066</v>
      </c>
      <c r="M107" s="76">
        <f t="shared" si="31"/>
        <v>1040000000</v>
      </c>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c r="AL107" s="55"/>
      <c r="AM107" s="55"/>
      <c r="AN107" s="55"/>
      <c r="AO107" s="55"/>
      <c r="AP107" s="55"/>
      <c r="AQ107" s="55"/>
      <c r="AR107" s="55"/>
      <c r="AS107" s="55"/>
      <c r="AT107" s="55"/>
      <c r="AU107" s="55"/>
      <c r="AV107" s="55"/>
      <c r="AW107" s="55"/>
      <c r="AX107" s="55"/>
      <c r="AY107" s="55"/>
      <c r="AZ107" s="55"/>
    </row>
    <row r="108" spans="1:52">
      <c r="A108" s="71">
        <v>49188</v>
      </c>
      <c r="B108" s="77" t="s">
        <v>139</v>
      </c>
      <c r="C108" s="73">
        <f>C107*(1+((1+Inputs!$H$8)^(1/12)-1))</f>
        <v>245.45770813623341</v>
      </c>
      <c r="D108" s="74">
        <f>Inputs!$B$7</f>
        <v>10000000</v>
      </c>
      <c r="E108" s="75">
        <f t="shared" si="24"/>
        <v>40740.21580308173</v>
      </c>
      <c r="F108" s="75">
        <f t="shared" si="29"/>
        <v>7236731.8147915136</v>
      </c>
      <c r="G108" s="76">
        <f t="shared" si="25"/>
        <v>1776311605.6552901</v>
      </c>
      <c r="H108" s="73">
        <f>H107*(1+((1+Inputs!$H$9)^(1/12)-1))</f>
        <v>227.38864070875243</v>
      </c>
      <c r="I108" s="76">
        <f t="shared" si="26"/>
        <v>10000000</v>
      </c>
      <c r="J108" s="75">
        <f t="shared" si="27"/>
        <v>43977.570598209262</v>
      </c>
      <c r="K108" s="75">
        <f t="shared" si="30"/>
        <v>7186296.1793295527</v>
      </c>
      <c r="L108" s="76">
        <f t="shared" si="28"/>
        <v>1634082119.9482479</v>
      </c>
      <c r="M108" s="76">
        <f t="shared" si="31"/>
        <v>1050000000</v>
      </c>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c r="AO108" s="55"/>
      <c r="AP108" s="55"/>
      <c r="AQ108" s="55"/>
      <c r="AR108" s="55"/>
      <c r="AS108" s="55"/>
      <c r="AT108" s="55"/>
      <c r="AU108" s="55"/>
      <c r="AV108" s="55"/>
      <c r="AW108" s="55"/>
      <c r="AX108" s="55"/>
      <c r="AY108" s="55"/>
      <c r="AZ108" s="55"/>
    </row>
    <row r="109" spans="1:52">
      <c r="A109" s="71">
        <v>49218</v>
      </c>
      <c r="B109" s="77" t="s">
        <v>139</v>
      </c>
      <c r="C109" s="73">
        <f>C108*(1+((1+Inputs!$H$8)^(1/12)-1))</f>
        <v>247.78680550293544</v>
      </c>
      <c r="D109" s="74">
        <f>Inputs!$B$7</f>
        <v>10000000</v>
      </c>
      <c r="E109" s="75">
        <f t="shared" si="24"/>
        <v>40357.273986816595</v>
      </c>
      <c r="F109" s="75">
        <f t="shared" si="29"/>
        <v>7277089.08877833</v>
      </c>
      <c r="G109" s="76">
        <f t="shared" si="25"/>
        <v>1803166658.6686497</v>
      </c>
      <c r="H109" s="73">
        <f>H108*(1+((1+Inputs!$H$9)^(1/12)-1))</f>
        <v>229.20186966170158</v>
      </c>
      <c r="I109" s="76">
        <f t="shared" si="26"/>
        <v>10000000</v>
      </c>
      <c r="J109" s="75">
        <f t="shared" si="27"/>
        <v>43629.661550142875</v>
      </c>
      <c r="K109" s="75">
        <f t="shared" si="30"/>
        <v>7229925.8408796955</v>
      </c>
      <c r="L109" s="76">
        <f t="shared" si="28"/>
        <v>1657112520.2450762</v>
      </c>
      <c r="M109" s="76">
        <f t="shared" si="31"/>
        <v>1060000000</v>
      </c>
      <c r="N109" s="55"/>
      <c r="O109" s="55"/>
      <c r="P109" s="55"/>
      <c r="Q109" s="55"/>
      <c r="R109" s="55"/>
      <c r="S109" s="55"/>
      <c r="T109" s="55"/>
      <c r="U109" s="55"/>
      <c r="V109" s="55"/>
      <c r="W109" s="55"/>
      <c r="X109" s="55"/>
      <c r="Y109" s="55"/>
      <c r="Z109" s="55"/>
      <c r="AA109" s="55"/>
      <c r="AB109" s="55"/>
      <c r="AC109" s="55"/>
      <c r="AD109" s="55"/>
      <c r="AE109" s="55"/>
      <c r="AF109" s="55"/>
      <c r="AG109" s="55"/>
      <c r="AH109" s="55"/>
      <c r="AI109" s="55"/>
      <c r="AJ109" s="55"/>
      <c r="AK109" s="55"/>
      <c r="AL109" s="55"/>
      <c r="AM109" s="55"/>
      <c r="AN109" s="55"/>
      <c r="AO109" s="55"/>
      <c r="AP109" s="55"/>
      <c r="AQ109" s="55"/>
      <c r="AR109" s="55"/>
      <c r="AS109" s="55"/>
      <c r="AT109" s="55"/>
      <c r="AU109" s="55"/>
      <c r="AV109" s="55"/>
      <c r="AW109" s="55"/>
      <c r="AX109" s="55"/>
      <c r="AY109" s="55"/>
      <c r="AZ109" s="55"/>
    </row>
    <row r="110" spans="1:52">
      <c r="A110" s="71">
        <v>49249</v>
      </c>
      <c r="B110" s="77" t="s">
        <v>139</v>
      </c>
      <c r="C110" s="73">
        <f>C109*(1+((1+Inputs!$H$8)^(1/12)-1))</f>
        <v>250.1380031922746</v>
      </c>
      <c r="D110" s="74">
        <f>Inputs!$B$7</f>
        <v>10000000</v>
      </c>
      <c r="E110" s="75">
        <f t="shared" si="24"/>
        <v>39977.931671235332</v>
      </c>
      <c r="F110" s="75">
        <f t="shared" si="29"/>
        <v>7317067.0204495657</v>
      </c>
      <c r="G110" s="76">
        <f t="shared" si="25"/>
        <v>1830276533.7193007</v>
      </c>
      <c r="H110" s="73">
        <f>H109*(1+((1+Inputs!$H$9)^(1/12)-1))</f>
        <v>231.02955755695129</v>
      </c>
      <c r="I110" s="76">
        <f t="shared" si="26"/>
        <v>10000000</v>
      </c>
      <c r="J110" s="75">
        <f t="shared" si="27"/>
        <v>43284.504830231046</v>
      </c>
      <c r="K110" s="75">
        <f t="shared" si="30"/>
        <v>7273210.3457099264</v>
      </c>
      <c r="L110" s="76">
        <f t="shared" si="28"/>
        <v>1680326568.188005</v>
      </c>
      <c r="M110" s="76">
        <f t="shared" si="31"/>
        <v>1070000000</v>
      </c>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c r="AZ110" s="55"/>
    </row>
    <row r="111" spans="1:52">
      <c r="A111" s="71">
        <v>49279</v>
      </c>
      <c r="B111" s="77" t="s">
        <v>139</v>
      </c>
      <c r="C111" s="73">
        <f>C110*(1+((1+Inputs!$H$8)^(1/12)-1))</f>
        <v>252.51151090963617</v>
      </c>
      <c r="D111" s="74">
        <f>Inputs!$B$7</f>
        <v>10000000</v>
      </c>
      <c r="E111" s="75">
        <f t="shared" si="24"/>
        <v>39602.155022463914</v>
      </c>
      <c r="F111" s="75">
        <f t="shared" si="29"/>
        <v>7356669.1754720295</v>
      </c>
      <c r="G111" s="76">
        <f t="shared" si="25"/>
        <v>1857643648.7607896</v>
      </c>
      <c r="H111" s="73">
        <f>H110*(1+((1+Inputs!$H$9)^(1/12)-1))</f>
        <v>232.87181969213793</v>
      </c>
      <c r="I111" s="76">
        <f t="shared" si="26"/>
        <v>10000000</v>
      </c>
      <c r="J111" s="75">
        <f t="shared" si="27"/>
        <v>42942.078664650093</v>
      </c>
      <c r="K111" s="75">
        <f t="shared" si="30"/>
        <v>7316152.4243745767</v>
      </c>
      <c r="L111" s="76">
        <f t="shared" si="28"/>
        <v>1703725728.2091541</v>
      </c>
      <c r="M111" s="76">
        <f t="shared" si="31"/>
        <v>1080000000</v>
      </c>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c r="AQ111" s="55"/>
      <c r="AR111" s="55"/>
      <c r="AS111" s="55"/>
      <c r="AT111" s="55"/>
      <c r="AU111" s="55"/>
      <c r="AV111" s="55"/>
      <c r="AW111" s="55"/>
      <c r="AX111" s="55"/>
      <c r="AY111" s="55"/>
      <c r="AZ111" s="55"/>
    </row>
    <row r="112" spans="1:52">
      <c r="A112" s="71">
        <v>49310</v>
      </c>
      <c r="B112" s="77" t="s">
        <v>139</v>
      </c>
      <c r="C112" s="73">
        <f>C111*(1+((1+Inputs!$H$8)^(1/12)-1))</f>
        <v>254.90754035025643</v>
      </c>
      <c r="D112" s="74">
        <f>Inputs!$B$7</f>
        <v>10000000</v>
      </c>
      <c r="E112" s="75">
        <f t="shared" si="24"/>
        <v>39229.910524653256</v>
      </c>
      <c r="F112" s="75">
        <f t="shared" si="29"/>
        <v>7395899.0859966828</v>
      </c>
      <c r="G112" s="76">
        <f t="shared" si="25"/>
        <v>1885270444.690124</v>
      </c>
      <c r="H112" s="73">
        <f>H111*(1+((1+Inputs!$H$9)^(1/12)-1))</f>
        <v>234.72877228429741</v>
      </c>
      <c r="I112" s="76">
        <f t="shared" si="26"/>
        <v>10000000</v>
      </c>
      <c r="J112" s="75">
        <f t="shared" si="27"/>
        <v>42602.361451830278</v>
      </c>
      <c r="K112" s="75">
        <f t="shared" si="30"/>
        <v>7358754.7858264074</v>
      </c>
      <c r="L112" s="76">
        <f t="shared" si="28"/>
        <v>1727311476.4182305</v>
      </c>
      <c r="M112" s="76">
        <f t="shared" si="31"/>
        <v>1090000000</v>
      </c>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5"/>
      <c r="AW112" s="55"/>
      <c r="AX112" s="55"/>
      <c r="AY112" s="55"/>
      <c r="AZ112" s="55"/>
    </row>
    <row r="113" spans="1:52">
      <c r="A113" s="71">
        <v>49341</v>
      </c>
      <c r="B113" s="77" t="s">
        <v>139</v>
      </c>
      <c r="C113" s="73">
        <f>C112*(1+((1+Inputs!$H$8)^(1/12)-1))</f>
        <v>257.32630521810387</v>
      </c>
      <c r="D113" s="74">
        <f>Inputs!$B$7</f>
        <v>10000000</v>
      </c>
      <c r="E113" s="75">
        <f t="shared" si="24"/>
        <v>38861.16497698993</v>
      </c>
      <c r="F113" s="75">
        <f t="shared" si="29"/>
        <v>7434760.2509736726</v>
      </c>
      <c r="G113" s="76">
        <f t="shared" si="25"/>
        <v>1913159385.5654778</v>
      </c>
      <c r="H113" s="73">
        <f>H112*(1+((1+Inputs!$H$9)^(1/12)-1))</f>
        <v>236.60053247719657</v>
      </c>
      <c r="I113" s="76">
        <f t="shared" si="26"/>
        <v>10000000</v>
      </c>
      <c r="J113" s="75">
        <f t="shared" si="27"/>
        <v>42265.331761093119</v>
      </c>
      <c r="K113" s="75">
        <f t="shared" si="30"/>
        <v>7401020.1175875003</v>
      </c>
      <c r="L113" s="76">
        <f t="shared" si="28"/>
        <v>1751085300.6956465</v>
      </c>
      <c r="M113" s="76">
        <f t="shared" si="31"/>
        <v>1100000000</v>
      </c>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c r="AO113" s="55"/>
      <c r="AP113" s="55"/>
      <c r="AQ113" s="55"/>
      <c r="AR113" s="55"/>
      <c r="AS113" s="55"/>
      <c r="AT113" s="55"/>
      <c r="AU113" s="55"/>
      <c r="AV113" s="55"/>
      <c r="AW113" s="55"/>
      <c r="AX113" s="55"/>
      <c r="AY113" s="55"/>
      <c r="AZ113" s="55"/>
    </row>
    <row r="114" spans="1:52">
      <c r="A114" s="71">
        <v>49369</v>
      </c>
      <c r="B114" s="77" t="s">
        <v>139</v>
      </c>
      <c r="C114" s="73">
        <f>C113*(1+((1+Inputs!$H$8)^(1/12)-1))</f>
        <v>259.76802124493975</v>
      </c>
      <c r="D114" s="74">
        <f>Inputs!$B$7</f>
        <v>10000000</v>
      </c>
      <c r="E114" s="75">
        <f t="shared" si="24"/>
        <v>38495.88549073493</v>
      </c>
      <c r="F114" s="75">
        <f t="shared" si="29"/>
        <v>7473256.1364644077</v>
      </c>
      <c r="G114" s="76">
        <f t="shared" si="25"/>
        <v>1941312958.8259625</v>
      </c>
      <c r="H114" s="73">
        <f>H113*(1+((1+Inputs!$H$9)^(1/12)-1))</f>
        <v>238.48721834872313</v>
      </c>
      <c r="I114" s="76">
        <f t="shared" si="26"/>
        <v>10000000</v>
      </c>
      <c r="J114" s="75">
        <f t="shared" si="27"/>
        <v>41930.968331299424</v>
      </c>
      <c r="K114" s="75">
        <f t="shared" si="30"/>
        <v>7442951.0859188</v>
      </c>
      <c r="L114" s="76">
        <f t="shared" si="28"/>
        <v>1775048700.7863829</v>
      </c>
      <c r="M114" s="76">
        <f t="shared" si="31"/>
        <v>1110000000</v>
      </c>
      <c r="N114" s="55"/>
      <c r="O114" s="55"/>
      <c r="P114" s="55"/>
      <c r="Q114" s="55"/>
      <c r="R114" s="55"/>
      <c r="S114" s="55"/>
      <c r="T114" s="55"/>
      <c r="U114" s="55"/>
      <c r="V114" s="55"/>
      <c r="W114" s="55"/>
      <c r="X114" s="55"/>
      <c r="Y114" s="55"/>
      <c r="Z114" s="55"/>
      <c r="AA114" s="55"/>
      <c r="AB114" s="55"/>
      <c r="AC114" s="55"/>
      <c r="AD114" s="55"/>
      <c r="AE114" s="55"/>
      <c r="AF114" s="55"/>
      <c r="AG114" s="55"/>
      <c r="AH114" s="55"/>
      <c r="AI114" s="55"/>
      <c r="AJ114" s="55"/>
      <c r="AK114" s="55"/>
      <c r="AL114" s="55"/>
      <c r="AM114" s="55"/>
      <c r="AN114" s="55"/>
      <c r="AO114" s="55"/>
      <c r="AP114" s="55"/>
      <c r="AQ114" s="55"/>
      <c r="AR114" s="55"/>
      <c r="AS114" s="55"/>
      <c r="AT114" s="55"/>
      <c r="AU114" s="55"/>
      <c r="AV114" s="55"/>
      <c r="AW114" s="55"/>
      <c r="AX114" s="55"/>
      <c r="AY114" s="55"/>
      <c r="AZ114" s="55"/>
    </row>
    <row r="115" spans="1:52">
      <c r="A115" s="71">
        <v>49400</v>
      </c>
      <c r="B115" s="77" t="s">
        <v>139</v>
      </c>
      <c r="C115" s="73">
        <f>C114*(1+((1+Inputs!$H$8)^(1/12)-1))</f>
        <v>262.23290620955936</v>
      </c>
      <c r="D115" s="74">
        <f>Inputs!$B$7</f>
        <v>10000000</v>
      </c>
      <c r="E115" s="75">
        <f t="shared" si="24"/>
        <v>38134.039486290312</v>
      </c>
      <c r="F115" s="75">
        <f t="shared" si="29"/>
        <v>7511390.1759506976</v>
      </c>
      <c r="G115" s="76">
        <f t="shared" si="25"/>
        <v>1969733675.513485</v>
      </c>
      <c r="H115" s="73">
        <f>H114*(1+((1+Inputs!$H$9)^(1/12)-1))</f>
        <v>240.38894891833448</v>
      </c>
      <c r="I115" s="76">
        <f t="shared" si="26"/>
        <v>10000000</v>
      </c>
      <c r="J115" s="75">
        <f t="shared" si="27"/>
        <v>41599.250069508082</v>
      </c>
      <c r="K115" s="75">
        <f t="shared" si="30"/>
        <v>7484550.3359883083</v>
      </c>
      <c r="L115" s="76">
        <f t="shared" si="28"/>
        <v>1799203188.3945966</v>
      </c>
      <c r="M115" s="76">
        <f t="shared" si="31"/>
        <v>1120000000</v>
      </c>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5"/>
      <c r="AK115" s="55"/>
      <c r="AL115" s="55"/>
      <c r="AM115" s="55"/>
      <c r="AN115" s="55"/>
      <c r="AO115" s="55"/>
      <c r="AP115" s="55"/>
      <c r="AQ115" s="55"/>
      <c r="AR115" s="55"/>
      <c r="AS115" s="55"/>
      <c r="AT115" s="55"/>
      <c r="AU115" s="55"/>
      <c r="AV115" s="55"/>
      <c r="AW115" s="55"/>
      <c r="AX115" s="55"/>
      <c r="AY115" s="55"/>
      <c r="AZ115" s="55"/>
    </row>
    <row r="116" spans="1:52">
      <c r="A116" s="71">
        <v>49430</v>
      </c>
      <c r="B116" s="77" t="s">
        <v>139</v>
      </c>
      <c r="C116" s="73">
        <f>C115*(1+((1+Inputs!$H$8)^(1/12)-1))</f>
        <v>264.72117995721578</v>
      </c>
      <c r="D116" s="74">
        <f>Inputs!$B$7</f>
        <v>10000000</v>
      </c>
      <c r="E116" s="75">
        <f t="shared" si="24"/>
        <v>37775.594690293387</v>
      </c>
      <c r="F116" s="75">
        <f t="shared" si="29"/>
        <v>7549165.7706409907</v>
      </c>
      <c r="G116" s="76">
        <f t="shared" si="25"/>
        <v>1998424070.4967072</v>
      </c>
      <c r="H116" s="73">
        <f>H115*(1+((1+Inputs!$H$9)^(1/12)-1))</f>
        <v>242.30584415456585</v>
      </c>
      <c r="I116" s="76">
        <f t="shared" si="26"/>
        <v>10000000</v>
      </c>
      <c r="J116" s="75">
        <f t="shared" si="27"/>
        <v>41270.156049645433</v>
      </c>
      <c r="K116" s="75">
        <f t="shared" si="30"/>
        <v>7525820.4920379538</v>
      </c>
      <c r="L116" s="76">
        <f t="shared" si="28"/>
        <v>1823550287.2789865</v>
      </c>
      <c r="M116" s="76">
        <f t="shared" si="31"/>
        <v>1130000000</v>
      </c>
      <c r="N116" s="55"/>
      <c r="O116" s="55"/>
      <c r="P116" s="55"/>
      <c r="Q116" s="55"/>
      <c r="R116" s="55"/>
      <c r="S116" s="55"/>
      <c r="T116" s="55"/>
      <c r="U116" s="55"/>
      <c r="V116" s="55"/>
      <c r="W116" s="55"/>
      <c r="X116" s="55"/>
      <c r="Y116" s="55"/>
      <c r="Z116" s="55"/>
      <c r="AA116" s="55"/>
      <c r="AB116" s="55"/>
      <c r="AC116" s="55"/>
      <c r="AD116" s="55"/>
      <c r="AE116" s="55"/>
      <c r="AF116" s="55"/>
      <c r="AG116" s="55"/>
      <c r="AH116" s="55"/>
      <c r="AI116" s="55"/>
      <c r="AJ116" s="55"/>
      <c r="AK116" s="55"/>
      <c r="AL116" s="55"/>
      <c r="AM116" s="55"/>
      <c r="AN116" s="55"/>
      <c r="AO116" s="55"/>
      <c r="AP116" s="55"/>
      <c r="AQ116" s="55"/>
      <c r="AR116" s="55"/>
      <c r="AS116" s="55"/>
      <c r="AT116" s="55"/>
      <c r="AU116" s="55"/>
      <c r="AV116" s="55"/>
      <c r="AW116" s="55"/>
      <c r="AX116" s="55"/>
      <c r="AY116" s="55"/>
      <c r="AZ116" s="55"/>
    </row>
    <row r="117" spans="1:52">
      <c r="A117" s="71">
        <v>49461</v>
      </c>
      <c r="B117" s="77" t="s">
        <v>139</v>
      </c>
      <c r="C117" s="73">
        <f>C116*(1+((1+Inputs!$H$8)^(1/12)-1))</f>
        <v>267.2330644192283</v>
      </c>
      <c r="D117" s="74">
        <f>Inputs!$B$7</f>
        <v>10000000</v>
      </c>
      <c r="E117" s="75">
        <f t="shared" si="24"/>
        <v>37420.519132738227</v>
      </c>
      <c r="F117" s="75">
        <f t="shared" si="29"/>
        <v>7586586.2897737287</v>
      </c>
      <c r="G117" s="76">
        <f t="shared" si="25"/>
        <v>2027386702.6971371</v>
      </c>
      <c r="H117" s="73">
        <f>H116*(1+((1+Inputs!$H$9)^(1/12)-1))</f>
        <v>244.23802498259843</v>
      </c>
      <c r="I117" s="76">
        <f t="shared" si="26"/>
        <v>10000000</v>
      </c>
      <c r="J117" s="75">
        <f t="shared" si="27"/>
        <v>40943.66551118518</v>
      </c>
      <c r="K117" s="75">
        <f t="shared" si="30"/>
        <v>7566764.1575491391</v>
      </c>
      <c r="L117" s="76">
        <f t="shared" si="28"/>
        <v>1848091533.348917</v>
      </c>
      <c r="M117" s="76">
        <f t="shared" si="31"/>
        <v>1140000000</v>
      </c>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55"/>
      <c r="AM117" s="55"/>
      <c r="AN117" s="55"/>
      <c r="AO117" s="55"/>
      <c r="AP117" s="55"/>
      <c r="AQ117" s="55"/>
      <c r="AR117" s="55"/>
      <c r="AS117" s="55"/>
      <c r="AT117" s="55"/>
      <c r="AU117" s="55"/>
      <c r="AV117" s="55"/>
      <c r="AW117" s="55"/>
      <c r="AX117" s="55"/>
      <c r="AY117" s="55"/>
      <c r="AZ117" s="55"/>
    </row>
    <row r="118" spans="1:52">
      <c r="A118" s="71">
        <v>49491</v>
      </c>
      <c r="B118" s="77" t="s">
        <v>139</v>
      </c>
      <c r="C118" s="73">
        <f>C117*(1+((1+Inputs!$H$8)^(1/12)-1))</f>
        <v>269.76878363277643</v>
      </c>
      <c r="D118" s="74">
        <f>Inputs!$B$7</f>
        <v>10000000</v>
      </c>
      <c r="E118" s="75">
        <f t="shared" si="24"/>
        <v>37068.781144124259</v>
      </c>
      <c r="F118" s="75">
        <f t="shared" si="29"/>
        <v>7623655.0709178532</v>
      </c>
      <c r="G118" s="76">
        <f t="shared" si="25"/>
        <v>2056624155.3173573</v>
      </c>
      <c r="H118" s="73">
        <f>H117*(1+((1+Inputs!$H$9)^(1/12)-1))</f>
        <v>246.18561329188779</v>
      </c>
      <c r="I118" s="76">
        <f t="shared" si="26"/>
        <v>10000000</v>
      </c>
      <c r="J118" s="75">
        <f t="shared" si="27"/>
        <v>40619.757857838704</v>
      </c>
      <c r="K118" s="75">
        <f t="shared" si="30"/>
        <v>7607383.9154069778</v>
      </c>
      <c r="L118" s="76">
        <f t="shared" si="28"/>
        <v>1872828474.7613094</v>
      </c>
      <c r="M118" s="76">
        <f t="shared" si="31"/>
        <v>1150000000</v>
      </c>
      <c r="N118" s="55"/>
      <c r="O118" s="55"/>
      <c r="P118" s="55"/>
      <c r="Q118" s="55"/>
      <c r="R118" s="55"/>
      <c r="S118" s="55"/>
      <c r="T118" s="55"/>
      <c r="U118" s="55"/>
      <c r="V118" s="55"/>
      <c r="W118" s="55"/>
      <c r="X118" s="55"/>
      <c r="Y118" s="55"/>
      <c r="Z118" s="55"/>
      <c r="AA118" s="55"/>
      <c r="AB118" s="55"/>
      <c r="AC118" s="55"/>
      <c r="AD118" s="55"/>
      <c r="AE118" s="55"/>
      <c r="AF118" s="55"/>
      <c r="AG118" s="55"/>
      <c r="AH118" s="55"/>
      <c r="AI118" s="55"/>
      <c r="AJ118" s="55"/>
      <c r="AK118" s="55"/>
      <c r="AL118" s="55"/>
      <c r="AM118" s="55"/>
      <c r="AN118" s="55"/>
      <c r="AO118" s="55"/>
      <c r="AP118" s="55"/>
      <c r="AQ118" s="55"/>
      <c r="AR118" s="55"/>
      <c r="AS118" s="55"/>
      <c r="AT118" s="55"/>
      <c r="AU118" s="55"/>
      <c r="AV118" s="55"/>
      <c r="AW118" s="55"/>
      <c r="AX118" s="55"/>
      <c r="AY118" s="55"/>
      <c r="AZ118" s="55"/>
    </row>
    <row r="119" spans="1:52">
      <c r="A119" s="71">
        <v>49522</v>
      </c>
      <c r="B119" s="77" t="s">
        <v>139</v>
      </c>
      <c r="C119" s="73">
        <f>C118*(1+((1+Inputs!$H$8)^(1/12)-1))</f>
        <v>272.32856376088216</v>
      </c>
      <c r="D119" s="74">
        <f>Inputs!$B$7</f>
        <v>10000000</v>
      </c>
      <c r="E119" s="75">
        <f t="shared" si="24"/>
        <v>36720.349352631587</v>
      </c>
      <c r="F119" s="75">
        <f t="shared" si="29"/>
        <v>7660375.4202704849</v>
      </c>
      <c r="G119" s="76">
        <f t="shared" si="25"/>
        <v>2086139036.0714252</v>
      </c>
      <c r="H119" s="73">
        <f>H118*(1+((1+Inputs!$H$9)^(1/12)-1))</f>
        <v>248.14873194385311</v>
      </c>
      <c r="I119" s="76">
        <f t="shared" si="26"/>
        <v>10000000</v>
      </c>
      <c r="J119" s="75">
        <f t="shared" si="27"/>
        <v>40298.412656255809</v>
      </c>
      <c r="K119" s="75">
        <f t="shared" si="30"/>
        <v>7647682.3280632338</v>
      </c>
      <c r="L119" s="76">
        <f t="shared" si="28"/>
        <v>1897762672.0183058</v>
      </c>
      <c r="M119" s="76">
        <f t="shared" si="31"/>
        <v>1160000000</v>
      </c>
      <c r="N119" s="55"/>
      <c r="O119" s="55"/>
      <c r="P119" s="55"/>
      <c r="Q119" s="55"/>
      <c r="R119" s="55"/>
      <c r="S119" s="55"/>
      <c r="T119" s="55"/>
      <c r="U119" s="55"/>
      <c r="V119" s="55"/>
      <c r="W119" s="55"/>
      <c r="X119" s="55"/>
      <c r="Y119" s="55"/>
      <c r="Z119" s="55"/>
      <c r="AA119" s="55"/>
      <c r="AB119" s="55"/>
      <c r="AC119" s="55"/>
      <c r="AD119" s="55"/>
      <c r="AE119" s="55"/>
      <c r="AF119" s="55"/>
      <c r="AG119" s="55"/>
      <c r="AH119" s="55"/>
      <c r="AI119" s="55"/>
      <c r="AJ119" s="55"/>
      <c r="AK119" s="55"/>
      <c r="AL119" s="55"/>
      <c r="AM119" s="55"/>
      <c r="AN119" s="55"/>
      <c r="AO119" s="55"/>
      <c r="AP119" s="55"/>
      <c r="AQ119" s="55"/>
      <c r="AR119" s="55"/>
      <c r="AS119" s="55"/>
      <c r="AT119" s="55"/>
      <c r="AU119" s="55"/>
      <c r="AV119" s="55"/>
      <c r="AW119" s="55"/>
      <c r="AX119" s="55"/>
      <c r="AY119" s="55"/>
      <c r="AZ119" s="55"/>
    </row>
    <row r="120" spans="1:52">
      <c r="A120" s="71">
        <v>49553</v>
      </c>
      <c r="B120" s="77" t="s">
        <v>139</v>
      </c>
      <c r="C120" s="73">
        <f>C119*(1+((1+Inputs!$H$8)^(1/12)-1))</f>
        <v>274.91263311258155</v>
      </c>
      <c r="D120" s="74">
        <f>Inputs!$B$7</f>
        <v>10000000</v>
      </c>
      <c r="E120" s="75">
        <f t="shared" si="24"/>
        <v>36375.192681322958</v>
      </c>
      <c r="F120" s="75">
        <f t="shared" si="29"/>
        <v>7696750.6129518077</v>
      </c>
      <c r="G120" s="76">
        <f t="shared" si="25"/>
        <v>2115933977.4174573</v>
      </c>
      <c r="H120" s="73">
        <f>H119*(1+((1+Inputs!$H$9)^(1/12)-1))</f>
        <v>250.1275047796278</v>
      </c>
      <c r="I120" s="76">
        <f t="shared" si="26"/>
        <v>10000000</v>
      </c>
      <c r="J120" s="75">
        <f t="shared" si="27"/>
        <v>39979.609634735672</v>
      </c>
      <c r="K120" s="75">
        <f t="shared" si="30"/>
        <v>7687661.9376979694</v>
      </c>
      <c r="L120" s="76">
        <f t="shared" si="28"/>
        <v>1922895698.0657115</v>
      </c>
      <c r="M120" s="76">
        <f t="shared" si="31"/>
        <v>1170000000</v>
      </c>
      <c r="N120" s="55"/>
      <c r="O120" s="55"/>
      <c r="P120" s="55"/>
      <c r="Q120" s="55"/>
      <c r="R120" s="55"/>
      <c r="S120" s="55"/>
      <c r="T120" s="55"/>
      <c r="U120" s="55"/>
      <c r="V120" s="55"/>
      <c r="W120" s="55"/>
      <c r="X120" s="55"/>
      <c r="Y120" s="55"/>
      <c r="Z120" s="55"/>
      <c r="AA120" s="55"/>
      <c r="AB120" s="55"/>
      <c r="AC120" s="55"/>
      <c r="AD120" s="55"/>
      <c r="AE120" s="55"/>
      <c r="AF120" s="55"/>
      <c r="AG120" s="55"/>
      <c r="AH120" s="55"/>
      <c r="AI120" s="55"/>
      <c r="AJ120" s="55"/>
      <c r="AK120" s="55"/>
      <c r="AL120" s="55"/>
      <c r="AM120" s="55"/>
      <c r="AN120" s="55"/>
      <c r="AO120" s="55"/>
      <c r="AP120" s="55"/>
      <c r="AQ120" s="55"/>
      <c r="AR120" s="55"/>
      <c r="AS120" s="55"/>
      <c r="AT120" s="55"/>
      <c r="AU120" s="55"/>
      <c r="AV120" s="55"/>
      <c r="AW120" s="55"/>
      <c r="AX120" s="55"/>
      <c r="AY120" s="55"/>
      <c r="AZ120" s="55"/>
    </row>
    <row r="121" spans="1:52">
      <c r="A121" s="71">
        <v>49583</v>
      </c>
      <c r="B121" s="77" t="s">
        <v>139</v>
      </c>
      <c r="C121" s="73">
        <f>C120*(1+((1+Inputs!$H$8)^(1/12)-1))</f>
        <v>277.5212221632878</v>
      </c>
      <c r="D121" s="74">
        <f>Inputs!$B$7</f>
        <v>10000000</v>
      </c>
      <c r="E121" s="75">
        <f t="shared" si="24"/>
        <v>36033.280345371946</v>
      </c>
      <c r="F121" s="75">
        <f t="shared" si="29"/>
        <v>7732783.8932971796</v>
      </c>
      <c r="G121" s="76">
        <f t="shared" si="25"/>
        <v>2146011636.7924201</v>
      </c>
      <c r="H121" s="73">
        <f>H120*(1+((1+Inputs!$H$9)^(1/12)-1))</f>
        <v>252.12205662787184</v>
      </c>
      <c r="I121" s="76">
        <f t="shared" si="26"/>
        <v>10000000</v>
      </c>
      <c r="J121" s="75">
        <f t="shared" si="27"/>
        <v>39663.328681948049</v>
      </c>
      <c r="K121" s="75">
        <f t="shared" si="30"/>
        <v>7727325.266379917</v>
      </c>
      <c r="L121" s="76">
        <f t="shared" si="28"/>
        <v>1948229138.3922224</v>
      </c>
      <c r="M121" s="76">
        <f t="shared" si="31"/>
        <v>1180000000</v>
      </c>
      <c r="N121" s="55"/>
      <c r="O121" s="55"/>
      <c r="P121" s="55"/>
      <c r="Q121" s="55"/>
      <c r="R121" s="55"/>
      <c r="S121" s="55"/>
      <c r="T121" s="55"/>
      <c r="U121" s="55"/>
      <c r="V121" s="55"/>
      <c r="W121" s="55"/>
      <c r="X121" s="55"/>
      <c r="Y121" s="55"/>
      <c r="Z121" s="55"/>
      <c r="AA121" s="55"/>
      <c r="AB121" s="55"/>
      <c r="AC121" s="55"/>
      <c r="AD121" s="55"/>
      <c r="AE121" s="55"/>
      <c r="AF121" s="55"/>
      <c r="AG121" s="55"/>
      <c r="AH121" s="55"/>
      <c r="AI121" s="55"/>
      <c r="AJ121" s="55"/>
      <c r="AK121" s="55"/>
      <c r="AL121" s="55"/>
      <c r="AM121" s="55"/>
      <c r="AN121" s="55"/>
      <c r="AO121" s="55"/>
      <c r="AP121" s="55"/>
      <c r="AQ121" s="55"/>
      <c r="AR121" s="55"/>
      <c r="AS121" s="55"/>
      <c r="AT121" s="55"/>
      <c r="AU121" s="55"/>
      <c r="AV121" s="55"/>
      <c r="AW121" s="55"/>
      <c r="AX121" s="55"/>
      <c r="AY121" s="55"/>
      <c r="AZ121" s="55"/>
    </row>
    <row r="122" spans="1:52">
      <c r="A122" s="71">
        <v>49614</v>
      </c>
      <c r="B122" s="77" t="s">
        <v>139</v>
      </c>
      <c r="C122" s="73">
        <f>C121*(1+((1+Inputs!$H$8)^(1/12)-1))</f>
        <v>280.15456357534765</v>
      </c>
      <c r="D122" s="74">
        <f>Inputs!$B$7</f>
        <v>10000000</v>
      </c>
      <c r="E122" s="75">
        <f t="shared" si="24"/>
        <v>35694.581849317248</v>
      </c>
      <c r="F122" s="75">
        <f t="shared" si="29"/>
        <v>7768478.4751464967</v>
      </c>
      <c r="G122" s="76">
        <f t="shared" si="25"/>
        <v>2176374696.8491488</v>
      </c>
      <c r="H122" s="73">
        <f>H121*(1+((1+Inputs!$H$9)^(1/12)-1))</f>
        <v>254.13251331264652</v>
      </c>
      <c r="I122" s="76">
        <f t="shared" si="26"/>
        <v>10000000</v>
      </c>
      <c r="J122" s="75">
        <f t="shared" si="27"/>
        <v>39349.549845664573</v>
      </c>
      <c r="K122" s="75">
        <f t="shared" si="30"/>
        <v>7766674.8162255818</v>
      </c>
      <c r="L122" s="76">
        <f t="shared" si="28"/>
        <v>1973764591.1294441</v>
      </c>
      <c r="M122" s="76">
        <f t="shared" si="31"/>
        <v>1190000000</v>
      </c>
      <c r="N122" s="55"/>
      <c r="O122" s="55"/>
      <c r="P122" s="55"/>
      <c r="Q122" s="55"/>
      <c r="R122" s="55"/>
      <c r="S122" s="55"/>
      <c r="T122" s="55"/>
      <c r="U122" s="55"/>
      <c r="V122" s="55"/>
      <c r="W122" s="55"/>
      <c r="X122" s="55"/>
      <c r="Y122" s="55"/>
      <c r="Z122" s="55"/>
      <c r="AA122" s="55"/>
      <c r="AB122" s="55"/>
      <c r="AC122" s="55"/>
      <c r="AD122" s="55"/>
      <c r="AE122" s="55"/>
      <c r="AF122" s="55"/>
      <c r="AG122" s="55"/>
      <c r="AH122" s="55"/>
      <c r="AI122" s="55"/>
      <c r="AJ122" s="55"/>
      <c r="AK122" s="55"/>
      <c r="AL122" s="55"/>
      <c r="AM122" s="55"/>
      <c r="AN122" s="55"/>
      <c r="AO122" s="55"/>
      <c r="AP122" s="55"/>
      <c r="AQ122" s="55"/>
      <c r="AR122" s="55"/>
      <c r="AS122" s="55"/>
      <c r="AT122" s="55"/>
      <c r="AU122" s="55"/>
      <c r="AV122" s="55"/>
      <c r="AW122" s="55"/>
      <c r="AX122" s="55"/>
      <c r="AY122" s="55"/>
      <c r="AZ122" s="55"/>
    </row>
    <row r="123" spans="1:52">
      <c r="A123" s="71">
        <v>49644</v>
      </c>
      <c r="B123" s="77" t="s">
        <v>139</v>
      </c>
      <c r="C123" s="73">
        <f>C122*(1+((1+Inputs!$H$8)^(1/12)-1))</f>
        <v>282.81289221879263</v>
      </c>
      <c r="D123" s="74">
        <f>Inputs!$B$7</f>
        <v>10000000</v>
      </c>
      <c r="E123" s="75">
        <f t="shared" si="24"/>
        <v>35359.066984342768</v>
      </c>
      <c r="F123" s="75">
        <f t="shared" si="29"/>
        <v>7803837.5421308391</v>
      </c>
      <c r="G123" s="76">
        <f t="shared" si="25"/>
        <v>2207025865.6956167</v>
      </c>
      <c r="H123" s="73">
        <f>H122*(1+((1+Inputs!$H$9)^(1/12)-1))</f>
        <v>256.15900166135179</v>
      </c>
      <c r="I123" s="76">
        <f t="shared" si="26"/>
        <v>10000000</v>
      </c>
      <c r="J123" s="75">
        <f t="shared" si="27"/>
        <v>39038.253331500076</v>
      </c>
      <c r="K123" s="75">
        <f t="shared" si="30"/>
        <v>7805713.0695570819</v>
      </c>
      <c r="L123" s="76">
        <f t="shared" si="28"/>
        <v>1999503667.1527081</v>
      </c>
      <c r="M123" s="76">
        <f t="shared" si="31"/>
        <v>1200000000</v>
      </c>
      <c r="N123" s="55"/>
      <c r="O123" s="55"/>
      <c r="P123" s="55"/>
      <c r="Q123" s="55"/>
      <c r="R123" s="55"/>
      <c r="S123" s="55"/>
      <c r="T123" s="55"/>
      <c r="U123" s="55"/>
      <c r="V123" s="55"/>
      <c r="W123" s="55"/>
      <c r="X123" s="55"/>
      <c r="Y123" s="55"/>
      <c r="Z123" s="55"/>
      <c r="AA123" s="55"/>
      <c r="AB123" s="55"/>
      <c r="AC123" s="55"/>
      <c r="AD123" s="55"/>
      <c r="AE123" s="55"/>
      <c r="AF123" s="55"/>
      <c r="AG123" s="55"/>
      <c r="AH123" s="55"/>
      <c r="AI123" s="55"/>
      <c r="AJ123" s="55"/>
      <c r="AK123" s="55"/>
      <c r="AL123" s="55"/>
      <c r="AM123" s="55"/>
      <c r="AN123" s="55"/>
      <c r="AO123" s="55"/>
      <c r="AP123" s="55"/>
      <c r="AQ123" s="55"/>
      <c r="AR123" s="55"/>
      <c r="AS123" s="55"/>
      <c r="AT123" s="55"/>
      <c r="AU123" s="55"/>
      <c r="AV123" s="55"/>
      <c r="AW123" s="55"/>
      <c r="AX123" s="55"/>
      <c r="AY123" s="55"/>
      <c r="AZ123" s="55"/>
    </row>
    <row r="124" spans="1:52">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c r="AH124" s="55"/>
      <c r="AI124" s="55"/>
      <c r="AJ124" s="55"/>
      <c r="AK124" s="55"/>
      <c r="AL124" s="55"/>
      <c r="AM124" s="55"/>
      <c r="AN124" s="55"/>
      <c r="AO124" s="55"/>
      <c r="AP124" s="55"/>
      <c r="AQ124" s="55"/>
      <c r="AR124" s="55"/>
      <c r="AS124" s="55"/>
      <c r="AT124" s="55"/>
      <c r="AU124" s="55"/>
      <c r="AV124" s="55"/>
      <c r="AW124" s="55"/>
      <c r="AX124" s="55"/>
      <c r="AY124" s="55"/>
      <c r="AZ124" s="55"/>
    </row>
    <row r="125" spans="1:52">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c r="AH125" s="55"/>
      <c r="AI125" s="55"/>
      <c r="AJ125" s="55"/>
      <c r="AK125" s="55"/>
      <c r="AL125" s="55"/>
      <c r="AM125" s="55"/>
      <c r="AN125" s="55"/>
      <c r="AO125" s="55"/>
      <c r="AP125" s="55"/>
      <c r="AQ125" s="55"/>
      <c r="AR125" s="55"/>
      <c r="AS125" s="55"/>
      <c r="AT125" s="55"/>
      <c r="AU125" s="55"/>
      <c r="AV125" s="55"/>
      <c r="AW125" s="55"/>
      <c r="AX125" s="55"/>
      <c r="AY125" s="55"/>
      <c r="AZ125" s="55"/>
    </row>
    <row r="126" spans="1:52">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c r="AH126" s="55"/>
      <c r="AI126" s="55"/>
      <c r="AJ126" s="55"/>
      <c r="AK126" s="55"/>
      <c r="AL126" s="55"/>
      <c r="AM126" s="55"/>
      <c r="AN126" s="55"/>
      <c r="AO126" s="55"/>
      <c r="AP126" s="55"/>
      <c r="AQ126" s="55"/>
      <c r="AR126" s="55"/>
      <c r="AS126" s="55"/>
      <c r="AT126" s="55"/>
      <c r="AU126" s="55"/>
      <c r="AV126" s="55"/>
      <c r="AW126" s="55"/>
      <c r="AX126" s="55"/>
      <c r="AY126" s="55"/>
      <c r="AZ126" s="55"/>
    </row>
    <row r="127" spans="1:52">
      <c r="A127" s="86" t="s">
        <v>140</v>
      </c>
      <c r="B127" s="86"/>
      <c r="C127" s="86"/>
      <c r="D127" s="86"/>
      <c r="E127" s="55"/>
      <c r="F127" s="86" t="s">
        <v>141</v>
      </c>
      <c r="G127" s="86"/>
      <c r="H127" s="86"/>
      <c r="I127" s="86"/>
      <c r="J127" s="86"/>
      <c r="K127" s="86"/>
      <c r="L127" s="86"/>
      <c r="M127" s="86"/>
      <c r="N127" s="55"/>
      <c r="O127" s="55"/>
      <c r="P127" s="55"/>
      <c r="Q127" s="55"/>
      <c r="R127" s="55"/>
      <c r="S127" s="55"/>
      <c r="T127" s="55"/>
      <c r="U127" s="55"/>
      <c r="V127" s="55"/>
      <c r="W127" s="55"/>
      <c r="X127" s="55"/>
      <c r="Y127" s="55"/>
      <c r="Z127" s="55"/>
      <c r="AA127" s="55"/>
      <c r="AB127" s="55"/>
      <c r="AC127" s="55"/>
      <c r="AD127" s="55"/>
      <c r="AE127" s="55"/>
      <c r="AF127" s="55"/>
      <c r="AG127" s="55"/>
      <c r="AH127" s="55"/>
      <c r="AI127" s="55"/>
      <c r="AJ127" s="55"/>
      <c r="AK127" s="55"/>
      <c r="AL127" s="55"/>
      <c r="AM127" s="55"/>
      <c r="AN127" s="55"/>
      <c r="AO127" s="55"/>
      <c r="AP127" s="55"/>
      <c r="AQ127" s="55"/>
      <c r="AR127" s="55"/>
      <c r="AS127" s="55"/>
      <c r="AT127" s="55"/>
      <c r="AU127" s="55"/>
      <c r="AV127" s="55"/>
      <c r="AW127" s="55"/>
      <c r="AX127" s="55"/>
      <c r="AY127" s="55"/>
      <c r="AZ127" s="55"/>
    </row>
    <row r="128" spans="1:52">
      <c r="A128" s="87" t="s">
        <v>92</v>
      </c>
      <c r="B128" s="87" t="s">
        <v>142</v>
      </c>
      <c r="C128" s="87" t="s">
        <v>49</v>
      </c>
      <c r="D128" s="87" t="s">
        <v>9</v>
      </c>
      <c r="E128" s="55"/>
      <c r="F128" s="87" t="s">
        <v>2</v>
      </c>
      <c r="G128" s="87" t="s">
        <v>3</v>
      </c>
      <c r="H128" s="87" t="s">
        <v>68</v>
      </c>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c r="AH128" s="55"/>
      <c r="AI128" s="55"/>
      <c r="AJ128" s="55"/>
      <c r="AK128" s="55"/>
      <c r="AL128" s="55"/>
      <c r="AM128" s="55"/>
      <c r="AN128" s="55"/>
      <c r="AO128" s="55"/>
      <c r="AP128" s="55"/>
      <c r="AQ128" s="55"/>
      <c r="AR128" s="55"/>
      <c r="AS128" s="55"/>
      <c r="AT128" s="55"/>
      <c r="AU128" s="55"/>
      <c r="AV128" s="55"/>
      <c r="AW128" s="55"/>
      <c r="AX128" s="55"/>
      <c r="AY128" s="55"/>
      <c r="AZ128" s="55"/>
    </row>
    <row r="129" spans="1:52" ht="45">
      <c r="A129" s="88" t="s">
        <v>143</v>
      </c>
      <c r="B129" s="89">
        <f>A4</f>
        <v>46023</v>
      </c>
      <c r="C129" s="89">
        <f>A4</f>
        <v>46023</v>
      </c>
      <c r="D129" s="90" t="s">
        <v>144</v>
      </c>
      <c r="E129" s="55"/>
      <c r="F129" s="55" t="s">
        <v>20</v>
      </c>
      <c r="G129" s="91">
        <f>Inputs!H8</f>
        <v>0.12</v>
      </c>
      <c r="H129" s="90" t="s">
        <v>145</v>
      </c>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c r="AH129" s="55"/>
      <c r="AI129" s="55"/>
      <c r="AJ129" s="55"/>
      <c r="AK129" s="55"/>
      <c r="AL129" s="55"/>
      <c r="AM129" s="55"/>
      <c r="AN129" s="55"/>
      <c r="AO129" s="55"/>
      <c r="AP129" s="55"/>
      <c r="AQ129" s="55"/>
      <c r="AR129" s="55"/>
      <c r="AS129" s="55"/>
      <c r="AT129" s="55"/>
      <c r="AU129" s="55"/>
      <c r="AV129" s="55"/>
      <c r="AW129" s="55"/>
      <c r="AX129" s="55"/>
      <c r="AY129" s="55"/>
      <c r="AZ129" s="55"/>
    </row>
    <row r="130" spans="1:52" ht="60">
      <c r="A130" s="88" t="s">
        <v>146</v>
      </c>
      <c r="B130" s="89">
        <f>A10</f>
        <v>46204</v>
      </c>
      <c r="C130" s="89">
        <f>A10</f>
        <v>46204</v>
      </c>
      <c r="D130" s="90" t="s">
        <v>147</v>
      </c>
      <c r="E130" s="55"/>
      <c r="F130" s="55" t="s">
        <v>24</v>
      </c>
      <c r="G130" s="91">
        <f>Inputs!H9</f>
        <v>0.1</v>
      </c>
      <c r="H130" s="90" t="s">
        <v>148</v>
      </c>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5"/>
      <c r="AI130" s="55"/>
      <c r="AJ130" s="55"/>
      <c r="AK130" s="55"/>
      <c r="AL130" s="55"/>
      <c r="AM130" s="55"/>
      <c r="AN130" s="55"/>
      <c r="AO130" s="55"/>
      <c r="AP130" s="55"/>
      <c r="AQ130" s="55"/>
      <c r="AR130" s="55"/>
      <c r="AS130" s="55"/>
      <c r="AT130" s="55"/>
      <c r="AU130" s="55"/>
      <c r="AV130" s="55"/>
      <c r="AW130" s="55"/>
      <c r="AX130" s="55"/>
      <c r="AY130" s="55"/>
      <c r="AZ130" s="55"/>
    </row>
    <row r="131" spans="1:52" ht="45">
      <c r="A131" s="88" t="s">
        <v>149</v>
      </c>
      <c r="B131" s="89">
        <f>A123</f>
        <v>49644</v>
      </c>
      <c r="C131" s="89">
        <f>A123</f>
        <v>49644</v>
      </c>
      <c r="D131" s="90" t="s">
        <v>150</v>
      </c>
      <c r="E131" s="55"/>
      <c r="F131" s="55" t="s">
        <v>115</v>
      </c>
      <c r="G131" s="92">
        <f>Inputs!B7</f>
        <v>10000000</v>
      </c>
      <c r="H131" s="90" t="s">
        <v>151</v>
      </c>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c r="AH131" s="55"/>
      <c r="AI131" s="55"/>
      <c r="AJ131" s="55"/>
      <c r="AK131" s="55"/>
      <c r="AL131" s="55"/>
      <c r="AM131" s="55"/>
      <c r="AN131" s="55"/>
      <c r="AO131" s="55"/>
      <c r="AP131" s="55"/>
      <c r="AQ131" s="55"/>
      <c r="AR131" s="55"/>
      <c r="AS131" s="55"/>
      <c r="AT131" s="55"/>
      <c r="AU131" s="55"/>
      <c r="AV131" s="55"/>
      <c r="AW131" s="55"/>
      <c r="AX131" s="55"/>
      <c r="AY131" s="55"/>
      <c r="AZ131" s="55"/>
    </row>
    <row r="132" spans="1:52" ht="45">
      <c r="A132" s="88" t="s">
        <v>152</v>
      </c>
      <c r="B132" s="93">
        <f>M10</f>
        <v>70000000</v>
      </c>
      <c r="C132" s="93">
        <f>M10</f>
        <v>70000000</v>
      </c>
      <c r="D132" s="90" t="s">
        <v>153</v>
      </c>
      <c r="E132" s="55"/>
      <c r="F132" s="55" t="s">
        <v>30</v>
      </c>
      <c r="G132" s="94" t="str">
        <f>Inputs!H11</f>
        <v>Month-end</v>
      </c>
      <c r="H132" s="90" t="s">
        <v>154</v>
      </c>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c r="AH132" s="55"/>
      <c r="AI132" s="55"/>
      <c r="AJ132" s="55"/>
      <c r="AK132" s="55"/>
      <c r="AL132" s="55"/>
      <c r="AM132" s="55"/>
      <c r="AN132" s="55"/>
      <c r="AO132" s="55"/>
      <c r="AP132" s="55"/>
      <c r="AQ132" s="55"/>
      <c r="AR132" s="55"/>
      <c r="AS132" s="55"/>
      <c r="AT132" s="55"/>
      <c r="AU132" s="55"/>
      <c r="AV132" s="55"/>
      <c r="AW132" s="55"/>
      <c r="AX132" s="55"/>
      <c r="AY132" s="55"/>
      <c r="AZ132" s="55"/>
    </row>
    <row r="133" spans="1:52" ht="45">
      <c r="A133" s="88" t="s">
        <v>155</v>
      </c>
      <c r="B133" s="93">
        <f>G10</f>
        <v>67802289.552339122</v>
      </c>
      <c r="C133" s="93">
        <f>L10</f>
        <v>72049605.577468768</v>
      </c>
      <c r="D133" s="90" t="s">
        <v>156</v>
      </c>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55"/>
      <c r="AM133" s="55"/>
      <c r="AN133" s="55"/>
      <c r="AO133" s="55"/>
      <c r="AP133" s="55"/>
      <c r="AQ133" s="55"/>
      <c r="AR133" s="55"/>
      <c r="AS133" s="55"/>
      <c r="AT133" s="55"/>
      <c r="AU133" s="55"/>
      <c r="AV133" s="55"/>
      <c r="AW133" s="55"/>
      <c r="AX133" s="55"/>
      <c r="AY133" s="55"/>
      <c r="AZ133" s="55"/>
    </row>
    <row r="134" spans="1:52" ht="45">
      <c r="A134" s="88" t="s">
        <v>157</v>
      </c>
      <c r="B134" s="93">
        <f>M123</f>
        <v>1200000000</v>
      </c>
      <c r="C134" s="93">
        <f>M123</f>
        <v>1200000000</v>
      </c>
      <c r="D134" s="90" t="s">
        <v>158</v>
      </c>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c r="AI134" s="55"/>
      <c r="AJ134" s="55"/>
      <c r="AK134" s="55"/>
      <c r="AL134" s="55"/>
      <c r="AM134" s="55"/>
      <c r="AN134" s="55"/>
      <c r="AO134" s="55"/>
      <c r="AP134" s="55"/>
      <c r="AQ134" s="55"/>
      <c r="AR134" s="55"/>
      <c r="AS134" s="55"/>
      <c r="AT134" s="55"/>
      <c r="AU134" s="55"/>
      <c r="AV134" s="55"/>
      <c r="AW134" s="55"/>
      <c r="AX134" s="55"/>
      <c r="AY134" s="55"/>
      <c r="AZ134" s="55"/>
    </row>
    <row r="135" spans="1:52" ht="45">
      <c r="A135" s="88" t="s">
        <v>159</v>
      </c>
      <c r="B135" s="93">
        <f>G123</f>
        <v>2207025865.6956167</v>
      </c>
      <c r="C135" s="93">
        <f>L123</f>
        <v>1999503667.1527081</v>
      </c>
      <c r="D135" s="90" t="s">
        <v>160</v>
      </c>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5"/>
      <c r="AK135" s="55"/>
      <c r="AL135" s="55"/>
      <c r="AM135" s="55"/>
      <c r="AN135" s="55"/>
      <c r="AO135" s="55"/>
      <c r="AP135" s="55"/>
      <c r="AQ135" s="55"/>
      <c r="AR135" s="55"/>
      <c r="AS135" s="55"/>
      <c r="AT135" s="55"/>
      <c r="AU135" s="55"/>
      <c r="AV135" s="55"/>
      <c r="AW135" s="55"/>
      <c r="AX135" s="55"/>
      <c r="AY135" s="55"/>
      <c r="AZ135" s="55"/>
    </row>
    <row r="136" spans="1:52" ht="30">
      <c r="A136" s="88" t="s">
        <v>161</v>
      </c>
      <c r="B136" s="93">
        <f>B135-B134</f>
        <v>1007025865.6956167</v>
      </c>
      <c r="C136" s="93">
        <f>C135-C134</f>
        <v>799503667.15270805</v>
      </c>
      <c r="D136" s="90" t="s">
        <v>162</v>
      </c>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c r="AH136" s="55"/>
      <c r="AI136" s="55"/>
      <c r="AJ136" s="55"/>
      <c r="AK136" s="55"/>
      <c r="AL136" s="55"/>
      <c r="AM136" s="55"/>
      <c r="AN136" s="55"/>
      <c r="AO136" s="55"/>
      <c r="AP136" s="55"/>
      <c r="AQ136" s="55"/>
      <c r="AR136" s="55"/>
      <c r="AS136" s="55"/>
      <c r="AT136" s="55"/>
      <c r="AU136" s="55"/>
      <c r="AV136" s="55"/>
      <c r="AW136" s="55"/>
      <c r="AX136" s="55"/>
      <c r="AY136" s="55"/>
      <c r="AZ136" s="55"/>
    </row>
    <row r="137" spans="1:52" ht="30">
      <c r="A137" s="88" t="s">
        <v>163</v>
      </c>
      <c r="B137" s="95">
        <f>B135/B134-1</f>
        <v>0.83918822141301397</v>
      </c>
      <c r="C137" s="95">
        <f>C135/C134-1</f>
        <v>0.66625305596059015</v>
      </c>
      <c r="D137" s="90" t="s">
        <v>164</v>
      </c>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c r="AH137" s="55"/>
      <c r="AI137" s="55"/>
      <c r="AJ137" s="55"/>
      <c r="AK137" s="55"/>
      <c r="AL137" s="55"/>
      <c r="AM137" s="55"/>
      <c r="AN137" s="55"/>
      <c r="AO137" s="55"/>
      <c r="AP137" s="55"/>
      <c r="AQ137" s="55"/>
      <c r="AR137" s="55"/>
      <c r="AS137" s="55"/>
      <c r="AT137" s="55"/>
      <c r="AU137" s="55"/>
      <c r="AV137" s="55"/>
      <c r="AW137" s="55"/>
      <c r="AX137" s="55"/>
      <c r="AY137" s="55"/>
      <c r="AZ137" s="55"/>
    </row>
    <row r="138" spans="1:52">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c r="AG138" s="55"/>
      <c r="AH138" s="55"/>
      <c r="AI138" s="55"/>
      <c r="AJ138" s="55"/>
      <c r="AK138" s="55"/>
      <c r="AL138" s="55"/>
      <c r="AM138" s="55"/>
      <c r="AN138" s="55"/>
      <c r="AO138" s="55"/>
      <c r="AP138" s="55"/>
      <c r="AQ138" s="55"/>
      <c r="AR138" s="55"/>
      <c r="AS138" s="55"/>
      <c r="AT138" s="55"/>
      <c r="AU138" s="55"/>
      <c r="AV138" s="55"/>
      <c r="AW138" s="55"/>
      <c r="AX138" s="55"/>
      <c r="AY138" s="55"/>
      <c r="AZ138" s="55"/>
    </row>
    <row r="139" spans="1:52">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c r="AG139" s="55"/>
      <c r="AH139" s="55"/>
      <c r="AI139" s="55"/>
      <c r="AJ139" s="55"/>
      <c r="AK139" s="55"/>
      <c r="AL139" s="55"/>
      <c r="AM139" s="55"/>
      <c r="AN139" s="55"/>
      <c r="AO139" s="55"/>
      <c r="AP139" s="55"/>
      <c r="AQ139" s="55"/>
      <c r="AR139" s="55"/>
      <c r="AS139" s="55"/>
      <c r="AT139" s="55"/>
      <c r="AU139" s="55"/>
      <c r="AV139" s="55"/>
      <c r="AW139" s="55"/>
      <c r="AX139" s="55"/>
      <c r="AY139" s="55"/>
      <c r="AZ139" s="55"/>
    </row>
    <row r="140" spans="1:52">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c r="AH140" s="55"/>
      <c r="AI140" s="55"/>
      <c r="AJ140" s="55"/>
      <c r="AK140" s="55"/>
      <c r="AL140" s="55"/>
      <c r="AM140" s="55"/>
      <c r="AN140" s="55"/>
      <c r="AO140" s="55"/>
      <c r="AP140" s="55"/>
      <c r="AQ140" s="55"/>
      <c r="AR140" s="55"/>
      <c r="AS140" s="55"/>
      <c r="AT140" s="55"/>
      <c r="AU140" s="55"/>
      <c r="AV140" s="55"/>
      <c r="AW140" s="55"/>
      <c r="AX140" s="55"/>
      <c r="AY140" s="55"/>
      <c r="AZ140" s="55"/>
    </row>
    <row r="141" spans="1:52">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5"/>
      <c r="AI141" s="55"/>
      <c r="AJ141" s="55"/>
      <c r="AK141" s="55"/>
      <c r="AL141" s="55"/>
      <c r="AM141" s="55"/>
      <c r="AN141" s="55"/>
      <c r="AO141" s="55"/>
      <c r="AP141" s="55"/>
      <c r="AQ141" s="55"/>
      <c r="AR141" s="55"/>
      <c r="AS141" s="55"/>
      <c r="AT141" s="55"/>
      <c r="AU141" s="55"/>
      <c r="AV141" s="55"/>
      <c r="AW141" s="55"/>
      <c r="AX141" s="55"/>
      <c r="AY141" s="55"/>
      <c r="AZ141" s="55"/>
    </row>
    <row r="142" spans="1:52">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5"/>
      <c r="AI142" s="55"/>
      <c r="AJ142" s="55"/>
      <c r="AK142" s="55"/>
      <c r="AL142" s="55"/>
      <c r="AM142" s="55"/>
      <c r="AN142" s="55"/>
      <c r="AO142" s="55"/>
      <c r="AP142" s="55"/>
      <c r="AQ142" s="55"/>
      <c r="AR142" s="55"/>
      <c r="AS142" s="55"/>
      <c r="AT142" s="55"/>
      <c r="AU142" s="55"/>
      <c r="AV142" s="55"/>
      <c r="AW142" s="55"/>
      <c r="AX142" s="55"/>
      <c r="AY142" s="55"/>
      <c r="AZ142" s="55"/>
    </row>
    <row r="143" spans="1:52">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c r="AI143" s="55"/>
      <c r="AJ143" s="55"/>
      <c r="AK143" s="55"/>
      <c r="AL143" s="55"/>
      <c r="AM143" s="55"/>
      <c r="AN143" s="55"/>
      <c r="AO143" s="55"/>
      <c r="AP143" s="55"/>
      <c r="AQ143" s="55"/>
      <c r="AR143" s="55"/>
      <c r="AS143" s="55"/>
      <c r="AT143" s="55"/>
      <c r="AU143" s="55"/>
      <c r="AV143" s="55"/>
      <c r="AW143" s="55"/>
      <c r="AX143" s="55"/>
      <c r="AY143" s="55"/>
      <c r="AZ143" s="55"/>
    </row>
    <row r="144" spans="1:52">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c r="AI144" s="55"/>
      <c r="AJ144" s="55"/>
      <c r="AK144" s="55"/>
      <c r="AL144" s="55"/>
      <c r="AM144" s="55"/>
      <c r="AN144" s="55"/>
      <c r="AO144" s="55"/>
      <c r="AP144" s="55"/>
      <c r="AQ144" s="55"/>
      <c r="AR144" s="55"/>
      <c r="AS144" s="55"/>
      <c r="AT144" s="55"/>
      <c r="AU144" s="55"/>
      <c r="AV144" s="55"/>
      <c r="AW144" s="55"/>
      <c r="AX144" s="55"/>
      <c r="AY144" s="55"/>
      <c r="AZ144" s="55"/>
    </row>
    <row r="145" spans="1:52">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c r="AH145" s="55"/>
      <c r="AI145" s="55"/>
      <c r="AJ145" s="55"/>
      <c r="AK145" s="55"/>
      <c r="AL145" s="55"/>
      <c r="AM145" s="55"/>
      <c r="AN145" s="55"/>
      <c r="AO145" s="55"/>
      <c r="AP145" s="55"/>
      <c r="AQ145" s="55"/>
      <c r="AR145" s="55"/>
      <c r="AS145" s="55"/>
      <c r="AT145" s="55"/>
      <c r="AU145" s="55"/>
      <c r="AV145" s="55"/>
      <c r="AW145" s="55"/>
      <c r="AX145" s="55"/>
      <c r="AY145" s="55"/>
      <c r="AZ145" s="55"/>
    </row>
    <row r="146" spans="1:52">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c r="AH146" s="55"/>
      <c r="AI146" s="55"/>
      <c r="AJ146" s="55"/>
      <c r="AK146" s="55"/>
      <c r="AL146" s="55"/>
      <c r="AM146" s="55"/>
      <c r="AN146" s="55"/>
      <c r="AO146" s="55"/>
      <c r="AP146" s="55"/>
      <c r="AQ146" s="55"/>
      <c r="AR146" s="55"/>
      <c r="AS146" s="55"/>
      <c r="AT146" s="55"/>
      <c r="AU146" s="55"/>
      <c r="AV146" s="55"/>
      <c r="AW146" s="55"/>
      <c r="AX146" s="55"/>
      <c r="AY146" s="55"/>
      <c r="AZ146" s="55"/>
    </row>
    <row r="147" spans="1:52">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c r="AH147" s="55"/>
      <c r="AI147" s="55"/>
      <c r="AJ147" s="55"/>
      <c r="AK147" s="55"/>
      <c r="AL147" s="55"/>
      <c r="AM147" s="55"/>
      <c r="AN147" s="55"/>
      <c r="AO147" s="55"/>
      <c r="AP147" s="55"/>
      <c r="AQ147" s="55"/>
      <c r="AR147" s="55"/>
      <c r="AS147" s="55"/>
      <c r="AT147" s="55"/>
      <c r="AU147" s="55"/>
      <c r="AV147" s="55"/>
      <c r="AW147" s="55"/>
      <c r="AX147" s="55"/>
      <c r="AY147" s="55"/>
      <c r="AZ147" s="55"/>
    </row>
    <row r="148" spans="1:52">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c r="AH148" s="55"/>
      <c r="AI148" s="55"/>
      <c r="AJ148" s="55"/>
      <c r="AK148" s="55"/>
      <c r="AL148" s="55"/>
      <c r="AM148" s="55"/>
      <c r="AN148" s="55"/>
      <c r="AO148" s="55"/>
      <c r="AP148" s="55"/>
      <c r="AQ148" s="55"/>
      <c r="AR148" s="55"/>
      <c r="AS148" s="55"/>
      <c r="AT148" s="55"/>
      <c r="AU148" s="55"/>
      <c r="AV148" s="55"/>
      <c r="AW148" s="55"/>
      <c r="AX148" s="55"/>
      <c r="AY148" s="55"/>
      <c r="AZ148" s="55"/>
    </row>
    <row r="149" spans="1:52">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c r="AI149" s="55"/>
      <c r="AJ149" s="55"/>
      <c r="AK149" s="55"/>
      <c r="AL149" s="55"/>
      <c r="AM149" s="55"/>
      <c r="AN149" s="55"/>
      <c r="AO149" s="55"/>
      <c r="AP149" s="55"/>
      <c r="AQ149" s="55"/>
      <c r="AR149" s="55"/>
      <c r="AS149" s="55"/>
      <c r="AT149" s="55"/>
      <c r="AU149" s="55"/>
      <c r="AV149" s="55"/>
      <c r="AW149" s="55"/>
      <c r="AX149" s="55"/>
      <c r="AY149" s="55"/>
      <c r="AZ149" s="55"/>
    </row>
    <row r="150" spans="1:52">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55"/>
      <c r="AM150" s="55"/>
      <c r="AN150" s="55"/>
      <c r="AO150" s="55"/>
      <c r="AP150" s="55"/>
      <c r="AQ150" s="55"/>
      <c r="AR150" s="55"/>
      <c r="AS150" s="55"/>
      <c r="AT150" s="55"/>
      <c r="AU150" s="55"/>
      <c r="AV150" s="55"/>
      <c r="AW150" s="55"/>
      <c r="AX150" s="55"/>
      <c r="AY150" s="55"/>
      <c r="AZ150" s="55"/>
    </row>
    <row r="151" spans="1:52">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c r="AL151" s="55"/>
      <c r="AM151" s="55"/>
      <c r="AN151" s="55"/>
      <c r="AO151" s="55"/>
      <c r="AP151" s="55"/>
      <c r="AQ151" s="55"/>
      <c r="AR151" s="55"/>
      <c r="AS151" s="55"/>
      <c r="AT151" s="55"/>
      <c r="AU151" s="55"/>
      <c r="AV151" s="55"/>
      <c r="AW151" s="55"/>
      <c r="AX151" s="55"/>
      <c r="AY151" s="55"/>
      <c r="AZ151" s="55"/>
    </row>
    <row r="152" spans="1:52">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c r="AJ152" s="55"/>
      <c r="AK152" s="55"/>
      <c r="AL152" s="55"/>
      <c r="AM152" s="55"/>
      <c r="AN152" s="55"/>
      <c r="AO152" s="55"/>
      <c r="AP152" s="55"/>
      <c r="AQ152" s="55"/>
      <c r="AR152" s="55"/>
      <c r="AS152" s="55"/>
      <c r="AT152" s="55"/>
      <c r="AU152" s="55"/>
      <c r="AV152" s="55"/>
      <c r="AW152" s="55"/>
      <c r="AX152" s="55"/>
      <c r="AY152" s="55"/>
      <c r="AZ152" s="55"/>
    </row>
    <row r="153" spans="1:52">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55"/>
      <c r="AM153" s="55"/>
      <c r="AN153" s="55"/>
      <c r="AO153" s="55"/>
      <c r="AP153" s="55"/>
      <c r="AQ153" s="55"/>
      <c r="AR153" s="55"/>
      <c r="AS153" s="55"/>
      <c r="AT153" s="55"/>
      <c r="AU153" s="55"/>
      <c r="AV153" s="55"/>
      <c r="AW153" s="55"/>
      <c r="AX153" s="55"/>
      <c r="AY153" s="55"/>
      <c r="AZ153" s="55"/>
    </row>
    <row r="154" spans="1:52">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c r="AO154" s="55"/>
      <c r="AP154" s="55"/>
      <c r="AQ154" s="55"/>
      <c r="AR154" s="55"/>
      <c r="AS154" s="55"/>
      <c r="AT154" s="55"/>
      <c r="AU154" s="55"/>
      <c r="AV154" s="55"/>
      <c r="AW154" s="55"/>
      <c r="AX154" s="55"/>
      <c r="AY154" s="55"/>
      <c r="AZ154" s="55"/>
    </row>
    <row r="155" spans="1:52">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c r="AJ155" s="55"/>
      <c r="AK155" s="55"/>
      <c r="AL155" s="55"/>
      <c r="AM155" s="55"/>
      <c r="AN155" s="55"/>
      <c r="AO155" s="55"/>
      <c r="AP155" s="55"/>
      <c r="AQ155" s="55"/>
      <c r="AR155" s="55"/>
      <c r="AS155" s="55"/>
      <c r="AT155" s="55"/>
      <c r="AU155" s="55"/>
      <c r="AV155" s="55"/>
      <c r="AW155" s="55"/>
      <c r="AX155" s="55"/>
      <c r="AY155" s="55"/>
      <c r="AZ155" s="55"/>
    </row>
    <row r="156" spans="1:52">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c r="AI156" s="55"/>
      <c r="AJ156" s="55"/>
      <c r="AK156" s="55"/>
      <c r="AL156" s="55"/>
      <c r="AM156" s="55"/>
      <c r="AN156" s="55"/>
      <c r="AO156" s="55"/>
      <c r="AP156" s="55"/>
      <c r="AQ156" s="55"/>
      <c r="AR156" s="55"/>
      <c r="AS156" s="55"/>
      <c r="AT156" s="55"/>
      <c r="AU156" s="55"/>
      <c r="AV156" s="55"/>
      <c r="AW156" s="55"/>
      <c r="AX156" s="55"/>
      <c r="AY156" s="55"/>
      <c r="AZ156" s="55"/>
    </row>
    <row r="157" spans="1:52">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55"/>
      <c r="AL157" s="55"/>
      <c r="AM157" s="55"/>
      <c r="AN157" s="55"/>
      <c r="AO157" s="55"/>
      <c r="AP157" s="55"/>
      <c r="AQ157" s="55"/>
      <c r="AR157" s="55"/>
      <c r="AS157" s="55"/>
      <c r="AT157" s="55"/>
      <c r="AU157" s="55"/>
      <c r="AV157" s="55"/>
      <c r="AW157" s="55"/>
      <c r="AX157" s="55"/>
      <c r="AY157" s="55"/>
      <c r="AZ157" s="55"/>
    </row>
    <row r="158" spans="1:52">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c r="AI158" s="55"/>
      <c r="AJ158" s="55"/>
      <c r="AK158" s="55"/>
      <c r="AL158" s="55"/>
      <c r="AM158" s="55"/>
      <c r="AN158" s="55"/>
      <c r="AO158" s="55"/>
      <c r="AP158" s="55"/>
      <c r="AQ158" s="55"/>
      <c r="AR158" s="55"/>
      <c r="AS158" s="55"/>
      <c r="AT158" s="55"/>
      <c r="AU158" s="55"/>
      <c r="AV158" s="55"/>
      <c r="AW158" s="55"/>
      <c r="AX158" s="55"/>
      <c r="AY158" s="55"/>
      <c r="AZ158" s="55"/>
    </row>
    <row r="159" spans="1:52">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c r="AH159" s="55"/>
      <c r="AI159" s="55"/>
      <c r="AJ159" s="55"/>
      <c r="AK159" s="55"/>
      <c r="AL159" s="55"/>
      <c r="AM159" s="55"/>
      <c r="AN159" s="55"/>
      <c r="AO159" s="55"/>
      <c r="AP159" s="55"/>
      <c r="AQ159" s="55"/>
      <c r="AR159" s="55"/>
      <c r="AS159" s="55"/>
      <c r="AT159" s="55"/>
      <c r="AU159" s="55"/>
      <c r="AV159" s="55"/>
      <c r="AW159" s="55"/>
      <c r="AX159" s="55"/>
      <c r="AY159" s="55"/>
      <c r="AZ159" s="55"/>
    </row>
    <row r="160" spans="1:52">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c r="AI160" s="55"/>
      <c r="AJ160" s="55"/>
      <c r="AK160" s="55"/>
      <c r="AL160" s="55"/>
      <c r="AM160" s="55"/>
      <c r="AN160" s="55"/>
      <c r="AO160" s="55"/>
      <c r="AP160" s="55"/>
      <c r="AQ160" s="55"/>
      <c r="AR160" s="55"/>
      <c r="AS160" s="55"/>
      <c r="AT160" s="55"/>
      <c r="AU160" s="55"/>
      <c r="AV160" s="55"/>
      <c r="AW160" s="55"/>
      <c r="AX160" s="55"/>
      <c r="AY160" s="55"/>
      <c r="AZ160" s="55"/>
    </row>
    <row r="161" spans="1:52">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c r="AH161" s="55"/>
      <c r="AI161" s="55"/>
      <c r="AJ161" s="55"/>
      <c r="AK161" s="55"/>
      <c r="AL161" s="55"/>
      <c r="AM161" s="55"/>
      <c r="AN161" s="55"/>
      <c r="AO161" s="55"/>
      <c r="AP161" s="55"/>
      <c r="AQ161" s="55"/>
      <c r="AR161" s="55"/>
      <c r="AS161" s="55"/>
      <c r="AT161" s="55"/>
      <c r="AU161" s="55"/>
      <c r="AV161" s="55"/>
      <c r="AW161" s="55"/>
      <c r="AX161" s="55"/>
      <c r="AY161" s="55"/>
      <c r="AZ161" s="55"/>
    </row>
    <row r="162" spans="1:52">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c r="AI162" s="55"/>
      <c r="AJ162" s="55"/>
      <c r="AK162" s="55"/>
      <c r="AL162" s="55"/>
      <c r="AM162" s="55"/>
      <c r="AN162" s="55"/>
      <c r="AO162" s="55"/>
      <c r="AP162" s="55"/>
      <c r="AQ162" s="55"/>
      <c r="AR162" s="55"/>
      <c r="AS162" s="55"/>
      <c r="AT162" s="55"/>
      <c r="AU162" s="55"/>
      <c r="AV162" s="55"/>
      <c r="AW162" s="55"/>
      <c r="AX162" s="55"/>
      <c r="AY162" s="55"/>
      <c r="AZ162" s="55"/>
    </row>
    <row r="163" spans="1:52">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c r="AH163" s="55"/>
      <c r="AI163" s="55"/>
      <c r="AJ163" s="55"/>
      <c r="AK163" s="55"/>
      <c r="AL163" s="55"/>
      <c r="AM163" s="55"/>
      <c r="AN163" s="55"/>
      <c r="AO163" s="55"/>
      <c r="AP163" s="55"/>
      <c r="AQ163" s="55"/>
      <c r="AR163" s="55"/>
      <c r="AS163" s="55"/>
      <c r="AT163" s="55"/>
      <c r="AU163" s="55"/>
      <c r="AV163" s="55"/>
      <c r="AW163" s="55"/>
      <c r="AX163" s="55"/>
      <c r="AY163" s="55"/>
      <c r="AZ163" s="55"/>
    </row>
    <row r="164" spans="1:52">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c r="AH164" s="55"/>
      <c r="AI164" s="55"/>
      <c r="AJ164" s="55"/>
      <c r="AK164" s="55"/>
      <c r="AL164" s="55"/>
      <c r="AM164" s="55"/>
      <c r="AN164" s="55"/>
      <c r="AO164" s="55"/>
      <c r="AP164" s="55"/>
      <c r="AQ164" s="55"/>
      <c r="AR164" s="55"/>
      <c r="AS164" s="55"/>
      <c r="AT164" s="55"/>
      <c r="AU164" s="55"/>
      <c r="AV164" s="55"/>
      <c r="AW164" s="55"/>
      <c r="AX164" s="55"/>
      <c r="AY164" s="55"/>
      <c r="AZ164" s="55"/>
    </row>
    <row r="165" spans="1:52">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c r="AI165" s="55"/>
      <c r="AJ165" s="55"/>
      <c r="AK165" s="55"/>
      <c r="AL165" s="55"/>
      <c r="AM165" s="55"/>
      <c r="AN165" s="55"/>
      <c r="AO165" s="55"/>
      <c r="AP165" s="55"/>
      <c r="AQ165" s="55"/>
      <c r="AR165" s="55"/>
      <c r="AS165" s="55"/>
      <c r="AT165" s="55"/>
      <c r="AU165" s="55"/>
      <c r="AV165" s="55"/>
      <c r="AW165" s="55"/>
      <c r="AX165" s="55"/>
      <c r="AY165" s="55"/>
      <c r="AZ165" s="55"/>
    </row>
    <row r="166" spans="1:52">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c r="AH166" s="55"/>
      <c r="AI166" s="55"/>
      <c r="AJ166" s="55"/>
      <c r="AK166" s="55"/>
      <c r="AL166" s="55"/>
      <c r="AM166" s="55"/>
      <c r="AN166" s="55"/>
      <c r="AO166" s="55"/>
      <c r="AP166" s="55"/>
      <c r="AQ166" s="55"/>
      <c r="AR166" s="55"/>
      <c r="AS166" s="55"/>
      <c r="AT166" s="55"/>
      <c r="AU166" s="55"/>
      <c r="AV166" s="55"/>
      <c r="AW166" s="55"/>
      <c r="AX166" s="55"/>
      <c r="AY166" s="55"/>
      <c r="AZ166" s="55"/>
    </row>
    <row r="167" spans="1:52">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c r="AI167" s="55"/>
      <c r="AJ167" s="55"/>
      <c r="AK167" s="55"/>
      <c r="AL167" s="55"/>
      <c r="AM167" s="55"/>
      <c r="AN167" s="55"/>
      <c r="AO167" s="55"/>
      <c r="AP167" s="55"/>
      <c r="AQ167" s="55"/>
      <c r="AR167" s="55"/>
      <c r="AS167" s="55"/>
      <c r="AT167" s="55"/>
      <c r="AU167" s="55"/>
      <c r="AV167" s="55"/>
      <c r="AW167" s="55"/>
      <c r="AX167" s="55"/>
      <c r="AY167" s="55"/>
      <c r="AZ167" s="55"/>
    </row>
    <row r="168" spans="1:52">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c r="AH168" s="55"/>
      <c r="AI168" s="55"/>
      <c r="AJ168" s="55"/>
      <c r="AK168" s="55"/>
      <c r="AL168" s="55"/>
      <c r="AM168" s="55"/>
      <c r="AN168" s="55"/>
      <c r="AO168" s="55"/>
      <c r="AP168" s="55"/>
      <c r="AQ168" s="55"/>
      <c r="AR168" s="55"/>
      <c r="AS168" s="55"/>
      <c r="AT168" s="55"/>
      <c r="AU168" s="55"/>
      <c r="AV168" s="55"/>
      <c r="AW168" s="55"/>
      <c r="AX168" s="55"/>
      <c r="AY168" s="55"/>
      <c r="AZ168" s="55"/>
    </row>
    <row r="169" spans="1:52">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c r="AI169" s="55"/>
      <c r="AJ169" s="55"/>
      <c r="AK169" s="55"/>
      <c r="AL169" s="55"/>
      <c r="AM169" s="55"/>
      <c r="AN169" s="55"/>
      <c r="AO169" s="55"/>
      <c r="AP169" s="55"/>
      <c r="AQ169" s="55"/>
      <c r="AR169" s="55"/>
      <c r="AS169" s="55"/>
      <c r="AT169" s="55"/>
      <c r="AU169" s="55"/>
      <c r="AV169" s="55"/>
      <c r="AW169" s="55"/>
      <c r="AX169" s="55"/>
      <c r="AY169" s="55"/>
      <c r="AZ169" s="55"/>
    </row>
    <row r="170" spans="1:52">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c r="AJ170" s="55"/>
      <c r="AK170" s="55"/>
      <c r="AL170" s="55"/>
      <c r="AM170" s="55"/>
      <c r="AN170" s="55"/>
      <c r="AO170" s="55"/>
      <c r="AP170" s="55"/>
      <c r="AQ170" s="55"/>
      <c r="AR170" s="55"/>
      <c r="AS170" s="55"/>
      <c r="AT170" s="55"/>
      <c r="AU170" s="55"/>
      <c r="AV170" s="55"/>
      <c r="AW170" s="55"/>
      <c r="AX170" s="55"/>
      <c r="AY170" s="55"/>
      <c r="AZ170" s="55"/>
    </row>
    <row r="171" spans="1:52">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c r="AH171" s="55"/>
      <c r="AI171" s="55"/>
      <c r="AJ171" s="55"/>
      <c r="AK171" s="55"/>
      <c r="AL171" s="55"/>
      <c r="AM171" s="55"/>
      <c r="AN171" s="55"/>
      <c r="AO171" s="55"/>
      <c r="AP171" s="55"/>
      <c r="AQ171" s="55"/>
      <c r="AR171" s="55"/>
      <c r="AS171" s="55"/>
      <c r="AT171" s="55"/>
      <c r="AU171" s="55"/>
      <c r="AV171" s="55"/>
      <c r="AW171" s="55"/>
      <c r="AX171" s="55"/>
      <c r="AY171" s="55"/>
      <c r="AZ171" s="55"/>
    </row>
    <row r="172" spans="1:52">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c r="AH172" s="55"/>
      <c r="AI172" s="55"/>
      <c r="AJ172" s="55"/>
      <c r="AK172" s="55"/>
      <c r="AL172" s="55"/>
      <c r="AM172" s="55"/>
      <c r="AN172" s="55"/>
      <c r="AO172" s="55"/>
      <c r="AP172" s="55"/>
      <c r="AQ172" s="55"/>
      <c r="AR172" s="55"/>
      <c r="AS172" s="55"/>
      <c r="AT172" s="55"/>
      <c r="AU172" s="55"/>
      <c r="AV172" s="55"/>
      <c r="AW172" s="55"/>
      <c r="AX172" s="55"/>
      <c r="AY172" s="55"/>
      <c r="AZ172" s="55"/>
    </row>
    <row r="173" spans="1:52">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c r="AH173" s="55"/>
      <c r="AI173" s="55"/>
      <c r="AJ173" s="55"/>
      <c r="AK173" s="55"/>
      <c r="AL173" s="55"/>
      <c r="AM173" s="55"/>
      <c r="AN173" s="55"/>
      <c r="AO173" s="55"/>
      <c r="AP173" s="55"/>
      <c r="AQ173" s="55"/>
      <c r="AR173" s="55"/>
      <c r="AS173" s="55"/>
      <c r="AT173" s="55"/>
      <c r="AU173" s="55"/>
      <c r="AV173" s="55"/>
      <c r="AW173" s="55"/>
      <c r="AX173" s="55"/>
      <c r="AY173" s="55"/>
      <c r="AZ173" s="55"/>
    </row>
    <row r="174" spans="1:52">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c r="AI174" s="55"/>
      <c r="AJ174" s="55"/>
      <c r="AK174" s="55"/>
      <c r="AL174" s="55"/>
      <c r="AM174" s="55"/>
      <c r="AN174" s="55"/>
      <c r="AO174" s="55"/>
      <c r="AP174" s="55"/>
      <c r="AQ174" s="55"/>
      <c r="AR174" s="55"/>
      <c r="AS174" s="55"/>
      <c r="AT174" s="55"/>
      <c r="AU174" s="55"/>
      <c r="AV174" s="55"/>
      <c r="AW174" s="55"/>
      <c r="AX174" s="55"/>
      <c r="AY174" s="55"/>
      <c r="AZ174" s="55"/>
    </row>
    <row r="175" spans="1:52">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c r="AH175" s="55"/>
      <c r="AI175" s="55"/>
      <c r="AJ175" s="55"/>
      <c r="AK175" s="55"/>
      <c r="AL175" s="55"/>
      <c r="AM175" s="55"/>
      <c r="AN175" s="55"/>
      <c r="AO175" s="55"/>
      <c r="AP175" s="55"/>
      <c r="AQ175" s="55"/>
      <c r="AR175" s="55"/>
      <c r="AS175" s="55"/>
      <c r="AT175" s="55"/>
      <c r="AU175" s="55"/>
      <c r="AV175" s="55"/>
      <c r="AW175" s="55"/>
      <c r="AX175" s="55"/>
      <c r="AY175" s="55"/>
      <c r="AZ175" s="55"/>
    </row>
    <row r="176" spans="1:52">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c r="AL176" s="55"/>
      <c r="AM176" s="55"/>
      <c r="AN176" s="55"/>
      <c r="AO176" s="55"/>
      <c r="AP176" s="55"/>
      <c r="AQ176" s="55"/>
      <c r="AR176" s="55"/>
      <c r="AS176" s="55"/>
      <c r="AT176" s="55"/>
      <c r="AU176" s="55"/>
      <c r="AV176" s="55"/>
      <c r="AW176" s="55"/>
      <c r="AX176" s="55"/>
      <c r="AY176" s="55"/>
      <c r="AZ176" s="55"/>
    </row>
    <row r="177" spans="1:52">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c r="AI177" s="55"/>
      <c r="AJ177" s="55"/>
      <c r="AK177" s="55"/>
      <c r="AL177" s="55"/>
      <c r="AM177" s="55"/>
      <c r="AN177" s="55"/>
      <c r="AO177" s="55"/>
      <c r="AP177" s="55"/>
      <c r="AQ177" s="55"/>
      <c r="AR177" s="55"/>
      <c r="AS177" s="55"/>
      <c r="AT177" s="55"/>
      <c r="AU177" s="55"/>
      <c r="AV177" s="55"/>
      <c r="AW177" s="55"/>
      <c r="AX177" s="55"/>
      <c r="AY177" s="55"/>
      <c r="AZ177" s="55"/>
    </row>
    <row r="178" spans="1:52">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c r="AI178" s="55"/>
      <c r="AJ178" s="55"/>
      <c r="AK178" s="55"/>
      <c r="AL178" s="55"/>
      <c r="AM178" s="55"/>
      <c r="AN178" s="55"/>
      <c r="AO178" s="55"/>
      <c r="AP178" s="55"/>
      <c r="AQ178" s="55"/>
      <c r="AR178" s="55"/>
      <c r="AS178" s="55"/>
      <c r="AT178" s="55"/>
      <c r="AU178" s="55"/>
      <c r="AV178" s="55"/>
      <c r="AW178" s="55"/>
      <c r="AX178" s="55"/>
      <c r="AY178" s="55"/>
      <c r="AZ178" s="55"/>
    </row>
    <row r="179" spans="1:52">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c r="AI179" s="55"/>
      <c r="AJ179" s="55"/>
      <c r="AK179" s="55"/>
      <c r="AL179" s="55"/>
      <c r="AM179" s="55"/>
      <c r="AN179" s="55"/>
      <c r="AO179" s="55"/>
      <c r="AP179" s="55"/>
      <c r="AQ179" s="55"/>
      <c r="AR179" s="55"/>
      <c r="AS179" s="55"/>
      <c r="AT179" s="55"/>
      <c r="AU179" s="55"/>
      <c r="AV179" s="55"/>
      <c r="AW179" s="55"/>
      <c r="AX179" s="55"/>
      <c r="AY179" s="55"/>
      <c r="AZ179" s="55"/>
    </row>
    <row r="180" spans="1:52">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c r="AJ180" s="55"/>
      <c r="AK180" s="55"/>
      <c r="AL180" s="55"/>
      <c r="AM180" s="55"/>
      <c r="AN180" s="55"/>
      <c r="AO180" s="55"/>
      <c r="AP180" s="55"/>
      <c r="AQ180" s="55"/>
      <c r="AR180" s="55"/>
      <c r="AS180" s="55"/>
      <c r="AT180" s="55"/>
      <c r="AU180" s="55"/>
      <c r="AV180" s="55"/>
      <c r="AW180" s="55"/>
      <c r="AX180" s="55"/>
      <c r="AY180" s="55"/>
      <c r="AZ180" s="55"/>
    </row>
    <row r="181" spans="1:52">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c r="AH181" s="55"/>
      <c r="AI181" s="55"/>
      <c r="AJ181" s="55"/>
      <c r="AK181" s="55"/>
      <c r="AL181" s="55"/>
      <c r="AM181" s="55"/>
      <c r="AN181" s="55"/>
      <c r="AO181" s="55"/>
      <c r="AP181" s="55"/>
      <c r="AQ181" s="55"/>
      <c r="AR181" s="55"/>
      <c r="AS181" s="55"/>
      <c r="AT181" s="55"/>
      <c r="AU181" s="55"/>
      <c r="AV181" s="55"/>
      <c r="AW181" s="55"/>
      <c r="AX181" s="55"/>
      <c r="AY181" s="55"/>
      <c r="AZ181" s="55"/>
    </row>
    <row r="182" spans="1:52">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c r="AH182" s="55"/>
      <c r="AI182" s="55"/>
      <c r="AJ182" s="55"/>
      <c r="AK182" s="55"/>
      <c r="AL182" s="55"/>
      <c r="AM182" s="55"/>
      <c r="AN182" s="55"/>
      <c r="AO182" s="55"/>
      <c r="AP182" s="55"/>
      <c r="AQ182" s="55"/>
      <c r="AR182" s="55"/>
      <c r="AS182" s="55"/>
      <c r="AT182" s="55"/>
      <c r="AU182" s="55"/>
      <c r="AV182" s="55"/>
      <c r="AW182" s="55"/>
      <c r="AX182" s="55"/>
      <c r="AY182" s="55"/>
      <c r="AZ182" s="55"/>
    </row>
    <row r="183" spans="1:52">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c r="AH183" s="55"/>
      <c r="AI183" s="55"/>
      <c r="AJ183" s="55"/>
      <c r="AK183" s="55"/>
      <c r="AL183" s="55"/>
      <c r="AM183" s="55"/>
      <c r="AN183" s="55"/>
      <c r="AO183" s="55"/>
      <c r="AP183" s="55"/>
      <c r="AQ183" s="55"/>
      <c r="AR183" s="55"/>
      <c r="AS183" s="55"/>
      <c r="AT183" s="55"/>
      <c r="AU183" s="55"/>
      <c r="AV183" s="55"/>
      <c r="AW183" s="55"/>
      <c r="AX183" s="55"/>
      <c r="AY183" s="55"/>
      <c r="AZ183" s="55"/>
    </row>
    <row r="184" spans="1:52">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c r="AH184" s="55"/>
      <c r="AI184" s="55"/>
      <c r="AJ184" s="55"/>
      <c r="AK184" s="55"/>
      <c r="AL184" s="55"/>
      <c r="AM184" s="55"/>
      <c r="AN184" s="55"/>
      <c r="AO184" s="55"/>
      <c r="AP184" s="55"/>
      <c r="AQ184" s="55"/>
      <c r="AR184" s="55"/>
      <c r="AS184" s="55"/>
      <c r="AT184" s="55"/>
      <c r="AU184" s="55"/>
      <c r="AV184" s="55"/>
      <c r="AW184" s="55"/>
      <c r="AX184" s="55"/>
      <c r="AY184" s="55"/>
      <c r="AZ184" s="55"/>
    </row>
    <row r="185" spans="1:52">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c r="AI185" s="55"/>
      <c r="AJ185" s="55"/>
      <c r="AK185" s="55"/>
      <c r="AL185" s="55"/>
      <c r="AM185" s="55"/>
      <c r="AN185" s="55"/>
      <c r="AO185" s="55"/>
      <c r="AP185" s="55"/>
      <c r="AQ185" s="55"/>
      <c r="AR185" s="55"/>
      <c r="AS185" s="55"/>
      <c r="AT185" s="55"/>
      <c r="AU185" s="55"/>
      <c r="AV185" s="55"/>
      <c r="AW185" s="55"/>
      <c r="AX185" s="55"/>
      <c r="AY185" s="55"/>
      <c r="AZ185" s="55"/>
    </row>
    <row r="186" spans="1:52">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c r="AH186" s="55"/>
      <c r="AI186" s="55"/>
      <c r="AJ186" s="55"/>
      <c r="AK186" s="55"/>
      <c r="AL186" s="55"/>
      <c r="AM186" s="55"/>
      <c r="AN186" s="55"/>
      <c r="AO186" s="55"/>
      <c r="AP186" s="55"/>
      <c r="AQ186" s="55"/>
      <c r="AR186" s="55"/>
      <c r="AS186" s="55"/>
      <c r="AT186" s="55"/>
      <c r="AU186" s="55"/>
      <c r="AV186" s="55"/>
      <c r="AW186" s="55"/>
      <c r="AX186" s="55"/>
      <c r="AY186" s="55"/>
      <c r="AZ186" s="55"/>
    </row>
    <row r="187" spans="1:52">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c r="AH187" s="55"/>
      <c r="AI187" s="55"/>
      <c r="AJ187" s="55"/>
      <c r="AK187" s="55"/>
      <c r="AL187" s="55"/>
      <c r="AM187" s="55"/>
      <c r="AN187" s="55"/>
      <c r="AO187" s="55"/>
      <c r="AP187" s="55"/>
      <c r="AQ187" s="55"/>
      <c r="AR187" s="55"/>
      <c r="AS187" s="55"/>
      <c r="AT187" s="55"/>
      <c r="AU187" s="55"/>
      <c r="AV187" s="55"/>
      <c r="AW187" s="55"/>
      <c r="AX187" s="55"/>
      <c r="AY187" s="55"/>
      <c r="AZ187" s="55"/>
    </row>
    <row r="188" spans="1:52">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c r="AH188" s="55"/>
      <c r="AI188" s="55"/>
      <c r="AJ188" s="55"/>
      <c r="AK188" s="55"/>
      <c r="AL188" s="55"/>
      <c r="AM188" s="55"/>
      <c r="AN188" s="55"/>
      <c r="AO188" s="55"/>
      <c r="AP188" s="55"/>
      <c r="AQ188" s="55"/>
      <c r="AR188" s="55"/>
      <c r="AS188" s="55"/>
      <c r="AT188" s="55"/>
      <c r="AU188" s="55"/>
      <c r="AV188" s="55"/>
      <c r="AW188" s="55"/>
      <c r="AX188" s="55"/>
      <c r="AY188" s="55"/>
      <c r="AZ188" s="55"/>
    </row>
    <row r="189" spans="1:52">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c r="AI189" s="55"/>
      <c r="AJ189" s="55"/>
      <c r="AK189" s="55"/>
      <c r="AL189" s="55"/>
      <c r="AM189" s="55"/>
      <c r="AN189" s="55"/>
      <c r="AO189" s="55"/>
      <c r="AP189" s="55"/>
      <c r="AQ189" s="55"/>
      <c r="AR189" s="55"/>
      <c r="AS189" s="55"/>
      <c r="AT189" s="55"/>
      <c r="AU189" s="55"/>
      <c r="AV189" s="55"/>
      <c r="AW189" s="55"/>
      <c r="AX189" s="55"/>
      <c r="AY189" s="55"/>
      <c r="AZ189" s="55"/>
    </row>
    <row r="190" spans="1:52">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c r="AH190" s="55"/>
      <c r="AI190" s="55"/>
      <c r="AJ190" s="55"/>
      <c r="AK190" s="55"/>
      <c r="AL190" s="55"/>
      <c r="AM190" s="55"/>
      <c r="AN190" s="55"/>
      <c r="AO190" s="55"/>
      <c r="AP190" s="55"/>
      <c r="AQ190" s="55"/>
      <c r="AR190" s="55"/>
      <c r="AS190" s="55"/>
      <c r="AT190" s="55"/>
      <c r="AU190" s="55"/>
      <c r="AV190" s="55"/>
      <c r="AW190" s="55"/>
      <c r="AX190" s="55"/>
      <c r="AY190" s="55"/>
      <c r="AZ190" s="55"/>
    </row>
    <row r="191" spans="1:52">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c r="AI191" s="55"/>
      <c r="AJ191" s="55"/>
      <c r="AK191" s="55"/>
      <c r="AL191" s="55"/>
      <c r="AM191" s="55"/>
      <c r="AN191" s="55"/>
      <c r="AO191" s="55"/>
      <c r="AP191" s="55"/>
      <c r="AQ191" s="55"/>
      <c r="AR191" s="55"/>
      <c r="AS191" s="55"/>
      <c r="AT191" s="55"/>
      <c r="AU191" s="55"/>
      <c r="AV191" s="55"/>
      <c r="AW191" s="55"/>
      <c r="AX191" s="55"/>
      <c r="AY191" s="55"/>
      <c r="AZ191" s="55"/>
    </row>
    <row r="192" spans="1:52">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c r="AI192" s="55"/>
      <c r="AJ192" s="55"/>
      <c r="AK192" s="55"/>
      <c r="AL192" s="55"/>
      <c r="AM192" s="55"/>
      <c r="AN192" s="55"/>
      <c r="AO192" s="55"/>
      <c r="AP192" s="55"/>
      <c r="AQ192" s="55"/>
      <c r="AR192" s="55"/>
      <c r="AS192" s="55"/>
      <c r="AT192" s="55"/>
      <c r="AU192" s="55"/>
      <c r="AV192" s="55"/>
      <c r="AW192" s="55"/>
      <c r="AX192" s="55"/>
      <c r="AY192" s="55"/>
      <c r="AZ192" s="55"/>
    </row>
    <row r="193" spans="1:52">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c r="AI193" s="55"/>
      <c r="AJ193" s="55"/>
      <c r="AK193" s="55"/>
      <c r="AL193" s="55"/>
      <c r="AM193" s="55"/>
      <c r="AN193" s="55"/>
      <c r="AO193" s="55"/>
      <c r="AP193" s="55"/>
      <c r="AQ193" s="55"/>
      <c r="AR193" s="55"/>
      <c r="AS193" s="55"/>
      <c r="AT193" s="55"/>
      <c r="AU193" s="55"/>
      <c r="AV193" s="55"/>
      <c r="AW193" s="55"/>
      <c r="AX193" s="55"/>
      <c r="AY193" s="55"/>
      <c r="AZ193" s="55"/>
    </row>
    <row r="194" spans="1:52">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c r="AH194" s="55"/>
      <c r="AI194" s="55"/>
      <c r="AJ194" s="55"/>
      <c r="AK194" s="55"/>
      <c r="AL194" s="55"/>
      <c r="AM194" s="55"/>
      <c r="AN194" s="55"/>
      <c r="AO194" s="55"/>
      <c r="AP194" s="55"/>
      <c r="AQ194" s="55"/>
      <c r="AR194" s="55"/>
      <c r="AS194" s="55"/>
      <c r="AT194" s="55"/>
      <c r="AU194" s="55"/>
      <c r="AV194" s="55"/>
      <c r="AW194" s="55"/>
      <c r="AX194" s="55"/>
      <c r="AY194" s="55"/>
      <c r="AZ194" s="55"/>
    </row>
    <row r="195" spans="1:52">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c r="AH195" s="55"/>
      <c r="AI195" s="55"/>
      <c r="AJ195" s="55"/>
      <c r="AK195" s="55"/>
      <c r="AL195" s="55"/>
      <c r="AM195" s="55"/>
      <c r="AN195" s="55"/>
      <c r="AO195" s="55"/>
      <c r="AP195" s="55"/>
      <c r="AQ195" s="55"/>
      <c r="AR195" s="55"/>
      <c r="AS195" s="55"/>
      <c r="AT195" s="55"/>
      <c r="AU195" s="55"/>
      <c r="AV195" s="55"/>
      <c r="AW195" s="55"/>
      <c r="AX195" s="55"/>
      <c r="AY195" s="55"/>
      <c r="AZ195" s="55"/>
    </row>
    <row r="196" spans="1:52">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c r="AH196" s="55"/>
      <c r="AI196" s="55"/>
      <c r="AJ196" s="55"/>
      <c r="AK196" s="55"/>
      <c r="AL196" s="55"/>
      <c r="AM196" s="55"/>
      <c r="AN196" s="55"/>
      <c r="AO196" s="55"/>
      <c r="AP196" s="55"/>
      <c r="AQ196" s="55"/>
      <c r="AR196" s="55"/>
      <c r="AS196" s="55"/>
      <c r="AT196" s="55"/>
      <c r="AU196" s="55"/>
      <c r="AV196" s="55"/>
      <c r="AW196" s="55"/>
      <c r="AX196" s="55"/>
      <c r="AY196" s="55"/>
      <c r="AZ196" s="55"/>
    </row>
    <row r="197" spans="1:52">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55"/>
      <c r="AL197" s="55"/>
      <c r="AM197" s="55"/>
      <c r="AN197" s="55"/>
      <c r="AO197" s="55"/>
      <c r="AP197" s="55"/>
      <c r="AQ197" s="55"/>
      <c r="AR197" s="55"/>
      <c r="AS197" s="55"/>
      <c r="AT197" s="55"/>
      <c r="AU197" s="55"/>
      <c r="AV197" s="55"/>
      <c r="AW197" s="55"/>
      <c r="AX197" s="55"/>
      <c r="AY197" s="55"/>
      <c r="AZ197" s="55"/>
    </row>
    <row r="198" spans="1:52">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c r="AI198" s="55"/>
      <c r="AJ198" s="55"/>
      <c r="AK198" s="55"/>
      <c r="AL198" s="55"/>
      <c r="AM198" s="55"/>
      <c r="AN198" s="55"/>
      <c r="AO198" s="55"/>
      <c r="AP198" s="55"/>
      <c r="AQ198" s="55"/>
      <c r="AR198" s="55"/>
      <c r="AS198" s="55"/>
      <c r="AT198" s="55"/>
      <c r="AU198" s="55"/>
      <c r="AV198" s="55"/>
      <c r="AW198" s="55"/>
      <c r="AX198" s="55"/>
      <c r="AY198" s="55"/>
      <c r="AZ198" s="55"/>
    </row>
    <row r="199" spans="1:52">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c r="AH199" s="55"/>
      <c r="AI199" s="55"/>
      <c r="AJ199" s="55"/>
      <c r="AK199" s="55"/>
      <c r="AL199" s="55"/>
      <c r="AM199" s="55"/>
      <c r="AN199" s="55"/>
      <c r="AO199" s="55"/>
      <c r="AP199" s="55"/>
      <c r="AQ199" s="55"/>
      <c r="AR199" s="55"/>
      <c r="AS199" s="55"/>
      <c r="AT199" s="55"/>
      <c r="AU199" s="55"/>
      <c r="AV199" s="55"/>
      <c r="AW199" s="55"/>
      <c r="AX199" s="55"/>
      <c r="AY199" s="55"/>
      <c r="AZ199" s="55"/>
    </row>
  </sheetData>
  <mergeCells count="3">
    <mergeCell ref="A1:K1"/>
    <mergeCell ref="A127:D127"/>
    <mergeCell ref="F127:M12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Z197"/>
  <sheetViews>
    <sheetView topLeftCell="A4" workbookViewId="0">
      <selection activeCell="A65" sqref="A65"/>
    </sheetView>
  </sheetViews>
  <sheetFormatPr baseColWidth="10" defaultColWidth="8.83203125" defaultRowHeight="14"/>
  <cols>
    <col min="1" max="1" width="22" customWidth="1"/>
    <col min="2" max="4" width="14" customWidth="1"/>
    <col min="6" max="18" width="12" customWidth="1"/>
  </cols>
  <sheetData>
    <row r="1" spans="1:52" ht="40" customHeight="1">
      <c r="A1" s="34" t="s">
        <v>165</v>
      </c>
      <c r="B1" s="34"/>
      <c r="C1" s="34"/>
      <c r="D1" s="34"/>
      <c r="E1" s="34"/>
      <c r="F1" s="34"/>
      <c r="G1" s="34"/>
      <c r="H1" s="34"/>
      <c r="I1" s="34"/>
      <c r="J1" s="34"/>
      <c r="K1" s="34"/>
      <c r="L1" s="34"/>
      <c r="M1" s="34"/>
      <c r="N1" s="34"/>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row>
    <row r="2" spans="1:52" ht="32" customHeight="1">
      <c r="A2" s="35" t="s">
        <v>166</v>
      </c>
      <c r="B2" s="35"/>
      <c r="C2" s="35"/>
      <c r="D2" s="35"/>
      <c r="E2" s="35"/>
      <c r="F2" s="35"/>
      <c r="G2" s="35"/>
      <c r="H2" s="35"/>
      <c r="I2" s="35"/>
      <c r="J2" s="35"/>
      <c r="K2" s="35"/>
      <c r="L2" s="35"/>
      <c r="M2" s="35"/>
      <c r="N2" s="3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row>
    <row r="3" spans="1:52">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row>
    <row r="4" spans="1:52">
      <c r="A4" s="39" t="s">
        <v>167</v>
      </c>
      <c r="B4" s="40"/>
      <c r="C4" s="41"/>
      <c r="D4" s="39" t="s">
        <v>168</v>
      </c>
      <c r="E4" s="40"/>
      <c r="F4" s="41"/>
      <c r="G4" s="39" t="s">
        <v>169</v>
      </c>
      <c r="H4" s="40"/>
      <c r="I4" s="41"/>
      <c r="J4" s="39" t="s">
        <v>170</v>
      </c>
      <c r="K4" s="40"/>
      <c r="L4" s="41"/>
      <c r="M4" s="39" t="s">
        <v>171</v>
      </c>
      <c r="N4" s="40"/>
      <c r="O4" s="41"/>
      <c r="P4" s="39" t="s">
        <v>172</v>
      </c>
      <c r="Q4" s="40"/>
      <c r="R4" s="41"/>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row>
    <row r="5" spans="1:52">
      <c r="A5" s="42"/>
      <c r="B5" s="43"/>
      <c r="C5" s="44"/>
      <c r="D5" s="42"/>
      <c r="E5" s="43"/>
      <c r="F5" s="44"/>
      <c r="G5" s="42"/>
      <c r="H5" s="43"/>
      <c r="I5" s="44"/>
      <c r="J5" s="42"/>
      <c r="K5" s="43"/>
      <c r="L5" s="44"/>
      <c r="M5" s="42"/>
      <c r="N5" s="43"/>
      <c r="O5" s="44"/>
      <c r="P5" s="42"/>
      <c r="Q5" s="43"/>
      <c r="R5" s="44"/>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row>
    <row r="6" spans="1:52">
      <c r="A6" s="42"/>
      <c r="B6" s="43"/>
      <c r="C6" s="44"/>
      <c r="D6" s="42"/>
      <c r="E6" s="43"/>
      <c r="F6" s="44"/>
      <c r="G6" s="42"/>
      <c r="H6" s="43"/>
      <c r="I6" s="44"/>
      <c r="J6" s="42"/>
      <c r="K6" s="43"/>
      <c r="L6" s="44"/>
      <c r="M6" s="42"/>
      <c r="N6" s="43"/>
      <c r="O6" s="44"/>
      <c r="P6" s="42"/>
      <c r="Q6" s="43"/>
      <c r="R6" s="44"/>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row>
    <row r="7" spans="1:52">
      <c r="A7" s="45"/>
      <c r="B7" s="46"/>
      <c r="C7" s="47"/>
      <c r="D7" s="45"/>
      <c r="E7" s="46"/>
      <c r="F7" s="47"/>
      <c r="G7" s="45"/>
      <c r="H7" s="46"/>
      <c r="I7" s="47"/>
      <c r="J7" s="45"/>
      <c r="K7" s="46"/>
      <c r="L7" s="47"/>
      <c r="M7" s="45"/>
      <c r="N7" s="46"/>
      <c r="O7" s="47"/>
      <c r="P7" s="45"/>
      <c r="Q7" s="46"/>
      <c r="R7" s="47"/>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row>
    <row r="8" spans="1:52">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row>
    <row r="9" spans="1:52">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row>
    <row r="10" spans="1:52" ht="29.25" customHeight="1">
      <c r="A10" s="1" t="s">
        <v>56</v>
      </c>
      <c r="B10" s="1" t="s">
        <v>60</v>
      </c>
      <c r="C10" s="1" t="s">
        <v>100</v>
      </c>
      <c r="D10" s="1" t="s">
        <v>97</v>
      </c>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row>
    <row r="11" spans="1:52">
      <c r="A11" s="5" t="s">
        <v>8</v>
      </c>
      <c r="B11" s="16">
        <v>0.10721501854431437</v>
      </c>
      <c r="C11" s="16">
        <v>0.16356869807236191</v>
      </c>
      <c r="D11" s="26">
        <v>0.38036017451695298</v>
      </c>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row>
    <row r="12" spans="1:52">
      <c r="A12" s="5" t="s">
        <v>11</v>
      </c>
      <c r="B12" s="16">
        <v>0.18445662415120223</v>
      </c>
      <c r="C12" s="16">
        <v>0.17356648770823721</v>
      </c>
      <c r="D12" s="26">
        <v>0.80347667336350581</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row>
    <row r="13" spans="1:52">
      <c r="A13" s="5" t="s">
        <v>15</v>
      </c>
      <c r="B13" s="16">
        <v>0.15474944324799322</v>
      </c>
      <c r="C13" s="16">
        <v>0.15564429417714104</v>
      </c>
      <c r="D13" s="26">
        <v>0.705129884961191</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row>
    <row r="14" spans="1:52">
      <c r="A14" s="5" t="s">
        <v>19</v>
      </c>
      <c r="B14" s="16">
        <v>0.19018240089565697</v>
      </c>
      <c r="C14" s="16">
        <v>0.14092401775090785</v>
      </c>
      <c r="D14" s="26">
        <v>1.030217582586072</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row>
    <row r="15" spans="1:52">
      <c r="A15" s="5" t="s">
        <v>23</v>
      </c>
      <c r="B15" s="16">
        <v>0.19692874678238659</v>
      </c>
      <c r="C15" s="16">
        <v>0.16975178281525288</v>
      </c>
      <c r="D15" s="26">
        <v>0.89500530870851736</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row>
    <row r="16" spans="1:52">
      <c r="A16" s="5" t="s">
        <v>49</v>
      </c>
      <c r="B16" s="16">
        <v>0.22174809205145851</v>
      </c>
      <c r="C16" s="16">
        <v>0.16111178311759972</v>
      </c>
      <c r="D16" s="26">
        <v>1.0970525471898318</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row>
    <row r="17" spans="1:52">
      <c r="A17" s="5" t="s">
        <v>173</v>
      </c>
      <c r="B17" s="16">
        <v>0.16979195762745389</v>
      </c>
      <c r="C17" s="16">
        <v>0.14675964173142048</v>
      </c>
      <c r="D17" s="26">
        <v>0.850315223962124</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row>
    <row r="18" spans="1:52">
      <c r="A18" s="5" t="s">
        <v>174</v>
      </c>
      <c r="B18" s="16">
        <v>0.1917357839014579</v>
      </c>
      <c r="C18" s="16">
        <v>0.15494997261898499</v>
      </c>
      <c r="D18" s="26">
        <v>0.94698812411070643</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row>
    <row r="19" spans="1:52">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row>
    <row r="20" spans="1:52">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row>
    <row r="21" spans="1:52">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row>
    <row r="22" spans="1:52" ht="29.25" customHeight="1">
      <c r="A22" s="1" t="s">
        <v>48</v>
      </c>
      <c r="B22" s="1" t="s">
        <v>8</v>
      </c>
      <c r="C22" s="1" t="s">
        <v>11</v>
      </c>
      <c r="D22" s="1" t="s">
        <v>15</v>
      </c>
      <c r="E22" s="1" t="s">
        <v>19</v>
      </c>
      <c r="F22" s="1" t="s">
        <v>23</v>
      </c>
      <c r="G22" s="1" t="s">
        <v>49</v>
      </c>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row>
    <row r="23" spans="1:52">
      <c r="A23" s="14">
        <v>45292</v>
      </c>
      <c r="B23" s="15">
        <v>100</v>
      </c>
      <c r="C23" s="15">
        <v>100</v>
      </c>
      <c r="D23" s="15">
        <v>100</v>
      </c>
      <c r="E23" s="15">
        <v>100</v>
      </c>
      <c r="F23" s="15">
        <v>100</v>
      </c>
      <c r="G23" s="15">
        <v>100</v>
      </c>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row>
    <row r="24" spans="1:52">
      <c r="A24" s="14">
        <v>45323</v>
      </c>
      <c r="B24" s="15">
        <v>104.28862647818931</v>
      </c>
      <c r="C24" s="15">
        <v>102.71557642637835</v>
      </c>
      <c r="D24" s="15">
        <v>106.35700147955893</v>
      </c>
      <c r="E24" s="15">
        <v>104.96611645877562</v>
      </c>
      <c r="F24" s="15">
        <v>104.53898339503458</v>
      </c>
      <c r="G24" s="15">
        <v>103.64931255080762</v>
      </c>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row>
    <row r="25" spans="1:52">
      <c r="A25" s="14">
        <v>45352</v>
      </c>
      <c r="B25" s="15">
        <v>108.36871542117072</v>
      </c>
      <c r="C25" s="15">
        <v>109.49488628271558</v>
      </c>
      <c r="D25" s="15">
        <v>112.86915387805347</v>
      </c>
      <c r="E25" s="15">
        <v>114.33112511261358</v>
      </c>
      <c r="F25" s="15">
        <v>112.44202232190115</v>
      </c>
      <c r="G25" s="15">
        <v>111.18297812179691</v>
      </c>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row>
    <row r="26" spans="1:52">
      <c r="A26" s="14">
        <v>45383</v>
      </c>
      <c r="B26" s="15">
        <v>114.05450854512262</v>
      </c>
      <c r="C26" s="15">
        <v>115.36476727584953</v>
      </c>
      <c r="D26" s="15">
        <v>119.06214147513727</v>
      </c>
      <c r="E26" s="15">
        <v>117.18753108418805</v>
      </c>
      <c r="F26" s="15">
        <v>117.93860505040395</v>
      </c>
      <c r="G26" s="15">
        <v>113.23648959106492</v>
      </c>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row>
    <row r="27" spans="1:52">
      <c r="A27" s="14">
        <v>45413</v>
      </c>
      <c r="B27" s="15">
        <v>109.17983236477772</v>
      </c>
      <c r="C27" s="15">
        <v>110.63896781340752</v>
      </c>
      <c r="D27" s="15">
        <v>115.56042055579611</v>
      </c>
      <c r="E27" s="15">
        <v>111.2677162109547</v>
      </c>
      <c r="F27" s="15">
        <v>112.26458776349645</v>
      </c>
      <c r="G27" s="15">
        <v>107.47888170218781</v>
      </c>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row>
    <row r="28" spans="1:52">
      <c r="A28" s="14">
        <v>45444</v>
      </c>
      <c r="B28" s="15">
        <v>116.7061908588789</v>
      </c>
      <c r="C28" s="15">
        <v>120.25626904533782</v>
      </c>
      <c r="D28" s="15">
        <v>124.95682984549009</v>
      </c>
      <c r="E28" s="15">
        <v>119.13141186868904</v>
      </c>
      <c r="F28" s="15">
        <v>120.30408711575951</v>
      </c>
      <c r="G28" s="15">
        <v>113.10218075142261</v>
      </c>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row>
    <row r="29" spans="1:52">
      <c r="A29" s="14">
        <v>45474</v>
      </c>
      <c r="B29" s="15">
        <v>117.90120732664712</v>
      </c>
      <c r="C29" s="15">
        <v>120.603068427545</v>
      </c>
      <c r="D29" s="15">
        <v>127.02543245375234</v>
      </c>
      <c r="E29" s="15">
        <v>118.91488829586179</v>
      </c>
      <c r="F29" s="15">
        <v>120.12794875136909</v>
      </c>
      <c r="G29" s="15">
        <v>110.85427490898809</v>
      </c>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row>
    <row r="30" spans="1:52">
      <c r="A30" s="14">
        <v>45505</v>
      </c>
      <c r="B30" s="15">
        <v>118.12697137070364</v>
      </c>
      <c r="C30" s="15">
        <v>115.98412230635162</v>
      </c>
      <c r="D30" s="15">
        <v>127.26607336048257</v>
      </c>
      <c r="E30" s="15">
        <v>118.54127411777745</v>
      </c>
      <c r="F30" s="15">
        <v>117.50077951667807</v>
      </c>
      <c r="G30" s="15">
        <v>108.41550913653553</v>
      </c>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row>
    <row r="31" spans="1:52" ht="29.25" customHeight="1">
      <c r="A31" s="14">
        <v>45536</v>
      </c>
      <c r="B31" s="15">
        <v>120.19926231830873</v>
      </c>
      <c r="C31" s="15">
        <v>122.24653196825979</v>
      </c>
      <c r="D31" s="15">
        <v>130.13312759920305</v>
      </c>
      <c r="E31" s="15">
        <v>121.65040341947383</v>
      </c>
      <c r="F31" s="15">
        <v>123.06692465728271</v>
      </c>
      <c r="G31" s="15">
        <v>112.73106422083201</v>
      </c>
      <c r="H31" s="5"/>
      <c r="I31" s="5"/>
      <c r="J31" s="1" t="s">
        <v>76</v>
      </c>
      <c r="K31" s="1" t="s">
        <v>175</v>
      </c>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row>
    <row r="32" spans="1:52">
      <c r="A32" s="14">
        <v>45566</v>
      </c>
      <c r="B32" s="15">
        <v>120.49683574194768</v>
      </c>
      <c r="C32" s="15">
        <v>122.62102676581402</v>
      </c>
      <c r="D32" s="15">
        <v>131.19661781462213</v>
      </c>
      <c r="E32" s="15">
        <v>124.51878124404959</v>
      </c>
      <c r="F32" s="15">
        <v>123.6298329133905</v>
      </c>
      <c r="G32" s="15">
        <v>114.18018591170961</v>
      </c>
      <c r="H32" s="5"/>
      <c r="I32" s="5"/>
      <c r="J32" s="5" t="s">
        <v>8</v>
      </c>
      <c r="K32" s="16">
        <v>0</v>
      </c>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row>
    <row r="33" spans="1:52">
      <c r="A33" s="14">
        <v>45597</v>
      </c>
      <c r="B33" s="15">
        <v>119.18038206461064</v>
      </c>
      <c r="C33" s="15">
        <v>120.42257804275314</v>
      </c>
      <c r="D33" s="15">
        <v>129.38811538728206</v>
      </c>
      <c r="E33" s="15">
        <v>122.35290606962289</v>
      </c>
      <c r="F33" s="15">
        <v>121.61151481153699</v>
      </c>
      <c r="G33" s="15">
        <v>110.88343406496307</v>
      </c>
      <c r="H33" s="5"/>
      <c r="I33" s="5"/>
      <c r="J33" s="5" t="s">
        <v>11</v>
      </c>
      <c r="K33" s="16">
        <v>0.20000000000000009</v>
      </c>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row>
    <row r="34" spans="1:52">
      <c r="A34" s="14">
        <v>45627</v>
      </c>
      <c r="B34" s="15">
        <v>118.96522490465418</v>
      </c>
      <c r="C34" s="15">
        <v>120.29374734288578</v>
      </c>
      <c r="D34" s="15">
        <v>129.89274832977287</v>
      </c>
      <c r="E34" s="15">
        <v>123.68235014934621</v>
      </c>
      <c r="F34" s="15">
        <v>120.14739166158391</v>
      </c>
      <c r="G34" s="15">
        <v>110.55826529530272</v>
      </c>
      <c r="H34" s="5"/>
      <c r="I34" s="5"/>
      <c r="J34" s="5" t="s">
        <v>15</v>
      </c>
      <c r="K34" s="16">
        <v>9.0205620750793969E-17</v>
      </c>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row>
    <row r="35" spans="1:52">
      <c r="A35" s="14">
        <v>45658</v>
      </c>
      <c r="B35" s="15">
        <v>122.23489370663373</v>
      </c>
      <c r="C35" s="15">
        <v>123.5145906758667</v>
      </c>
      <c r="D35" s="15">
        <v>133.48803728854801</v>
      </c>
      <c r="E35" s="15">
        <v>127.03624522902119</v>
      </c>
      <c r="F35" s="15">
        <v>123.09457679625487</v>
      </c>
      <c r="G35" s="15">
        <v>112.19294525147562</v>
      </c>
      <c r="H35" s="5"/>
      <c r="I35" s="5"/>
      <c r="J35" s="5" t="s">
        <v>19</v>
      </c>
      <c r="K35" s="16">
        <v>0.39999999999999997</v>
      </c>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row>
    <row r="36" spans="1:52">
      <c r="A36" s="14">
        <v>45689</v>
      </c>
      <c r="B36" s="15">
        <v>121.41007297845951</v>
      </c>
      <c r="C36" s="15">
        <v>122.33820288302294</v>
      </c>
      <c r="D36" s="15">
        <v>133.11844189755067</v>
      </c>
      <c r="E36" s="15">
        <v>125.14941725140464</v>
      </c>
      <c r="F36" s="15">
        <v>122.69837349254436</v>
      </c>
      <c r="G36" s="15">
        <v>110.71908245855865</v>
      </c>
      <c r="H36" s="5"/>
      <c r="I36" s="5"/>
      <c r="J36" s="5" t="s">
        <v>23</v>
      </c>
      <c r="K36" s="16">
        <v>0.4</v>
      </c>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row>
    <row r="37" spans="1:52">
      <c r="A37" s="14">
        <v>45717</v>
      </c>
      <c r="B37" s="15">
        <v>122.2275385680242</v>
      </c>
      <c r="C37" s="15">
        <v>123.60057386842007</v>
      </c>
      <c r="D37" s="15">
        <v>135.7267695511743</v>
      </c>
      <c r="E37" s="15">
        <v>128.68498608849367</v>
      </c>
      <c r="F37" s="15">
        <v>123.1960399832647</v>
      </c>
      <c r="G37" s="15">
        <v>115.69734563319547</v>
      </c>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row>
    <row r="38" spans="1:52">
      <c r="A38" s="14">
        <v>45748</v>
      </c>
      <c r="B38" s="15">
        <v>117.46469920579987</v>
      </c>
      <c r="C38" s="15">
        <v>121.09545833106453</v>
      </c>
      <c r="D38" s="15">
        <v>131.99340150729248</v>
      </c>
      <c r="E38" s="15">
        <v>124.75857355193865</v>
      </c>
      <c r="F38" s="15">
        <v>119.49144547955939</v>
      </c>
      <c r="G38" s="15">
        <v>116.40069981974339</v>
      </c>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row>
    <row r="39" spans="1:52">
      <c r="A39" s="14">
        <v>45778</v>
      </c>
      <c r="B39" s="15">
        <v>107.78870467492611</v>
      </c>
      <c r="C39" s="15">
        <v>116.19147390723309</v>
      </c>
      <c r="D39" s="15">
        <v>120.30311989398454</v>
      </c>
      <c r="E39" s="15">
        <v>119.50840090147697</v>
      </c>
      <c r="F39" s="15">
        <v>111.77678674944066</v>
      </c>
      <c r="G39" s="15">
        <v>109.57215565687626</v>
      </c>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row>
    <row r="40" spans="1:52">
      <c r="A40" s="14">
        <v>45809</v>
      </c>
      <c r="B40" s="15">
        <v>114.2226702404898</v>
      </c>
      <c r="C40" s="15">
        <v>129.47321530273317</v>
      </c>
      <c r="D40" s="15">
        <v>128.08741825469605</v>
      </c>
      <c r="E40" s="15">
        <v>126.83716432629375</v>
      </c>
      <c r="F40" s="15">
        <v>118.84493270952797</v>
      </c>
      <c r="G40" s="15">
        <v>118.07690948291096</v>
      </c>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row>
    <row r="41" spans="1:52">
      <c r="A41" s="14">
        <v>45839</v>
      </c>
      <c r="B41" s="15">
        <v>120.58169081474807</v>
      </c>
      <c r="C41" s="15">
        <v>134.22322171090019</v>
      </c>
      <c r="D41" s="15">
        <v>133.93367101987528</v>
      </c>
      <c r="E41" s="15">
        <v>132.67328280287722</v>
      </c>
      <c r="F41" s="15">
        <v>124.88951746297384</v>
      </c>
      <c r="G41" s="15">
        <v>121.74742869260947</v>
      </c>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row>
    <row r="42" spans="1:52">
      <c r="A42" s="14">
        <v>45870</v>
      </c>
      <c r="B42" s="15">
        <v>126.26082560269555</v>
      </c>
      <c r="C42" s="15">
        <v>148.04497820389011</v>
      </c>
      <c r="D42" s="15">
        <v>138.88469905823655</v>
      </c>
      <c r="E42" s="15">
        <v>141.13908806452437</v>
      </c>
      <c r="F42" s="15">
        <v>136.59033284101966</v>
      </c>
      <c r="G42" s="15">
        <v>132.11836850104265</v>
      </c>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row>
    <row r="43" spans="1:52">
      <c r="A43" s="14">
        <v>45901</v>
      </c>
      <c r="B43" s="15">
        <v>143.09658303486955</v>
      </c>
      <c r="C43" s="15">
        <v>166.89624335806758</v>
      </c>
      <c r="D43" s="15">
        <v>154.4893690224053</v>
      </c>
      <c r="E43" s="15">
        <v>155.84720220992591</v>
      </c>
      <c r="F43" s="15">
        <v>156.90601369212945</v>
      </c>
      <c r="G43" s="15">
        <v>148.56148163856784</v>
      </c>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row>
    <row r="44" spans="1:52">
      <c r="A44" s="14">
        <v>45931</v>
      </c>
      <c r="B44" s="15">
        <v>136.32904257773609</v>
      </c>
      <c r="C44" s="15">
        <v>162.4990273995021</v>
      </c>
      <c r="D44" s="15">
        <v>151.41898989687564</v>
      </c>
      <c r="E44" s="15">
        <v>152.85981635106447</v>
      </c>
      <c r="F44" s="15">
        <v>155.29830104970114</v>
      </c>
      <c r="G44" s="15">
        <v>147.12561410949704</v>
      </c>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row>
    <row r="45" spans="1:52">
      <c r="A45" s="14">
        <v>45962</v>
      </c>
      <c r="B45" s="15">
        <v>133.31103564996974</v>
      </c>
      <c r="C45" s="15">
        <v>156.95771474298547</v>
      </c>
      <c r="D45" s="15">
        <v>149.79225998375233</v>
      </c>
      <c r="E45" s="15">
        <v>150.74715730659597</v>
      </c>
      <c r="F45" s="15">
        <v>150.61968875501285</v>
      </c>
      <c r="G45" s="15">
        <v>142.87986427738309</v>
      </c>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spans="1:52">
      <c r="A46" s="14">
        <v>45992</v>
      </c>
      <c r="B46" s="15">
        <v>130.58963436444634</v>
      </c>
      <c r="C46" s="15">
        <v>157.52513707789706</v>
      </c>
      <c r="D46" s="15">
        <v>149.47469771080443</v>
      </c>
      <c r="E46" s="15">
        <v>151.2901181412295</v>
      </c>
      <c r="F46" s="15">
        <v>153.8075339116759</v>
      </c>
      <c r="G46" s="15">
        <v>150.36139681193228</v>
      </c>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row>
    <row r="47" spans="1:52">
      <c r="A47" s="14">
        <v>46023</v>
      </c>
      <c r="B47" s="15">
        <v>129.79570521843215</v>
      </c>
      <c r="C47" s="15">
        <v>163.9802771027926</v>
      </c>
      <c r="D47" s="15">
        <v>146.32209906373092</v>
      </c>
      <c r="E47" s="15">
        <v>156.02681552973141</v>
      </c>
      <c r="F47" s="15">
        <v>160.70270998163005</v>
      </c>
      <c r="G47" s="15">
        <v>158.02495316862829</v>
      </c>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row>
    <row r="48" spans="1:52">
      <c r="A48" s="14">
        <v>46054</v>
      </c>
      <c r="B48" s="15">
        <v>142.34992033223551</v>
      </c>
      <c r="C48" s="15">
        <v>166.63820277685215</v>
      </c>
      <c r="D48" s="15">
        <v>159.42224597307489</v>
      </c>
      <c r="E48" s="15">
        <v>167.38185166554408</v>
      </c>
      <c r="F48" s="15">
        <v>168.35932802421868</v>
      </c>
      <c r="G48" s="15">
        <v>159.62428869331637</v>
      </c>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row>
    <row r="49" spans="1:52">
      <c r="A49" s="14">
        <v>46082</v>
      </c>
      <c r="B49" s="15">
        <v>146.50658013926761</v>
      </c>
      <c r="C49" s="15">
        <v>170.32891263340173</v>
      </c>
      <c r="D49" s="15">
        <v>160.57416959591427</v>
      </c>
      <c r="E49" s="15">
        <v>165.83936544205622</v>
      </c>
      <c r="F49" s="15">
        <v>171.38133235782732</v>
      </c>
      <c r="G49" s="15">
        <v>163.12338741031351</v>
      </c>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row>
    <row r="50" spans="1:52">
      <c r="A50" s="14">
        <v>46113</v>
      </c>
      <c r="B50" s="15">
        <v>138.15396860052616</v>
      </c>
      <c r="C50" s="15">
        <v>154.56080243294971</v>
      </c>
      <c r="D50" s="15">
        <v>149.86734988886957</v>
      </c>
      <c r="E50" s="15">
        <v>157.88621837228271</v>
      </c>
      <c r="F50" s="15">
        <v>157.15193050095738</v>
      </c>
      <c r="G50" s="15">
        <v>150.47273177110947</v>
      </c>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row>
    <row r="51" spans="1:52">
      <c r="A51" s="14">
        <v>46143</v>
      </c>
      <c r="B51" s="15">
        <v>133.50145631744468</v>
      </c>
      <c r="C51" s="15">
        <v>157.21469361605509</v>
      </c>
      <c r="D51" s="15">
        <v>148.31086959081233</v>
      </c>
      <c r="E51" s="15">
        <v>157.99112306638588</v>
      </c>
      <c r="F51" s="15">
        <v>159.63651839407322</v>
      </c>
      <c r="G51" s="15">
        <v>163.82674159686141</v>
      </c>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row>
    <row r="52" spans="1:52">
      <c r="A52" s="14">
        <v>46174</v>
      </c>
      <c r="B52" s="15">
        <v>131.2814432175557</v>
      </c>
      <c r="C52" s="15">
        <v>153.36008635630711</v>
      </c>
      <c r="D52" s="15">
        <v>144.64840525524681</v>
      </c>
      <c r="E52" s="15">
        <v>155.19212514955936</v>
      </c>
      <c r="F52" s="15">
        <v>156.53983888308403</v>
      </c>
      <c r="G52" s="15">
        <v>162.9855441275227</v>
      </c>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row>
    <row r="53" spans="1:52">
      <c r="A53" s="14">
        <v>46204</v>
      </c>
      <c r="B53" s="15">
        <v>128.99709201046133</v>
      </c>
      <c r="C53" s="15">
        <v>152.68553766948085</v>
      </c>
      <c r="D53" s="15">
        <v>143.29116176118532</v>
      </c>
      <c r="E53" s="15">
        <v>154.53747438662904</v>
      </c>
      <c r="F53" s="15">
        <v>156.73671635170354</v>
      </c>
      <c r="G53" s="15">
        <v>164.98868978192485</v>
      </c>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row>
    <row r="54" spans="1:52">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row>
    <row r="55" spans="1:52">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row>
    <row r="56" spans="1:52">
      <c r="A56" s="36" t="s">
        <v>176</v>
      </c>
      <c r="B56" s="36"/>
      <c r="C56" s="36"/>
      <c r="D56" s="36"/>
      <c r="E56" s="36"/>
      <c r="F56" s="36"/>
      <c r="G56" s="36"/>
      <c r="H56" s="36"/>
      <c r="I56" s="36"/>
      <c r="J56" s="36"/>
      <c r="K56" s="36"/>
      <c r="L56" s="36"/>
      <c r="M56" s="36"/>
      <c r="N56" s="36"/>
      <c r="O56" s="36"/>
      <c r="P56" s="36"/>
      <c r="Q56" s="36"/>
      <c r="R56" s="36"/>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row>
    <row r="57" spans="1:52" ht="36" customHeight="1">
      <c r="A57" s="48" t="s">
        <v>177</v>
      </c>
      <c r="B57" s="48"/>
      <c r="C57" s="48"/>
      <c r="D57" s="48"/>
      <c r="E57" s="48"/>
      <c r="F57" s="48"/>
      <c r="G57" s="48"/>
      <c r="H57" s="48"/>
      <c r="I57" s="48"/>
      <c r="J57" s="48"/>
      <c r="K57" s="48"/>
      <c r="L57" s="48"/>
      <c r="M57" s="48"/>
      <c r="N57" s="48"/>
      <c r="O57" s="48"/>
      <c r="P57" s="48"/>
      <c r="Q57" s="48"/>
      <c r="R57" s="48"/>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row>
    <row r="58" spans="1:52" ht="36" customHeight="1">
      <c r="A58" s="48"/>
      <c r="B58" s="48"/>
      <c r="C58" s="48"/>
      <c r="D58" s="48"/>
      <c r="E58" s="48"/>
      <c r="F58" s="48"/>
      <c r="G58" s="48"/>
      <c r="H58" s="48"/>
      <c r="I58" s="48"/>
      <c r="J58" s="48"/>
      <c r="K58" s="48"/>
      <c r="L58" s="48"/>
      <c r="M58" s="48"/>
      <c r="N58" s="48"/>
      <c r="O58" s="48"/>
      <c r="P58" s="48"/>
      <c r="Q58" s="48"/>
      <c r="R58" s="48"/>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row>
    <row r="59" spans="1:52" ht="36" customHeight="1">
      <c r="A59" s="48"/>
      <c r="B59" s="48"/>
      <c r="C59" s="48"/>
      <c r="D59" s="48"/>
      <c r="E59" s="48"/>
      <c r="F59" s="48"/>
      <c r="G59" s="48"/>
      <c r="H59" s="48"/>
      <c r="I59" s="48"/>
      <c r="J59" s="48"/>
      <c r="K59" s="48"/>
      <c r="L59" s="48"/>
      <c r="M59" s="48"/>
      <c r="N59" s="48"/>
      <c r="O59" s="48"/>
      <c r="P59" s="48"/>
      <c r="Q59" s="48"/>
      <c r="R59" s="48"/>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row>
    <row r="60" spans="1:52" ht="36" customHeight="1">
      <c r="A60" s="48"/>
      <c r="B60" s="48"/>
      <c r="C60" s="48"/>
      <c r="D60" s="48"/>
      <c r="E60" s="48"/>
      <c r="F60" s="48"/>
      <c r="G60" s="48"/>
      <c r="H60" s="48"/>
      <c r="I60" s="48"/>
      <c r="J60" s="48"/>
      <c r="K60" s="48"/>
      <c r="L60" s="48"/>
      <c r="M60" s="48"/>
      <c r="N60" s="48"/>
      <c r="O60" s="48"/>
      <c r="P60" s="48"/>
      <c r="Q60" s="48"/>
      <c r="R60" s="48"/>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row>
    <row r="61" spans="1:52" ht="36" customHeight="1">
      <c r="A61" s="48"/>
      <c r="B61" s="48"/>
      <c r="C61" s="48"/>
      <c r="D61" s="48"/>
      <c r="E61" s="48"/>
      <c r="F61" s="48"/>
      <c r="G61" s="48"/>
      <c r="H61" s="48"/>
      <c r="I61" s="48"/>
      <c r="J61" s="48"/>
      <c r="K61" s="48"/>
      <c r="L61" s="48"/>
      <c r="M61" s="48"/>
      <c r="N61" s="48"/>
      <c r="O61" s="48"/>
      <c r="P61" s="48"/>
      <c r="Q61" s="48"/>
      <c r="R61" s="48"/>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row>
    <row r="62" spans="1:5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row>
    <row r="63" spans="1:5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row>
    <row r="64" spans="1:5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row>
    <row r="65" spans="1:5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row>
    <row r="66" spans="1:5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row>
    <row r="67" spans="1:5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row>
    <row r="68" spans="1:5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row>
    <row r="69" spans="1:5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row>
    <row r="70" spans="1:5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row>
    <row r="71" spans="1:5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row>
    <row r="72" spans="1:5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row>
    <row r="73" spans="1:5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row>
    <row r="74" spans="1:5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row>
    <row r="75" spans="1:5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row>
    <row r="76" spans="1:5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row>
    <row r="77" spans="1:5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row>
    <row r="78" spans="1:5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row>
    <row r="79" spans="1:5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row>
    <row r="80" spans="1:5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row>
    <row r="81" spans="1:5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row>
    <row r="82" spans="1:5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row>
    <row r="83" spans="1:5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row>
    <row r="84" spans="1:5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row>
    <row r="85" spans="1:5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row>
    <row r="86" spans="1:5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row>
    <row r="87" spans="1:5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row>
    <row r="88" spans="1:5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row>
    <row r="89" spans="1:5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row>
    <row r="90" spans="1:5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row>
    <row r="91" spans="1:5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row>
    <row r="92" spans="1:5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row>
    <row r="93" spans="1:5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row>
    <row r="94" spans="1:5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row>
    <row r="95" spans="1:5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row>
    <row r="96" spans="1:5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row>
    <row r="97" spans="1:5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row>
    <row r="98" spans="1:5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row>
    <row r="99" spans="1:5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row>
    <row r="100" spans="1:5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row>
    <row r="101" spans="1:5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row>
    <row r="102" spans="1:5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row>
    <row r="103" spans="1:5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row>
    <row r="104" spans="1:5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row>
    <row r="105" spans="1:5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row>
    <row r="106" spans="1:5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row>
    <row r="107" spans="1:5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row>
    <row r="108" spans="1:5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row>
    <row r="109" spans="1:5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row>
    <row r="110" spans="1:5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row>
    <row r="111" spans="1:5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row>
    <row r="112" spans="1:5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row>
    <row r="113" spans="1:5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row>
    <row r="114" spans="1:5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row>
    <row r="115" spans="1:5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row>
    <row r="116" spans="1:5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row>
    <row r="117" spans="1:5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row>
    <row r="118" spans="1:5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row>
    <row r="119" spans="1:5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row>
    <row r="120" spans="1:5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row>
    <row r="121" spans="1:5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row>
    <row r="122" spans="1:5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row>
    <row r="123" spans="1:5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row>
    <row r="124" spans="1:5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row>
    <row r="125" spans="1:5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row>
    <row r="126" spans="1:5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row>
    <row r="127" spans="1:5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row>
    <row r="128" spans="1:5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row>
    <row r="129" spans="1:5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row>
    <row r="130" spans="1:5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row>
    <row r="131" spans="1:5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row>
    <row r="132" spans="1:5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row>
    <row r="133" spans="1:5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row>
    <row r="134" spans="1:5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row>
    <row r="135" spans="1:5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row>
    <row r="136" spans="1:5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row>
    <row r="137" spans="1:5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row>
    <row r="138" spans="1:5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row>
    <row r="139" spans="1:5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row>
    <row r="140" spans="1:5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row>
    <row r="141" spans="1:5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row>
    <row r="142" spans="1:5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row>
    <row r="143" spans="1:5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row>
    <row r="144" spans="1:5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row>
    <row r="145" spans="1:5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row>
    <row r="146" spans="1:5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row>
    <row r="147" spans="1:5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row>
    <row r="148" spans="1:5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row>
    <row r="149" spans="1:5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row>
    <row r="150" spans="1:5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row>
    <row r="151" spans="1:5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row>
    <row r="152" spans="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row>
    <row r="153" spans="1:5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row>
    <row r="154" spans="1:5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row>
    <row r="155" spans="1:5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row>
    <row r="156" spans="1:5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row>
    <row r="157" spans="1:5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row>
    <row r="158" spans="1:5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row>
    <row r="159" spans="1:5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row>
    <row r="160" spans="1:5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row>
    <row r="161" spans="1:5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row>
    <row r="162" spans="1:5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row>
    <row r="163" spans="1:5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row>
    <row r="164" spans="1:5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row>
    <row r="165" spans="1:5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row>
    <row r="166" spans="1:5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row>
    <row r="167" spans="1:5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row>
    <row r="168" spans="1:5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row>
    <row r="169" spans="1:5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row>
    <row r="170" spans="1:5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row>
    <row r="171" spans="1:5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row>
    <row r="172" spans="1:5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row>
    <row r="173" spans="1:5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row>
    <row r="174" spans="1:5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row>
    <row r="175" spans="1:5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row>
    <row r="176" spans="1:5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row>
    <row r="177" spans="1:5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row>
    <row r="178" spans="1:5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row>
    <row r="179" spans="1:5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row>
    <row r="180" spans="1:5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row>
    <row r="181" spans="1:5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row>
    <row r="182" spans="1:5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row>
    <row r="183" spans="1:5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row>
    <row r="184" spans="1:5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row>
    <row r="185" spans="1:5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row>
    <row r="186" spans="1:5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row>
    <row r="187" spans="1:5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row>
    <row r="188" spans="1:5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row>
    <row r="189" spans="1:5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row>
    <row r="190" spans="1:5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row>
    <row r="191" spans="1:5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row>
    <row r="192" spans="1:5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row>
    <row r="193" spans="1:5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row>
    <row r="194" spans="1:5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row>
    <row r="195" spans="1:5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row>
    <row r="196" spans="1:5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row>
    <row r="197" spans="1:5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row>
  </sheetData>
  <mergeCells count="10">
    <mergeCell ref="P4:R7"/>
    <mergeCell ref="A56:R56"/>
    <mergeCell ref="A57:R61"/>
    <mergeCell ref="A1:N1"/>
    <mergeCell ref="A2:N2"/>
    <mergeCell ref="A4:C7"/>
    <mergeCell ref="D4:F7"/>
    <mergeCell ref="G4:I7"/>
    <mergeCell ref="J4:L7"/>
    <mergeCell ref="M4:O7"/>
  </mergeCells>
  <conditionalFormatting sqref="B11:B18">
    <cfRule type="dataBar" priority="1">
      <dataBar>
        <cfvo type="min"/>
        <cfvo type="max"/>
        <color rgb="FF2563EB"/>
      </dataBar>
    </cfRule>
    <cfRule type="dataBar" priority="4">
      <dataBar>
        <cfvo type="min"/>
        <cfvo type="max"/>
        <color rgb="FF2563EB"/>
      </dataBar>
      <extLst>
        <ext xmlns:x14="http://schemas.microsoft.com/office/spreadsheetml/2009/9/main" uri="{B025F937-C7B1-47D3-B67F-A62EFF666E3E}">
          <x14:id>{E5D2A047-4238-8741-E2B3-85669B88D1C8}</x14:id>
        </ext>
      </extLst>
    </cfRule>
  </conditionalFormatting>
  <conditionalFormatting sqref="C11:C18">
    <cfRule type="dataBar" priority="2">
      <dataBar>
        <cfvo type="min"/>
        <cfvo type="max"/>
        <color rgb="FFD4A72C"/>
      </dataBar>
    </cfRule>
    <cfRule type="dataBar" priority="5">
      <dataBar>
        <cfvo type="min"/>
        <cfvo type="max"/>
        <color rgb="FFD4A72C"/>
      </dataBar>
      <extLst>
        <ext xmlns:x14="http://schemas.microsoft.com/office/spreadsheetml/2009/9/main" uri="{B025F937-C7B1-47D3-B67F-A62EFF666E3E}">
          <x14:id>{169BE573-5479-287D-BE93-74B15E11EBFA}</x14:id>
        </ext>
      </extLst>
    </cfRule>
  </conditionalFormatting>
  <conditionalFormatting sqref="D11:D18">
    <cfRule type="dataBar" priority="3">
      <dataBar>
        <cfvo type="min"/>
        <cfvo type="max"/>
        <color rgb="FF008000"/>
      </dataBar>
    </cfRule>
    <cfRule type="dataBar" priority="6">
      <dataBar>
        <cfvo type="min"/>
        <cfvo type="max"/>
        <color rgb="FF008000"/>
      </dataBar>
      <extLst>
        <ext xmlns:x14="http://schemas.microsoft.com/office/spreadsheetml/2009/9/main" uri="{B025F937-C7B1-47D3-B67F-A62EFF666E3E}">
          <x14:id>{C5593AA7-0028-5BEA-E3E0-8178783C1A47}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E5D2A047-4238-8741-E2B3-85669B88D1C8}">
            <x14:dataBar>
              <x14:cfvo type="min"/>
              <x14:cfvo type="max"/>
              <x14:negativeFillColor auto="1"/>
              <x14:axisColor auto="1"/>
            </x14:dataBar>
          </x14:cfRule>
          <xm:sqref>B11:B18</xm:sqref>
        </x14:conditionalFormatting>
        <x14:conditionalFormatting xmlns:xm="http://schemas.microsoft.com/office/excel/2006/main">
          <x14:cfRule type="dataBar" id="{169BE573-5479-287D-BE93-74B15E11EBFA}">
            <x14:dataBar>
              <x14:cfvo type="min"/>
              <x14:cfvo type="max"/>
              <x14:negativeFillColor auto="1"/>
              <x14:axisColor auto="1"/>
            </x14:dataBar>
          </x14:cfRule>
          <xm:sqref>C11:C18</xm:sqref>
        </x14:conditionalFormatting>
        <x14:conditionalFormatting xmlns:xm="http://schemas.microsoft.com/office/excel/2006/main">
          <x14:cfRule type="dataBar" id="{C5593AA7-0028-5BEA-E3E0-8178783C1A47}">
            <x14:dataBar>
              <x14:cfvo type="min"/>
              <x14:cfvo type="max"/>
              <x14:negativeFillColor auto="1"/>
              <x14:axisColor auto="1"/>
            </x14:dataBar>
          </x14:cfRule>
          <xm:sqref>D11:D18</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Z200"/>
  <sheetViews>
    <sheetView workbookViewId="0">
      <selection sqref="A1:H1"/>
    </sheetView>
  </sheetViews>
  <sheetFormatPr baseColWidth="10" defaultColWidth="8.83203125" defaultRowHeight="14"/>
  <cols>
    <col min="1" max="1" width="28" customWidth="1"/>
    <col min="2" max="2" width="72" customWidth="1"/>
    <col min="3" max="3" width="30" customWidth="1"/>
  </cols>
  <sheetData>
    <row r="1" spans="1:52" ht="40" customHeight="1">
      <c r="A1" s="34" t="s">
        <v>178</v>
      </c>
      <c r="B1" s="34"/>
      <c r="C1" s="34"/>
      <c r="D1" s="34"/>
      <c r="E1" s="34"/>
      <c r="F1" s="34"/>
      <c r="G1" s="34"/>
      <c r="H1" s="34"/>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row>
    <row r="2" spans="1:52" ht="32" customHeight="1">
      <c r="A2" s="35" t="s">
        <v>179</v>
      </c>
      <c r="B2" s="35"/>
      <c r="C2" s="35"/>
      <c r="D2" s="35"/>
      <c r="E2" s="35"/>
      <c r="F2" s="35"/>
      <c r="G2" s="35"/>
      <c r="H2" s="3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row>
    <row r="3" spans="1:52">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row>
    <row r="4" spans="1:52">
      <c r="A4" s="36" t="s">
        <v>180</v>
      </c>
      <c r="B4" s="36"/>
      <c r="C4" s="36"/>
      <c r="D4" s="36"/>
      <c r="E4" s="36"/>
      <c r="F4" s="36"/>
      <c r="G4" s="36"/>
      <c r="H4" s="36"/>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row>
    <row r="5" spans="1:52">
      <c r="A5" s="49" t="s">
        <v>181</v>
      </c>
      <c r="B5" s="49"/>
      <c r="C5" s="49"/>
      <c r="D5" s="49"/>
      <c r="E5" s="49"/>
      <c r="F5" s="49"/>
      <c r="G5" s="49"/>
      <c r="H5" s="49"/>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row>
    <row r="6" spans="1:52">
      <c r="A6" s="49"/>
      <c r="B6" s="49"/>
      <c r="C6" s="49"/>
      <c r="D6" s="49"/>
      <c r="E6" s="49"/>
      <c r="F6" s="49"/>
      <c r="G6" s="49"/>
      <c r="H6" s="49"/>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row>
    <row r="7" spans="1:52">
      <c r="A7" s="49"/>
      <c r="B7" s="49"/>
      <c r="C7" s="49"/>
      <c r="D7" s="49"/>
      <c r="E7" s="49"/>
      <c r="F7" s="49"/>
      <c r="G7" s="49"/>
      <c r="H7" s="49"/>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row>
    <row r="8" spans="1:52">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row>
    <row r="9" spans="1:52">
      <c r="A9" s="36" t="s">
        <v>182</v>
      </c>
      <c r="B9" s="36"/>
      <c r="C9" s="36"/>
      <c r="D9" s="36"/>
      <c r="E9" s="36"/>
      <c r="F9" s="36"/>
      <c r="G9" s="36"/>
      <c r="H9" s="36"/>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row>
    <row r="10" spans="1:52" ht="29.25" customHeight="1">
      <c r="A10" s="4" t="s">
        <v>183</v>
      </c>
      <c r="B10" s="4" t="s">
        <v>184</v>
      </c>
      <c r="C10" s="4" t="s">
        <v>185</v>
      </c>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row>
    <row r="11" spans="1:52" ht="30">
      <c r="A11" s="12" t="s">
        <v>186</v>
      </c>
      <c r="B11" s="12" t="s">
        <v>187</v>
      </c>
      <c r="C11" s="12" t="s">
        <v>188</v>
      </c>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row>
    <row r="12" spans="1:52" ht="45">
      <c r="A12" s="12" t="s">
        <v>189</v>
      </c>
      <c r="B12" s="12" t="s">
        <v>190</v>
      </c>
      <c r="C12" s="12" t="s">
        <v>191</v>
      </c>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row>
    <row r="13" spans="1:52">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row>
    <row r="14" spans="1:52">
      <c r="A14" s="36" t="s">
        <v>192</v>
      </c>
      <c r="B14" s="36"/>
      <c r="C14" s="36"/>
      <c r="D14" s="36"/>
      <c r="E14" s="36"/>
      <c r="F14" s="36"/>
      <c r="G14" s="36"/>
      <c r="H14" s="36"/>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row>
    <row r="15" spans="1:52" ht="15">
      <c r="A15" s="11" t="s">
        <v>193</v>
      </c>
      <c r="B15" s="12" t="s">
        <v>194</v>
      </c>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row>
    <row r="16" spans="1:52" ht="15">
      <c r="A16" s="11" t="s">
        <v>60</v>
      </c>
      <c r="B16" s="12" t="s">
        <v>195</v>
      </c>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row>
    <row r="17" spans="1:52" ht="15">
      <c r="A17" s="11" t="s">
        <v>110</v>
      </c>
      <c r="B17" s="12" t="s">
        <v>196</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row>
    <row r="18" spans="1:52" ht="15">
      <c r="A18" s="11" t="s">
        <v>112</v>
      </c>
      <c r="B18" s="12" t="s">
        <v>197</v>
      </c>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row>
    <row r="19" spans="1:52" ht="15">
      <c r="A19" s="11" t="s">
        <v>77</v>
      </c>
      <c r="B19" s="12" t="s">
        <v>198</v>
      </c>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row>
    <row r="20" spans="1:52" ht="15">
      <c r="A20" s="11" t="s">
        <v>199</v>
      </c>
      <c r="B20" s="12" t="s">
        <v>200</v>
      </c>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row>
    <row r="21" spans="1:52" ht="15">
      <c r="A21" s="11" t="s">
        <v>201</v>
      </c>
      <c r="B21" s="12" t="s">
        <v>202</v>
      </c>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row>
    <row r="22" spans="1:52" ht="15">
      <c r="A22" s="11" t="s">
        <v>37</v>
      </c>
      <c r="B22" s="12" t="s">
        <v>203</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row>
    <row r="23" spans="1:52" ht="30">
      <c r="A23" s="11" t="s">
        <v>43</v>
      </c>
      <c r="B23" s="12" t="s">
        <v>204</v>
      </c>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row>
    <row r="24" spans="1:52">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row>
    <row r="25" spans="1:52">
      <c r="A25" s="36" t="s">
        <v>205</v>
      </c>
      <c r="B25" s="36"/>
      <c r="C25" s="36"/>
      <c r="D25" s="36"/>
      <c r="E25" s="36"/>
      <c r="F25" s="36"/>
      <c r="G25" s="36"/>
      <c r="H25" s="36"/>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row>
    <row r="26" spans="1:52">
      <c r="A26" s="49" t="s">
        <v>206</v>
      </c>
      <c r="B26" s="49"/>
      <c r="C26" s="49"/>
      <c r="D26" s="49"/>
      <c r="E26" s="49"/>
      <c r="F26" s="49"/>
      <c r="G26" s="49"/>
      <c r="H26" s="49"/>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row>
    <row r="27" spans="1:52">
      <c r="A27" s="49"/>
      <c r="B27" s="49"/>
      <c r="C27" s="49"/>
      <c r="D27" s="49"/>
      <c r="E27" s="49"/>
      <c r="F27" s="49"/>
      <c r="G27" s="49"/>
      <c r="H27" s="49"/>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row>
    <row r="28" spans="1:52">
      <c r="A28" s="49"/>
      <c r="B28" s="49"/>
      <c r="C28" s="49"/>
      <c r="D28" s="49"/>
      <c r="E28" s="49"/>
      <c r="F28" s="49"/>
      <c r="G28" s="49"/>
      <c r="H28" s="49"/>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row>
    <row r="29" spans="1:52">
      <c r="A29" s="49"/>
      <c r="B29" s="49"/>
      <c r="C29" s="49"/>
      <c r="D29" s="49"/>
      <c r="E29" s="49"/>
      <c r="F29" s="49"/>
      <c r="G29" s="49"/>
      <c r="H29" s="49"/>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row>
    <row r="30" spans="1:52">
      <c r="A30" s="49"/>
      <c r="B30" s="49"/>
      <c r="C30" s="49"/>
      <c r="D30" s="49"/>
      <c r="E30" s="49"/>
      <c r="F30" s="49"/>
      <c r="G30" s="49"/>
      <c r="H30" s="49"/>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row>
    <row r="31" spans="1:52">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row>
    <row r="32" spans="1:52">
      <c r="A32" s="36" t="s">
        <v>207</v>
      </c>
      <c r="B32" s="36"/>
      <c r="C32" s="36"/>
      <c r="D32" s="36"/>
      <c r="E32" s="36"/>
      <c r="F32" s="36"/>
      <c r="G32" s="36"/>
      <c r="H32" s="36"/>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row>
    <row r="33" spans="1:52">
      <c r="A33" s="50" t="s">
        <v>208</v>
      </c>
      <c r="B33" s="50"/>
      <c r="C33" s="50"/>
      <c r="D33" s="50"/>
      <c r="E33" s="50"/>
      <c r="F33" s="50"/>
      <c r="G33" s="50"/>
      <c r="H33" s="50"/>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row>
    <row r="34" spans="1:52">
      <c r="A34" s="50"/>
      <c r="B34" s="50"/>
      <c r="C34" s="50"/>
      <c r="D34" s="50"/>
      <c r="E34" s="50"/>
      <c r="F34" s="50"/>
      <c r="G34" s="50"/>
      <c r="H34" s="50"/>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row>
    <row r="35" spans="1:52">
      <c r="A35" s="50"/>
      <c r="B35" s="50"/>
      <c r="C35" s="50"/>
      <c r="D35" s="50"/>
      <c r="E35" s="50"/>
      <c r="F35" s="50"/>
      <c r="G35" s="50"/>
      <c r="H35" s="50"/>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row>
    <row r="36" spans="1:52">
      <c r="A36" s="50"/>
      <c r="B36" s="50"/>
      <c r="C36" s="50"/>
      <c r="D36" s="50"/>
      <c r="E36" s="50"/>
      <c r="F36" s="50"/>
      <c r="G36" s="50"/>
      <c r="H36" s="50"/>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row>
    <row r="37" spans="1:52">
      <c r="A37" s="50"/>
      <c r="B37" s="50"/>
      <c r="C37" s="50"/>
      <c r="D37" s="50"/>
      <c r="E37" s="50"/>
      <c r="F37" s="50"/>
      <c r="G37" s="50"/>
      <c r="H37" s="50"/>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row>
    <row r="38" spans="1:52">
      <c r="A38" s="50"/>
      <c r="B38" s="50"/>
      <c r="C38" s="50"/>
      <c r="D38" s="50"/>
      <c r="E38" s="50"/>
      <c r="F38" s="50"/>
      <c r="G38" s="50"/>
      <c r="H38" s="50"/>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row>
    <row r="39" spans="1:52">
      <c r="A39" s="50"/>
      <c r="B39" s="50"/>
      <c r="C39" s="50"/>
      <c r="D39" s="50"/>
      <c r="E39" s="50"/>
      <c r="F39" s="50"/>
      <c r="G39" s="50"/>
      <c r="H39" s="50"/>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row>
    <row r="40" spans="1:52">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row>
    <row r="41" spans="1:52">
      <c r="A41" s="38" t="s">
        <v>209</v>
      </c>
      <c r="B41" s="38"/>
      <c r="C41" s="38"/>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row>
    <row r="42" spans="1:52">
      <c r="A42" s="29" t="s">
        <v>210</v>
      </c>
      <c r="B42" s="29" t="s">
        <v>185</v>
      </c>
      <c r="C42" s="29" t="s">
        <v>211</v>
      </c>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row>
    <row r="43" spans="1:52" ht="15">
      <c r="A43" s="11" t="s">
        <v>212</v>
      </c>
      <c r="B43" s="12" t="s">
        <v>144</v>
      </c>
      <c r="C43" s="12" t="s">
        <v>213</v>
      </c>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row>
    <row r="44" spans="1:52" ht="15">
      <c r="A44" s="11" t="s">
        <v>214</v>
      </c>
      <c r="B44" s="12" t="s">
        <v>215</v>
      </c>
      <c r="C44" s="12" t="s">
        <v>216</v>
      </c>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row>
    <row r="45" spans="1:52" ht="15">
      <c r="A45" s="11" t="s">
        <v>217</v>
      </c>
      <c r="B45" s="12" t="s">
        <v>218</v>
      </c>
      <c r="C45" s="12" t="s">
        <v>219</v>
      </c>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spans="1:52" ht="15">
      <c r="A46" s="11" t="s">
        <v>220</v>
      </c>
      <c r="B46" s="12" t="s">
        <v>221</v>
      </c>
      <c r="C46" s="12" t="s">
        <v>222</v>
      </c>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row>
    <row r="47" spans="1:52" ht="15">
      <c r="A47" s="11" t="s">
        <v>223</v>
      </c>
      <c r="B47" s="12" t="s">
        <v>221</v>
      </c>
      <c r="C47" s="12" t="s">
        <v>224</v>
      </c>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row>
    <row r="48" spans="1:52">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row>
    <row r="49" spans="1:5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row>
    <row r="50" spans="1:52">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row>
    <row r="51" spans="1:52">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row>
    <row r="52" spans="1: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row>
    <row r="53" spans="1:52">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row>
    <row r="54" spans="1:52">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row>
    <row r="55" spans="1:52">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row>
    <row r="56" spans="1:52">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row>
    <row r="57" spans="1:52">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row>
    <row r="58" spans="1:52">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row>
    <row r="59" spans="1:52">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row>
    <row r="60" spans="1:52">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row>
    <row r="61" spans="1:52">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row>
    <row r="62" spans="1:5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row>
    <row r="63" spans="1:5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row>
    <row r="64" spans="1:5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row>
    <row r="65" spans="1:5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row>
    <row r="66" spans="1:5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row>
    <row r="67" spans="1:5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row>
    <row r="68" spans="1:5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row>
    <row r="69" spans="1:5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row>
    <row r="70" spans="1:5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row>
    <row r="71" spans="1:5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row>
    <row r="72" spans="1:5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row>
    <row r="73" spans="1:5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row>
    <row r="74" spans="1:5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row>
    <row r="75" spans="1:5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row>
    <row r="76" spans="1:5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row>
    <row r="77" spans="1:5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row>
    <row r="78" spans="1:5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row>
    <row r="79" spans="1:5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row>
    <row r="80" spans="1:5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row>
    <row r="81" spans="1:5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row>
    <row r="82" spans="1:5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row>
    <row r="83" spans="1:5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row>
    <row r="84" spans="1:5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row>
    <row r="85" spans="1:5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row>
    <row r="86" spans="1:5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row>
    <row r="87" spans="1:5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row>
    <row r="88" spans="1:5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row>
    <row r="89" spans="1:5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row>
    <row r="90" spans="1:5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row>
    <row r="91" spans="1:5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row>
    <row r="92" spans="1:5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row>
    <row r="93" spans="1:5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row>
    <row r="94" spans="1:5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row>
    <row r="95" spans="1:5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row>
    <row r="96" spans="1:5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row>
    <row r="97" spans="1:5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row>
    <row r="98" spans="1:5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row>
    <row r="99" spans="1:5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row>
    <row r="100" spans="1:5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row>
    <row r="101" spans="1:5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row>
    <row r="102" spans="1:5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row>
    <row r="103" spans="1:5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row>
    <row r="104" spans="1:5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row>
    <row r="105" spans="1:5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row>
    <row r="106" spans="1:5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row>
    <row r="107" spans="1:5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row>
    <row r="108" spans="1:5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row>
    <row r="109" spans="1:5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row>
    <row r="110" spans="1:5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row>
    <row r="111" spans="1:5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row>
    <row r="112" spans="1:5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row>
    <row r="113" spans="1:5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row>
    <row r="114" spans="1:5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row>
    <row r="115" spans="1:5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row>
    <row r="116" spans="1:5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row>
    <row r="117" spans="1:5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row>
    <row r="118" spans="1:5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row>
    <row r="119" spans="1:5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row>
    <row r="120" spans="1:5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row>
    <row r="121" spans="1:5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row>
    <row r="122" spans="1:5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row>
    <row r="123" spans="1:5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row>
    <row r="124" spans="1:5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row>
    <row r="125" spans="1:5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row>
    <row r="126" spans="1:5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row>
    <row r="127" spans="1:5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row>
    <row r="128" spans="1:5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row>
    <row r="129" spans="1:5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row>
    <row r="130" spans="1:5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row>
    <row r="131" spans="1:5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row>
    <row r="132" spans="1:5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row>
    <row r="133" spans="1:5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row>
    <row r="134" spans="1:5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row>
    <row r="135" spans="1:5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row>
    <row r="136" spans="1:5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row>
    <row r="137" spans="1:5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row>
    <row r="138" spans="1:5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row>
    <row r="139" spans="1:5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row>
    <row r="140" spans="1:5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row>
    <row r="141" spans="1:5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row>
    <row r="142" spans="1:5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row>
    <row r="143" spans="1:5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row>
    <row r="144" spans="1:5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row>
    <row r="145" spans="1:5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row>
    <row r="146" spans="1:5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row>
    <row r="147" spans="1:5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row>
    <row r="148" spans="1:5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row>
    <row r="149" spans="1:5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row>
    <row r="150" spans="1:5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row>
    <row r="151" spans="1:5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row>
    <row r="152" spans="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row>
    <row r="153" spans="1:5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row>
    <row r="154" spans="1:5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row>
    <row r="155" spans="1:5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row>
    <row r="156" spans="1:5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row>
    <row r="157" spans="1:5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row>
    <row r="158" spans="1:5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row>
    <row r="159" spans="1:5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row>
    <row r="160" spans="1:5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row>
    <row r="161" spans="1:5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row>
    <row r="162" spans="1:5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row>
    <row r="163" spans="1:5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row>
    <row r="164" spans="1:5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row>
    <row r="165" spans="1:5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row>
    <row r="166" spans="1:5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row>
    <row r="167" spans="1:5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row>
    <row r="168" spans="1:5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row>
    <row r="169" spans="1:5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row>
    <row r="170" spans="1:5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row>
    <row r="171" spans="1:5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row>
    <row r="172" spans="1:5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row>
    <row r="173" spans="1:5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row>
    <row r="174" spans="1:5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row>
    <row r="175" spans="1:5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row>
    <row r="176" spans="1:5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row>
    <row r="177" spans="1:5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row>
    <row r="178" spans="1:5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row>
    <row r="179" spans="1:5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row>
    <row r="180" spans="1:5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row>
    <row r="181" spans="1:5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row>
    <row r="182" spans="1:5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row>
    <row r="183" spans="1:5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row>
    <row r="184" spans="1:5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row>
    <row r="185" spans="1:5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row>
    <row r="186" spans="1:5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row>
    <row r="187" spans="1:5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row>
    <row r="188" spans="1:5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row>
    <row r="189" spans="1:5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row>
    <row r="190" spans="1:5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row>
    <row r="191" spans="1:5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row>
    <row r="192" spans="1:5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row>
    <row r="193" spans="1:5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row>
    <row r="194" spans="1:5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row>
    <row r="195" spans="1:5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row>
    <row r="196" spans="1:5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row>
    <row r="197" spans="1:5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row>
    <row r="198" spans="1:5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row>
    <row r="199" spans="1:5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row>
    <row r="200" spans="1:5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row>
  </sheetData>
  <mergeCells count="11">
    <mergeCell ref="A41:C41"/>
    <mergeCell ref="A14:H14"/>
    <mergeCell ref="A25:H25"/>
    <mergeCell ref="A26:H30"/>
    <mergeCell ref="A32:H32"/>
    <mergeCell ref="A33:H39"/>
    <mergeCell ref="A1:H1"/>
    <mergeCell ref="A2:H2"/>
    <mergeCell ref="A4:H4"/>
    <mergeCell ref="A5:H7"/>
    <mergeCell ref="A9:H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Inputs</vt:lpstr>
      <vt:lpstr>NAV Data</vt:lpstr>
      <vt:lpstr>Monthly Returns</vt:lpstr>
      <vt:lpstr>Performance</vt:lpstr>
      <vt:lpstr>Benchmark</vt:lpstr>
      <vt:lpstr>Correlation</vt:lpstr>
      <vt:lpstr>Portfolio Analysis</vt:lpstr>
      <vt:lpstr>Efficient Frontier</vt:lpstr>
      <vt:lpstr>Monte Carlo</vt:lpstr>
      <vt:lpstr>DCA Analysis</vt:lpstr>
      <vt:lpstr>Dashboard</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Duy Cong Kha Nguyen</cp:lastModifiedBy>
  <dcterms:created xsi:type="dcterms:W3CDTF">2026-07-29T07:58:48Z</dcterms:created>
  <dcterms:modified xsi:type="dcterms:W3CDTF">2026-07-29T07:58:48Z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2026-07-29T07:58:35Z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afc162a8-b6ec-4f4b-bffb-145b462a74b5</vt:lpwstr>
  </property>
  <property fmtid="{D5CDD505-2E9C-101B-9397-08002B2CF9AE}" pid="8" name="MSIP_Label_4044bd30-2ed7-4c9d-9d12-46200872a97b_ContentBits">
    <vt:lpwstr>0</vt:lpwstr>
  </property>
  <property fmtid="{D5CDD505-2E9C-101B-9397-08002B2CF9AE}" pid="9" name="MSIP_Label_4044bd30-2ed7-4c9d-9d12-46200872a97b_Tag">
    <vt:lpwstr>50, 3, 0, 1</vt:lpwstr>
  </property>
</Properties>
</file>