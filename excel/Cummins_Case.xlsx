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/>
  <mc:AlternateContent xmlns:mc="http://schemas.openxmlformats.org/markup-compatibility/2006">
    <mc:Choice Requires="x15">
      <x15ac:absPath xmlns:x15ac="http://schemas.microsoft.com/office/spreadsheetml/2010/11/ac" url="/Users/duynguyen/Desktop/duy_portfolio_website/Projects/"/>
    </mc:Choice>
  </mc:AlternateContent>
  <xr:revisionPtr revIDLastSave="0" documentId="13_ncr:1_{88815DE9-5714-974B-87E9-D813F3E53D1F}" xr6:coauthVersionLast="47" xr6:coauthVersionMax="47" xr10:uidLastSave="{00000000-0000-0000-0000-000000000000}"/>
  <bookViews>
    <workbookView xWindow="0" yWindow="780" windowWidth="36000" windowHeight="20500" activeTab="8" xr2:uid="{00000000-000D-0000-FFFF-FFFF00000000}"/>
  </bookViews>
  <sheets>
    <sheet name="Option 1" sheetId="3" r:id="rId1"/>
    <sheet name="Sensitve Analysis #1 Option 1" sheetId="1" r:id="rId2"/>
    <sheet name="Sensitve Analysis #2 option 1" sheetId="6" r:id="rId3"/>
    <sheet name="Option 2" sheetId="9" r:id="rId4"/>
    <sheet name="Sensitve Analysis #1 Option 2" sheetId="4" r:id="rId5"/>
    <sheet name="Sensitve Analysis #2 Option 2" sheetId="7" r:id="rId6"/>
    <sheet name="Option 3" sheetId="10" r:id="rId7"/>
    <sheet name="Sensitve Analysis #1 Option 3" sheetId="5" r:id="rId8"/>
    <sheet name="Sensitve Analysis #2 Option 3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4" l="1"/>
  <c r="R10" i="8"/>
  <c r="J10" i="8"/>
  <c r="K10" i="8"/>
  <c r="L10" i="8"/>
  <c r="M10" i="8"/>
  <c r="N10" i="8"/>
  <c r="O10" i="8"/>
  <c r="P10" i="8"/>
  <c r="Q10" i="8"/>
  <c r="I10" i="8"/>
  <c r="I10" i="6"/>
  <c r="J10" i="5"/>
  <c r="K10" i="5"/>
  <c r="L10" i="5"/>
  <c r="M10" i="5"/>
  <c r="N10" i="5"/>
  <c r="O10" i="5"/>
  <c r="P10" i="5"/>
  <c r="Q10" i="5"/>
  <c r="R10" i="5"/>
  <c r="I10" i="5"/>
  <c r="J9" i="8"/>
  <c r="K9" i="8"/>
  <c r="L9" i="8"/>
  <c r="M9" i="8"/>
  <c r="N9" i="8"/>
  <c r="O9" i="8"/>
  <c r="P9" i="8"/>
  <c r="Q9" i="8"/>
  <c r="R9" i="8"/>
  <c r="J9" i="5"/>
  <c r="K9" i="5"/>
  <c r="L9" i="5"/>
  <c r="M9" i="5"/>
  <c r="N9" i="5"/>
  <c r="O9" i="5"/>
  <c r="P9" i="5"/>
  <c r="Q9" i="5"/>
  <c r="R9" i="5"/>
  <c r="J9" i="10"/>
  <c r="K9" i="10"/>
  <c r="L9" i="10"/>
  <c r="M9" i="10"/>
  <c r="N9" i="10"/>
  <c r="O9" i="10"/>
  <c r="P9" i="10"/>
  <c r="Q9" i="10"/>
  <c r="R9" i="10"/>
  <c r="J9" i="7"/>
  <c r="K9" i="7"/>
  <c r="L9" i="7"/>
  <c r="M9" i="7"/>
  <c r="N9" i="7"/>
  <c r="O9" i="7"/>
  <c r="P9" i="7"/>
  <c r="Q9" i="7"/>
  <c r="R9" i="7"/>
  <c r="I9" i="7"/>
  <c r="J9" i="4"/>
  <c r="K9" i="4"/>
  <c r="L9" i="4"/>
  <c r="N9" i="4"/>
  <c r="O9" i="4"/>
  <c r="P9" i="4"/>
  <c r="Q9" i="4"/>
  <c r="R9" i="4"/>
  <c r="I9" i="4"/>
  <c r="M9" i="9"/>
  <c r="E24" i="8"/>
  <c r="F24" i="8"/>
  <c r="G24" i="8"/>
  <c r="H24" i="8"/>
  <c r="D24" i="8"/>
  <c r="E24" i="5"/>
  <c r="F24" i="5"/>
  <c r="G24" i="5"/>
  <c r="H24" i="5"/>
  <c r="D24" i="5"/>
  <c r="E24" i="10"/>
  <c r="F24" i="10"/>
  <c r="G24" i="10"/>
  <c r="H24" i="10"/>
  <c r="D24" i="10"/>
  <c r="J36" i="8"/>
  <c r="K36" i="8"/>
  <c r="L36" i="8"/>
  <c r="M36" i="8"/>
  <c r="N36" i="8"/>
  <c r="O36" i="8"/>
  <c r="P36" i="8"/>
  <c r="Q36" i="8"/>
  <c r="R36" i="8"/>
  <c r="I36" i="8"/>
  <c r="J36" i="7"/>
  <c r="K36" i="7"/>
  <c r="L36" i="7"/>
  <c r="M36" i="7"/>
  <c r="N36" i="7"/>
  <c r="O36" i="7"/>
  <c r="P36" i="7"/>
  <c r="Q36" i="7"/>
  <c r="R36" i="7"/>
  <c r="I36" i="7"/>
  <c r="J36" i="6"/>
  <c r="K36" i="6"/>
  <c r="L36" i="6"/>
  <c r="M36" i="6"/>
  <c r="N36" i="6"/>
  <c r="O36" i="6"/>
  <c r="P36" i="6"/>
  <c r="Q36" i="6"/>
  <c r="R36" i="6"/>
  <c r="I36" i="6"/>
  <c r="N5" i="9"/>
  <c r="M5" i="3"/>
  <c r="R9" i="3"/>
  <c r="R9" i="9"/>
  <c r="R10" i="3"/>
  <c r="R10" i="6"/>
  <c r="R10" i="1"/>
  <c r="R15" i="6"/>
  <c r="Q13" i="1"/>
  <c r="Q18" i="1"/>
  <c r="R18" i="1"/>
  <c r="R22" i="6"/>
  <c r="R23" i="6"/>
  <c r="R23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D16" i="7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D16" i="4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D16" i="9"/>
  <c r="C47" i="1"/>
  <c r="C46" i="3"/>
  <c r="D26" i="3"/>
  <c r="D27" i="3"/>
  <c r="J9" i="1"/>
  <c r="K9" i="1"/>
  <c r="L9" i="1"/>
  <c r="M9" i="1"/>
  <c r="N9" i="1"/>
  <c r="O9" i="1"/>
  <c r="P9" i="1"/>
  <c r="Q9" i="1"/>
  <c r="R9" i="1"/>
  <c r="I9" i="9"/>
  <c r="I15" i="3"/>
  <c r="I11" i="3"/>
  <c r="I9" i="3"/>
  <c r="I7" i="3"/>
  <c r="K9" i="3"/>
  <c r="L10" i="3"/>
  <c r="J9" i="3"/>
  <c r="L9" i="3"/>
  <c r="M9" i="3"/>
  <c r="N9" i="3"/>
  <c r="O9" i="3"/>
  <c r="P9" i="3"/>
  <c r="Q9" i="3"/>
  <c r="M11" i="3"/>
  <c r="E24" i="7"/>
  <c r="F24" i="7"/>
  <c r="G24" i="7"/>
  <c r="H24" i="7"/>
  <c r="D24" i="7"/>
  <c r="E24" i="4"/>
  <c r="F24" i="4"/>
  <c r="G24" i="4"/>
  <c r="H24" i="4"/>
  <c r="D24" i="4"/>
  <c r="E24" i="9"/>
  <c r="F24" i="9"/>
  <c r="G24" i="9"/>
  <c r="H24" i="9"/>
  <c r="D24" i="9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D16" i="8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D16" i="5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I13" i="3"/>
  <c r="I18" i="3"/>
  <c r="I26" i="3"/>
  <c r="J23" i="9"/>
  <c r="K23" i="9"/>
  <c r="L23" i="9"/>
  <c r="M23" i="9"/>
  <c r="N23" i="9"/>
  <c r="O23" i="9"/>
  <c r="P23" i="9"/>
  <c r="Q23" i="9"/>
  <c r="R23" i="9"/>
  <c r="R23" i="4"/>
  <c r="J23" i="4"/>
  <c r="K23" i="4"/>
  <c r="L23" i="4"/>
  <c r="M23" i="4"/>
  <c r="N23" i="4"/>
  <c r="O23" i="4"/>
  <c r="P23" i="4"/>
  <c r="Q23" i="4"/>
  <c r="I23" i="4"/>
  <c r="J23" i="7"/>
  <c r="K23" i="7"/>
  <c r="L23" i="7"/>
  <c r="M23" i="7"/>
  <c r="N23" i="7"/>
  <c r="O23" i="7"/>
  <c r="P23" i="7"/>
  <c r="Q23" i="7"/>
  <c r="I23" i="7"/>
  <c r="J23" i="10"/>
  <c r="K23" i="10"/>
  <c r="L23" i="10"/>
  <c r="M23" i="10"/>
  <c r="N23" i="10"/>
  <c r="O23" i="10"/>
  <c r="P23" i="10"/>
  <c r="Q23" i="10"/>
  <c r="R23" i="10"/>
  <c r="I23" i="10"/>
  <c r="J23" i="5"/>
  <c r="K23" i="5"/>
  <c r="L23" i="5"/>
  <c r="M23" i="5"/>
  <c r="N23" i="5"/>
  <c r="O23" i="5"/>
  <c r="P23" i="5"/>
  <c r="Q23" i="5"/>
  <c r="R23" i="5"/>
  <c r="I23" i="5"/>
  <c r="R23" i="8"/>
  <c r="J23" i="8"/>
  <c r="K23" i="8"/>
  <c r="L23" i="8"/>
  <c r="M23" i="8"/>
  <c r="N23" i="8"/>
  <c r="O23" i="8"/>
  <c r="P23" i="8"/>
  <c r="Q23" i="8"/>
  <c r="I23" i="8"/>
  <c r="J23" i="6"/>
  <c r="K23" i="6"/>
  <c r="L23" i="6"/>
  <c r="M23" i="6"/>
  <c r="N23" i="6"/>
  <c r="O23" i="6"/>
  <c r="P23" i="6"/>
  <c r="Q23" i="6"/>
  <c r="I23" i="6"/>
  <c r="J23" i="1"/>
  <c r="K23" i="1"/>
  <c r="L23" i="1"/>
  <c r="M23" i="1"/>
  <c r="N23" i="1"/>
  <c r="O23" i="1"/>
  <c r="P23" i="1"/>
  <c r="Q23" i="1"/>
  <c r="R23" i="1"/>
  <c r="I23" i="1"/>
  <c r="J23" i="3"/>
  <c r="K23" i="3"/>
  <c r="L23" i="3"/>
  <c r="M23" i="3"/>
  <c r="N23" i="3"/>
  <c r="O23" i="3"/>
  <c r="P23" i="3"/>
  <c r="Q23" i="3"/>
  <c r="R23" i="3"/>
  <c r="I23" i="3"/>
  <c r="E15" i="3"/>
  <c r="E26" i="3"/>
  <c r="E27" i="3"/>
  <c r="D20" i="3"/>
  <c r="E20" i="3"/>
  <c r="F20" i="3"/>
  <c r="G20" i="3"/>
  <c r="H20" i="3"/>
  <c r="I20" i="3"/>
  <c r="D20" i="6"/>
  <c r="E20" i="6"/>
  <c r="F20" i="6"/>
  <c r="G20" i="6"/>
  <c r="H20" i="6"/>
  <c r="D20" i="1"/>
  <c r="E20" i="1"/>
  <c r="F20" i="1"/>
  <c r="G20" i="1"/>
  <c r="H20" i="1"/>
  <c r="I20" i="1"/>
  <c r="J15" i="3"/>
  <c r="J9" i="6" l="1"/>
  <c r="I9" i="6"/>
  <c r="K9" i="6"/>
  <c r="C37" i="8"/>
  <c r="C37" i="6"/>
  <c r="E18" i="10"/>
  <c r="E26" i="10" s="1"/>
  <c r="F18" i="10"/>
  <c r="G18" i="10"/>
  <c r="G26" i="10" s="1"/>
  <c r="H18" i="10"/>
  <c r="H26" i="10" s="1"/>
  <c r="I18" i="10"/>
  <c r="D18" i="10"/>
  <c r="D26" i="10" s="1"/>
  <c r="D18" i="9"/>
  <c r="D26" i="9" s="1"/>
  <c r="I15" i="6"/>
  <c r="D18" i="3"/>
  <c r="E18" i="3"/>
  <c r="F18" i="3"/>
  <c r="G18" i="3"/>
  <c r="G26" i="3" s="1"/>
  <c r="H18" i="3"/>
  <c r="D26" i="8"/>
  <c r="D18" i="8"/>
  <c r="C18" i="8"/>
  <c r="E15" i="8"/>
  <c r="E18" i="8" s="1"/>
  <c r="E26" i="8" s="1"/>
  <c r="I9" i="8"/>
  <c r="I11" i="8" s="1"/>
  <c r="I5" i="8"/>
  <c r="F26" i="10"/>
  <c r="J5" i="9"/>
  <c r="K5" i="9" s="1"/>
  <c r="K9" i="9" s="1"/>
  <c r="I7" i="9"/>
  <c r="I10" i="9"/>
  <c r="E15" i="9"/>
  <c r="E18" i="9" s="1"/>
  <c r="E26" i="9" s="1"/>
  <c r="F15" i="9"/>
  <c r="F18" i="9" s="1"/>
  <c r="F26" i="9" s="1"/>
  <c r="G15" i="9"/>
  <c r="G18" i="9" s="1"/>
  <c r="G26" i="9" s="1"/>
  <c r="H15" i="9"/>
  <c r="I15" i="9" s="1"/>
  <c r="D26" i="6"/>
  <c r="D27" i="6" s="1"/>
  <c r="D18" i="6"/>
  <c r="C18" i="6"/>
  <c r="E15" i="6"/>
  <c r="E18" i="6" s="1"/>
  <c r="E26" i="6" s="1"/>
  <c r="I11" i="6"/>
  <c r="I5" i="6"/>
  <c r="J5" i="6" s="1"/>
  <c r="F26" i="3"/>
  <c r="H26" i="3"/>
  <c r="I22" i="3"/>
  <c r="D27" i="8" l="1"/>
  <c r="M11" i="8"/>
  <c r="L9" i="6"/>
  <c r="D27" i="9"/>
  <c r="E27" i="9"/>
  <c r="F27" i="9" s="1"/>
  <c r="G27" i="9" s="1"/>
  <c r="J9" i="9"/>
  <c r="J10" i="9"/>
  <c r="H18" i="9"/>
  <c r="H26" i="9" s="1"/>
  <c r="I11" i="9"/>
  <c r="J7" i="9"/>
  <c r="J22" i="9" s="1"/>
  <c r="E27" i="8"/>
  <c r="F15" i="8"/>
  <c r="I7" i="8"/>
  <c r="J5" i="8"/>
  <c r="I13" i="9"/>
  <c r="I18" i="9" s="1"/>
  <c r="J15" i="9"/>
  <c r="K7" i="9"/>
  <c r="K10" i="9"/>
  <c r="L5" i="9"/>
  <c r="L9" i="9" s="1"/>
  <c r="K11" i="9"/>
  <c r="I22" i="9"/>
  <c r="I23" i="9" s="1"/>
  <c r="K5" i="6"/>
  <c r="J10" i="6"/>
  <c r="J7" i="6"/>
  <c r="E27" i="6"/>
  <c r="F15" i="6"/>
  <c r="I7" i="6"/>
  <c r="M9" i="6" l="1"/>
  <c r="J11" i="9"/>
  <c r="J13" i="9" s="1"/>
  <c r="J18" i="9" s="1"/>
  <c r="H27" i="9"/>
  <c r="J7" i="8"/>
  <c r="J11" i="8"/>
  <c r="K5" i="8"/>
  <c r="I22" i="8"/>
  <c r="I13" i="8"/>
  <c r="F18" i="8"/>
  <c r="F26" i="8" s="1"/>
  <c r="G15" i="8"/>
  <c r="K13" i="9"/>
  <c r="K22" i="9"/>
  <c r="L7" i="9"/>
  <c r="L10" i="9"/>
  <c r="M5" i="9"/>
  <c r="K15" i="9"/>
  <c r="I20" i="9"/>
  <c r="I22" i="6"/>
  <c r="I13" i="6"/>
  <c r="I18" i="6" s="1"/>
  <c r="I20" i="6" s="1"/>
  <c r="F18" i="6"/>
  <c r="F26" i="6" s="1"/>
  <c r="F27" i="6" s="1"/>
  <c r="G15" i="6"/>
  <c r="J22" i="6"/>
  <c r="L5" i="6"/>
  <c r="K10" i="6"/>
  <c r="K7" i="6"/>
  <c r="J11" i="6"/>
  <c r="J13" i="6" s="1"/>
  <c r="F27" i="8" l="1"/>
  <c r="N9" i="6"/>
  <c r="K18" i="9"/>
  <c r="I26" i="9"/>
  <c r="G18" i="8"/>
  <c r="G26" i="8" s="1"/>
  <c r="G27" i="8" s="1"/>
  <c r="H15" i="8"/>
  <c r="K7" i="8"/>
  <c r="L5" i="8"/>
  <c r="K11" i="8"/>
  <c r="J13" i="8"/>
  <c r="J22" i="8"/>
  <c r="J20" i="9"/>
  <c r="L22" i="9"/>
  <c r="L15" i="9"/>
  <c r="M10" i="9"/>
  <c r="M11" i="9" s="1"/>
  <c r="M7" i="9"/>
  <c r="N9" i="9"/>
  <c r="L11" i="9"/>
  <c r="L13" i="9" s="1"/>
  <c r="L18" i="9" s="1"/>
  <c r="H15" i="6"/>
  <c r="G18" i="6"/>
  <c r="G26" i="6" s="1"/>
  <c r="G27" i="6" s="1"/>
  <c r="K11" i="6"/>
  <c r="K13" i="6" s="1"/>
  <c r="M5" i="6"/>
  <c r="L7" i="6"/>
  <c r="L10" i="6"/>
  <c r="K22" i="6"/>
  <c r="O9" i="6" l="1"/>
  <c r="I27" i="9"/>
  <c r="J26" i="9"/>
  <c r="M5" i="8"/>
  <c r="L11" i="8"/>
  <c r="L7" i="8"/>
  <c r="H18" i="8"/>
  <c r="H26" i="8" s="1"/>
  <c r="H27" i="8" s="1"/>
  <c r="I15" i="8"/>
  <c r="K13" i="8"/>
  <c r="K22" i="8"/>
  <c r="N7" i="9"/>
  <c r="N10" i="9"/>
  <c r="N11" i="9" s="1"/>
  <c r="O5" i="9"/>
  <c r="O9" i="9" s="1"/>
  <c r="M22" i="9"/>
  <c r="M13" i="9"/>
  <c r="K20" i="9"/>
  <c r="M15" i="9"/>
  <c r="L11" i="6"/>
  <c r="L13" i="6" s="1"/>
  <c r="L22" i="6"/>
  <c r="M7" i="6"/>
  <c r="N5" i="6"/>
  <c r="M10" i="6"/>
  <c r="M11" i="6" s="1"/>
  <c r="H18" i="6"/>
  <c r="H26" i="6" s="1"/>
  <c r="H27" i="6" s="1"/>
  <c r="P9" i="6" l="1"/>
  <c r="M18" i="9"/>
  <c r="J27" i="9"/>
  <c r="K26" i="9"/>
  <c r="J15" i="8"/>
  <c r="I18" i="8"/>
  <c r="L22" i="8"/>
  <c r="L13" i="8"/>
  <c r="L18" i="8" s="1"/>
  <c r="N5" i="8"/>
  <c r="M7" i="8"/>
  <c r="N15" i="9"/>
  <c r="L20" i="9"/>
  <c r="P5" i="9"/>
  <c r="P9" i="9" s="1"/>
  <c r="O7" i="9"/>
  <c r="O10" i="9"/>
  <c r="O11" i="9"/>
  <c r="N22" i="9"/>
  <c r="N13" i="9"/>
  <c r="J15" i="6"/>
  <c r="N7" i="6"/>
  <c r="N10" i="6"/>
  <c r="O5" i="6"/>
  <c r="M13" i="6"/>
  <c r="M22" i="6"/>
  <c r="Q9" i="6" l="1"/>
  <c r="R9" i="6"/>
  <c r="K27" i="9"/>
  <c r="N18" i="9"/>
  <c r="L26" i="9"/>
  <c r="M13" i="8"/>
  <c r="M22" i="8"/>
  <c r="O5" i="8"/>
  <c r="N7" i="8"/>
  <c r="N11" i="8"/>
  <c r="I20" i="8"/>
  <c r="I26" i="8" s="1"/>
  <c r="I27" i="8" s="1"/>
  <c r="K15" i="8"/>
  <c r="J18" i="8"/>
  <c r="O13" i="9"/>
  <c r="O18" i="9" s="1"/>
  <c r="O22" i="9"/>
  <c r="M20" i="9"/>
  <c r="M26" i="9" s="1"/>
  <c r="P7" i="9"/>
  <c r="P10" i="9"/>
  <c r="Q5" i="9"/>
  <c r="Q9" i="9" s="1"/>
  <c r="O15" i="9"/>
  <c r="P5" i="6"/>
  <c r="O10" i="6"/>
  <c r="O7" i="6"/>
  <c r="N11" i="6"/>
  <c r="N13" i="6" s="1"/>
  <c r="N22" i="6"/>
  <c r="I26" i="6"/>
  <c r="I27" i="6" s="1"/>
  <c r="K15" i="6"/>
  <c r="J18" i="6"/>
  <c r="J20" i="6" s="1"/>
  <c r="L27" i="9" l="1"/>
  <c r="M27" i="9" s="1"/>
  <c r="O11" i="6"/>
  <c r="J20" i="8"/>
  <c r="J26" i="8" s="1"/>
  <c r="O7" i="8"/>
  <c r="O11" i="8"/>
  <c r="P5" i="8"/>
  <c r="L15" i="8"/>
  <c r="K18" i="8"/>
  <c r="N13" i="8"/>
  <c r="N22" i="8"/>
  <c r="N20" i="9"/>
  <c r="R5" i="9"/>
  <c r="Q10" i="9"/>
  <c r="Q11" i="9"/>
  <c r="Q7" i="9"/>
  <c r="P22" i="9"/>
  <c r="P15" i="9"/>
  <c r="P11" i="9"/>
  <c r="P13" i="9" s="1"/>
  <c r="P18" i="9" s="1"/>
  <c r="L15" i="6"/>
  <c r="K18" i="6"/>
  <c r="K20" i="6" s="1"/>
  <c r="O22" i="6"/>
  <c r="O13" i="6"/>
  <c r="P10" i="6"/>
  <c r="P11" i="6"/>
  <c r="Q5" i="6"/>
  <c r="P7" i="6"/>
  <c r="J26" i="6"/>
  <c r="J27" i="6" s="1"/>
  <c r="J27" i="8" l="1"/>
  <c r="N26" i="9"/>
  <c r="K20" i="8"/>
  <c r="K26" i="8" s="1"/>
  <c r="K27" i="8" s="1"/>
  <c r="M15" i="8"/>
  <c r="P11" i="8"/>
  <c r="Q5" i="8"/>
  <c r="P7" i="8"/>
  <c r="O22" i="8"/>
  <c r="O13" i="8"/>
  <c r="O20" i="9"/>
  <c r="R7" i="9"/>
  <c r="R10" i="9"/>
  <c r="R11" i="9" s="1"/>
  <c r="Q15" i="9"/>
  <c r="Q13" i="9"/>
  <c r="Q18" i="9" s="1"/>
  <c r="Q22" i="9"/>
  <c r="P13" i="6"/>
  <c r="P22" i="6"/>
  <c r="Q7" i="6"/>
  <c r="Q10" i="6"/>
  <c r="R5" i="6"/>
  <c r="Q11" i="6"/>
  <c r="K26" i="6"/>
  <c r="K27" i="6" s="1"/>
  <c r="M15" i="6"/>
  <c r="L18" i="6"/>
  <c r="L20" i="6" s="1"/>
  <c r="R13" i="9" l="1"/>
  <c r="N27" i="9"/>
  <c r="O26" i="9"/>
  <c r="P13" i="8"/>
  <c r="P22" i="8"/>
  <c r="R5" i="8"/>
  <c r="Q11" i="8"/>
  <c r="Q7" i="8"/>
  <c r="L20" i="8"/>
  <c r="L26" i="8" s="1"/>
  <c r="N15" i="8"/>
  <c r="M18" i="8"/>
  <c r="R15" i="9"/>
  <c r="P20" i="9"/>
  <c r="R22" i="9"/>
  <c r="N15" i="6"/>
  <c r="M18" i="6"/>
  <c r="M20" i="6" s="1"/>
  <c r="Q13" i="6"/>
  <c r="Q22" i="6"/>
  <c r="R7" i="6"/>
  <c r="L26" i="6"/>
  <c r="L27" i="6" s="1"/>
  <c r="L27" i="8" l="1"/>
  <c r="O27" i="9"/>
  <c r="R18" i="9"/>
  <c r="P26" i="9"/>
  <c r="O15" i="8"/>
  <c r="N18" i="8"/>
  <c r="M20" i="8"/>
  <c r="M26" i="8" s="1"/>
  <c r="M27" i="8" s="1"/>
  <c r="R7" i="8"/>
  <c r="R11" i="8"/>
  <c r="Q22" i="8"/>
  <c r="Q13" i="8"/>
  <c r="R20" i="9"/>
  <c r="R26" i="9" s="1"/>
  <c r="Q20" i="9"/>
  <c r="R11" i="6"/>
  <c r="M26" i="6"/>
  <c r="M27" i="6" s="1"/>
  <c r="O15" i="6"/>
  <c r="N18" i="6"/>
  <c r="N20" i="6" s="1"/>
  <c r="P27" i="9" l="1"/>
  <c r="R13" i="6"/>
  <c r="R18" i="6" s="1"/>
  <c r="R20" i="6" s="1"/>
  <c r="Q26" i="9"/>
  <c r="C46" i="9" s="1"/>
  <c r="R13" i="8"/>
  <c r="R22" i="8"/>
  <c r="N20" i="8"/>
  <c r="N26" i="8" s="1"/>
  <c r="P15" i="8"/>
  <c r="O18" i="8"/>
  <c r="P15" i="6"/>
  <c r="O18" i="6"/>
  <c r="O20" i="6" s="1"/>
  <c r="N26" i="6"/>
  <c r="N27" i="6" s="1"/>
  <c r="N27" i="8" l="1"/>
  <c r="Q27" i="9"/>
  <c r="R27" i="9" s="1"/>
  <c r="Q15" i="8"/>
  <c r="P18" i="8"/>
  <c r="O20" i="8"/>
  <c r="O26" i="8" s="1"/>
  <c r="O26" i="6"/>
  <c r="O27" i="6" s="1"/>
  <c r="Q15" i="6"/>
  <c r="P18" i="6"/>
  <c r="P20" i="6" s="1"/>
  <c r="O27" i="8" l="1"/>
  <c r="P20" i="8"/>
  <c r="P26" i="8" s="1"/>
  <c r="R15" i="8"/>
  <c r="R18" i="8" s="1"/>
  <c r="Q18" i="8"/>
  <c r="P26" i="6"/>
  <c r="P27" i="6" s="1"/>
  <c r="Q18" i="6"/>
  <c r="Q20" i="6" s="1"/>
  <c r="P27" i="8" l="1"/>
  <c r="Q20" i="8"/>
  <c r="Q26" i="8" s="1"/>
  <c r="R20" i="8"/>
  <c r="R26" i="8" s="1"/>
  <c r="C47" i="8" s="1"/>
  <c r="R26" i="6"/>
  <c r="Q26" i="6"/>
  <c r="Q27" i="6" s="1"/>
  <c r="Q27" i="8" l="1"/>
  <c r="R27" i="8" s="1"/>
  <c r="C47" i="6"/>
  <c r="R27" i="6"/>
  <c r="I10" i="10" l="1"/>
  <c r="I9" i="10"/>
  <c r="I7" i="10"/>
  <c r="I11" i="10"/>
  <c r="J5" i="10"/>
  <c r="I5" i="10"/>
  <c r="D27" i="10"/>
  <c r="E27" i="10" s="1"/>
  <c r="F27" i="10" s="1"/>
  <c r="G27" i="10" s="1"/>
  <c r="H27" i="10" s="1"/>
  <c r="E15" i="10"/>
  <c r="F15" i="10" s="1"/>
  <c r="G15" i="10" s="1"/>
  <c r="H15" i="10" s="1"/>
  <c r="I15" i="10" s="1"/>
  <c r="J10" i="10"/>
  <c r="I22" i="10" l="1"/>
  <c r="J11" i="10"/>
  <c r="J7" i="10"/>
  <c r="J22" i="10" s="1"/>
  <c r="J15" i="10"/>
  <c r="I13" i="10"/>
  <c r="J13" i="10"/>
  <c r="J18" i="10" s="1"/>
  <c r="K5" i="10"/>
  <c r="C33" i="4"/>
  <c r="I5" i="4" s="1"/>
  <c r="C33" i="5"/>
  <c r="I5" i="5" s="1"/>
  <c r="C33" i="1"/>
  <c r="I5" i="1" s="1"/>
  <c r="C18" i="7"/>
  <c r="D18" i="7"/>
  <c r="E15" i="7"/>
  <c r="E18" i="7" s="1"/>
  <c r="E26" i="7" s="1"/>
  <c r="I10" i="7"/>
  <c r="I11" i="7" s="1"/>
  <c r="I7" i="7"/>
  <c r="J5" i="7"/>
  <c r="K5" i="7"/>
  <c r="L5" i="7"/>
  <c r="M5" i="7"/>
  <c r="N5" i="7"/>
  <c r="O5" i="7"/>
  <c r="P5" i="7"/>
  <c r="Q5" i="7"/>
  <c r="R5" i="7" s="1"/>
  <c r="D18" i="5"/>
  <c r="C18" i="5"/>
  <c r="E15" i="5"/>
  <c r="D18" i="4"/>
  <c r="C18" i="4"/>
  <c r="E15" i="4"/>
  <c r="D18" i="1"/>
  <c r="C18" i="1"/>
  <c r="F27" i="3"/>
  <c r="G27" i="3" s="1"/>
  <c r="H27" i="3" s="1"/>
  <c r="F15" i="3"/>
  <c r="G15" i="3"/>
  <c r="H15" i="3"/>
  <c r="K15" i="3"/>
  <c r="L15" i="3"/>
  <c r="M15" i="3"/>
  <c r="N15" i="3"/>
  <c r="O15" i="3"/>
  <c r="P15" i="3"/>
  <c r="Q15" i="3"/>
  <c r="R15" i="3"/>
  <c r="I10" i="3"/>
  <c r="J5" i="3"/>
  <c r="K5" i="3"/>
  <c r="L5" i="3"/>
  <c r="N5" i="3"/>
  <c r="O5" i="3"/>
  <c r="P5" i="3"/>
  <c r="Q5" i="3"/>
  <c r="R5" i="3"/>
  <c r="E15" i="1"/>
  <c r="F15" i="1" s="1"/>
  <c r="D26" i="7" l="1"/>
  <c r="D26" i="4"/>
  <c r="D26" i="5"/>
  <c r="D26" i="1"/>
  <c r="D27" i="1" s="1"/>
  <c r="I10" i="1"/>
  <c r="I9" i="1"/>
  <c r="E18" i="1"/>
  <c r="E26" i="1" s="1"/>
  <c r="K15" i="10"/>
  <c r="L5" i="10"/>
  <c r="K7" i="10"/>
  <c r="K10" i="10"/>
  <c r="K11" i="10"/>
  <c r="I20" i="10"/>
  <c r="F15" i="7"/>
  <c r="I7" i="5"/>
  <c r="I9" i="5"/>
  <c r="I11" i="5" s="1"/>
  <c r="J5" i="5"/>
  <c r="I7" i="4"/>
  <c r="J5" i="4"/>
  <c r="K5" i="4" s="1"/>
  <c r="I10" i="4"/>
  <c r="I11" i="4"/>
  <c r="F18" i="1"/>
  <c r="F26" i="1" s="1"/>
  <c r="G15" i="1"/>
  <c r="J5" i="1"/>
  <c r="I7" i="1"/>
  <c r="I22" i="1" s="1"/>
  <c r="R10" i="7"/>
  <c r="R7" i="7"/>
  <c r="Q10" i="7"/>
  <c r="Q7" i="7"/>
  <c r="P10" i="7"/>
  <c r="P7" i="7"/>
  <c r="O10" i="7"/>
  <c r="O7" i="7"/>
  <c r="N10" i="7"/>
  <c r="N7" i="7"/>
  <c r="M10" i="7"/>
  <c r="M11" i="7" s="1"/>
  <c r="M7" i="7"/>
  <c r="L10" i="7"/>
  <c r="L7" i="7"/>
  <c r="K10" i="7"/>
  <c r="K7" i="7"/>
  <c r="J10" i="7"/>
  <c r="J7" i="7"/>
  <c r="I22" i="7"/>
  <c r="I13" i="7"/>
  <c r="J11" i="5"/>
  <c r="J7" i="5"/>
  <c r="K5" i="5"/>
  <c r="I22" i="5"/>
  <c r="E18" i="5"/>
  <c r="E26" i="5" s="1"/>
  <c r="F15" i="5"/>
  <c r="J10" i="4"/>
  <c r="J11" i="4"/>
  <c r="J7" i="4"/>
  <c r="I22" i="4"/>
  <c r="E18" i="4"/>
  <c r="E26" i="4" s="1"/>
  <c r="F15" i="4"/>
  <c r="R7" i="3"/>
  <c r="Q10" i="3"/>
  <c r="Q7" i="3"/>
  <c r="P10" i="3"/>
  <c r="P7" i="3"/>
  <c r="O10" i="3"/>
  <c r="O7" i="3"/>
  <c r="N10" i="3"/>
  <c r="N7" i="3"/>
  <c r="M10" i="3"/>
  <c r="M7" i="3"/>
  <c r="L7" i="3"/>
  <c r="K10" i="3"/>
  <c r="K7" i="3"/>
  <c r="J10" i="3"/>
  <c r="J7" i="3"/>
  <c r="D27" i="5" l="1"/>
  <c r="E27" i="5" s="1"/>
  <c r="D27" i="7"/>
  <c r="E27" i="7" s="1"/>
  <c r="D27" i="4"/>
  <c r="E27" i="4" s="1"/>
  <c r="E27" i="1"/>
  <c r="K5" i="1"/>
  <c r="I26" i="10"/>
  <c r="L7" i="10"/>
  <c r="M5" i="10"/>
  <c r="L10" i="10"/>
  <c r="L15" i="10"/>
  <c r="K22" i="10"/>
  <c r="K13" i="10"/>
  <c r="K18" i="10" s="1"/>
  <c r="J20" i="10"/>
  <c r="F18" i="7"/>
  <c r="G15" i="7"/>
  <c r="I13" i="5"/>
  <c r="I13" i="4"/>
  <c r="H15" i="1"/>
  <c r="G18" i="1"/>
  <c r="G26" i="1" s="1"/>
  <c r="F27" i="1"/>
  <c r="J10" i="1"/>
  <c r="J11" i="1"/>
  <c r="J7" i="1"/>
  <c r="J22" i="1" s="1"/>
  <c r="I11" i="1"/>
  <c r="I13" i="1" s="1"/>
  <c r="J22" i="7"/>
  <c r="J11" i="7"/>
  <c r="J13" i="7" s="1"/>
  <c r="K22" i="7"/>
  <c r="K11" i="7"/>
  <c r="K13" i="7" s="1"/>
  <c r="L22" i="7"/>
  <c r="L11" i="7"/>
  <c r="L13" i="7" s="1"/>
  <c r="M22" i="7"/>
  <c r="M13" i="7"/>
  <c r="N22" i="7"/>
  <c r="N11" i="7"/>
  <c r="N13" i="7" s="1"/>
  <c r="O22" i="7"/>
  <c r="O11" i="7"/>
  <c r="O13" i="7" s="1"/>
  <c r="P22" i="7"/>
  <c r="P11" i="7"/>
  <c r="P13" i="7" s="1"/>
  <c r="Q22" i="7"/>
  <c r="Q11" i="7"/>
  <c r="Q13" i="7" s="1"/>
  <c r="R22" i="7"/>
  <c r="R11" i="7"/>
  <c r="R13" i="7" s="1"/>
  <c r="F18" i="5"/>
  <c r="G15" i="5"/>
  <c r="K11" i="5"/>
  <c r="K7" i="5"/>
  <c r="L5" i="5"/>
  <c r="J22" i="5"/>
  <c r="J13" i="5"/>
  <c r="F18" i="4"/>
  <c r="F26" i="4" s="1"/>
  <c r="G15" i="4"/>
  <c r="K10" i="4"/>
  <c r="K11" i="4"/>
  <c r="K7" i="4"/>
  <c r="L5" i="4"/>
  <c r="J22" i="4"/>
  <c r="J13" i="4"/>
  <c r="J22" i="3"/>
  <c r="J11" i="3"/>
  <c r="J13" i="3" s="1"/>
  <c r="J18" i="3" s="1"/>
  <c r="K22" i="3"/>
  <c r="K11" i="3"/>
  <c r="K13" i="3" s="1"/>
  <c r="K18" i="3" s="1"/>
  <c r="L22" i="3"/>
  <c r="L11" i="3"/>
  <c r="L13" i="3" s="1"/>
  <c r="L18" i="3" s="1"/>
  <c r="M22" i="3"/>
  <c r="M13" i="3"/>
  <c r="M18" i="3" s="1"/>
  <c r="N22" i="3"/>
  <c r="N11" i="3"/>
  <c r="N13" i="3" s="1"/>
  <c r="N18" i="3" s="1"/>
  <c r="O22" i="3"/>
  <c r="O11" i="3"/>
  <c r="O13" i="3" s="1"/>
  <c r="O18" i="3" s="1"/>
  <c r="P22" i="3"/>
  <c r="P11" i="3"/>
  <c r="P13" i="3" s="1"/>
  <c r="P18" i="3" s="1"/>
  <c r="Q22" i="3"/>
  <c r="Q11" i="3"/>
  <c r="R22" i="3"/>
  <c r="R11" i="3"/>
  <c r="R13" i="3" s="1"/>
  <c r="R18" i="3" s="1"/>
  <c r="L5" i="1"/>
  <c r="K10" i="1"/>
  <c r="K11" i="1"/>
  <c r="K7" i="1"/>
  <c r="F26" i="7" l="1"/>
  <c r="F27" i="4"/>
  <c r="L20" i="3"/>
  <c r="L26" i="3" s="1"/>
  <c r="Q13" i="3"/>
  <c r="Q18" i="3" s="1"/>
  <c r="O20" i="3"/>
  <c r="O26" i="3" s="1"/>
  <c r="M20" i="3"/>
  <c r="M26" i="3" s="1"/>
  <c r="J20" i="3"/>
  <c r="J26" i="3"/>
  <c r="R20" i="3"/>
  <c r="R26" i="3" s="1"/>
  <c r="K20" i="3"/>
  <c r="K26" i="3" s="1"/>
  <c r="P20" i="3"/>
  <c r="P26" i="3" s="1"/>
  <c r="N20" i="3"/>
  <c r="N26" i="3" s="1"/>
  <c r="F26" i="5"/>
  <c r="I27" i="10"/>
  <c r="I27" i="3"/>
  <c r="L7" i="1"/>
  <c r="J26" i="10"/>
  <c r="L11" i="10"/>
  <c r="L13" i="10" s="1"/>
  <c r="L18" i="10" s="1"/>
  <c r="K20" i="10"/>
  <c r="M7" i="10"/>
  <c r="M10" i="10"/>
  <c r="M11" i="10" s="1"/>
  <c r="N5" i="10"/>
  <c r="L22" i="10"/>
  <c r="M15" i="10"/>
  <c r="G18" i="7"/>
  <c r="H15" i="7"/>
  <c r="G27" i="1"/>
  <c r="H18" i="1"/>
  <c r="H26" i="1" s="1"/>
  <c r="I15" i="1"/>
  <c r="J15" i="1" s="1"/>
  <c r="K15" i="1" s="1"/>
  <c r="L15" i="1" s="1"/>
  <c r="M15" i="1" s="1"/>
  <c r="N15" i="1" s="1"/>
  <c r="J13" i="1"/>
  <c r="J18" i="1" s="1"/>
  <c r="J20" i="1" s="1"/>
  <c r="L11" i="5"/>
  <c r="L7" i="5"/>
  <c r="M5" i="5"/>
  <c r="K22" i="5"/>
  <c r="K13" i="5"/>
  <c r="G18" i="5"/>
  <c r="H15" i="5"/>
  <c r="L10" i="4"/>
  <c r="L7" i="4"/>
  <c r="M5" i="4"/>
  <c r="K22" i="4"/>
  <c r="K13" i="4"/>
  <c r="G18" i="4"/>
  <c r="H15" i="4"/>
  <c r="L22" i="1"/>
  <c r="K13" i="1"/>
  <c r="K22" i="1"/>
  <c r="L10" i="1"/>
  <c r="M5" i="1"/>
  <c r="F27" i="5" l="1"/>
  <c r="G26" i="7"/>
  <c r="F27" i="7"/>
  <c r="G27" i="7" s="1"/>
  <c r="G26" i="4"/>
  <c r="Q20" i="3"/>
  <c r="Q26" i="3" s="1"/>
  <c r="J27" i="3"/>
  <c r="K27" i="3" s="1"/>
  <c r="L27" i="3" s="1"/>
  <c r="M27" i="3" s="1"/>
  <c r="N27" i="3" s="1"/>
  <c r="O27" i="3" s="1"/>
  <c r="P27" i="3" s="1"/>
  <c r="J27" i="10"/>
  <c r="G26" i="5"/>
  <c r="G27" i="5" s="1"/>
  <c r="I18" i="1"/>
  <c r="K18" i="1"/>
  <c r="K20" i="1" s="1"/>
  <c r="J26" i="1"/>
  <c r="K26" i="10"/>
  <c r="N15" i="10"/>
  <c r="N10" i="10"/>
  <c r="N7" i="10"/>
  <c r="N11" i="10"/>
  <c r="O5" i="10"/>
  <c r="L20" i="10"/>
  <c r="M13" i="10"/>
  <c r="M18" i="10" s="1"/>
  <c r="M22" i="10"/>
  <c r="H18" i="7"/>
  <c r="I15" i="7"/>
  <c r="L11" i="4"/>
  <c r="K26" i="1"/>
  <c r="H27" i="1"/>
  <c r="H18" i="5"/>
  <c r="I15" i="5"/>
  <c r="I18" i="5" s="1"/>
  <c r="M11" i="5"/>
  <c r="M7" i="5"/>
  <c r="N5" i="5"/>
  <c r="L22" i="5"/>
  <c r="L13" i="5"/>
  <c r="H18" i="4"/>
  <c r="I15" i="4"/>
  <c r="I18" i="4" s="1"/>
  <c r="M10" i="4"/>
  <c r="M11" i="4" s="1"/>
  <c r="M7" i="4"/>
  <c r="N5" i="4"/>
  <c r="L22" i="4"/>
  <c r="L13" i="4"/>
  <c r="L11" i="1"/>
  <c r="L13" i="1" s="1"/>
  <c r="L18" i="1" s="1"/>
  <c r="L20" i="1" s="1"/>
  <c r="O15" i="1"/>
  <c r="M7" i="1"/>
  <c r="M10" i="1"/>
  <c r="M11" i="1" s="1"/>
  <c r="N5" i="1"/>
  <c r="H26" i="7" l="1"/>
  <c r="H27" i="7" s="1"/>
  <c r="H26" i="4"/>
  <c r="G27" i="4"/>
  <c r="H27" i="4" s="1"/>
  <c r="Q27" i="3"/>
  <c r="R27" i="3" s="1"/>
  <c r="H26" i="5"/>
  <c r="H27" i="5" s="1"/>
  <c r="K27" i="10"/>
  <c r="L26" i="1"/>
  <c r="L26" i="10"/>
  <c r="I26" i="1"/>
  <c r="P5" i="10"/>
  <c r="O7" i="10"/>
  <c r="O10" i="10"/>
  <c r="N22" i="10"/>
  <c r="N13" i="10"/>
  <c r="N18" i="10" s="1"/>
  <c r="O15" i="10"/>
  <c r="M20" i="10"/>
  <c r="J15" i="7"/>
  <c r="I18" i="7"/>
  <c r="N11" i="5"/>
  <c r="N7" i="5"/>
  <c r="O5" i="5"/>
  <c r="M22" i="5"/>
  <c r="M13" i="5"/>
  <c r="J15" i="5"/>
  <c r="N10" i="4"/>
  <c r="N7" i="4"/>
  <c r="O5" i="4"/>
  <c r="M22" i="4"/>
  <c r="M13" i="4"/>
  <c r="J15" i="4"/>
  <c r="M13" i="1"/>
  <c r="M18" i="1" s="1"/>
  <c r="M20" i="1" s="1"/>
  <c r="M22" i="1"/>
  <c r="P15" i="1"/>
  <c r="N7" i="1"/>
  <c r="N10" i="1"/>
  <c r="O5" i="1"/>
  <c r="L27" i="10" l="1"/>
  <c r="M26" i="1"/>
  <c r="I20" i="7"/>
  <c r="I26" i="7" s="1"/>
  <c r="M26" i="10"/>
  <c r="I27" i="1"/>
  <c r="J27" i="1" s="1"/>
  <c r="K27" i="1" s="1"/>
  <c r="L27" i="1" s="1"/>
  <c r="O22" i="10"/>
  <c r="P15" i="10"/>
  <c r="N20" i="10"/>
  <c r="N26" i="10" s="1"/>
  <c r="O11" i="10"/>
  <c r="O13" i="10" s="1"/>
  <c r="O18" i="10" s="1"/>
  <c r="Q5" i="10"/>
  <c r="P11" i="10"/>
  <c r="P10" i="10"/>
  <c r="P7" i="10"/>
  <c r="K15" i="7"/>
  <c r="J18" i="7"/>
  <c r="N11" i="4"/>
  <c r="N13" i="4" s="1"/>
  <c r="N11" i="1"/>
  <c r="N13" i="1" s="1"/>
  <c r="N18" i="1" s="1"/>
  <c r="N20" i="1" s="1"/>
  <c r="I20" i="5"/>
  <c r="I26" i="5" s="1"/>
  <c r="K15" i="5"/>
  <c r="J18" i="5"/>
  <c r="O11" i="5"/>
  <c r="O7" i="5"/>
  <c r="P5" i="5"/>
  <c r="N22" i="5"/>
  <c r="N13" i="5"/>
  <c r="I20" i="4"/>
  <c r="I26" i="4" s="1"/>
  <c r="K15" i="4"/>
  <c r="J18" i="4"/>
  <c r="O10" i="4"/>
  <c r="O11" i="4"/>
  <c r="O7" i="4"/>
  <c r="P5" i="4"/>
  <c r="N22" i="4"/>
  <c r="N22" i="1"/>
  <c r="Q15" i="1"/>
  <c r="R15" i="1" s="1"/>
  <c r="O7" i="1"/>
  <c r="O10" i="1"/>
  <c r="O11" i="1"/>
  <c r="O13" i="1" s="1"/>
  <c r="O18" i="1" s="1"/>
  <c r="O20" i="1" s="1"/>
  <c r="P5" i="1"/>
  <c r="M27" i="10" l="1"/>
  <c r="N27" i="10" s="1"/>
  <c r="M27" i="1"/>
  <c r="N26" i="1"/>
  <c r="J20" i="7"/>
  <c r="J26" i="7" s="1"/>
  <c r="I27" i="7"/>
  <c r="R5" i="10"/>
  <c r="Q10" i="10"/>
  <c r="Q7" i="10"/>
  <c r="Q11" i="10"/>
  <c r="Q15" i="10"/>
  <c r="O20" i="10"/>
  <c r="P22" i="10"/>
  <c r="P13" i="10"/>
  <c r="P18" i="10" s="1"/>
  <c r="L15" i="7"/>
  <c r="K18" i="7"/>
  <c r="I27" i="5"/>
  <c r="I27" i="4"/>
  <c r="P11" i="5"/>
  <c r="P7" i="5"/>
  <c r="Q5" i="5"/>
  <c r="O22" i="5"/>
  <c r="O13" i="5"/>
  <c r="J20" i="5"/>
  <c r="J26" i="5" s="1"/>
  <c r="L15" i="5"/>
  <c r="K18" i="5"/>
  <c r="P10" i="4"/>
  <c r="P7" i="4"/>
  <c r="Q5" i="4"/>
  <c r="O22" i="4"/>
  <c r="O13" i="4"/>
  <c r="J20" i="4"/>
  <c r="J26" i="4" s="1"/>
  <c r="L15" i="4"/>
  <c r="K18" i="4"/>
  <c r="O22" i="1"/>
  <c r="P7" i="1"/>
  <c r="P10" i="1"/>
  <c r="Q5" i="1"/>
  <c r="J27" i="5" l="1"/>
  <c r="O26" i="1"/>
  <c r="N27" i="1"/>
  <c r="K20" i="7"/>
  <c r="K26" i="7"/>
  <c r="J27" i="7"/>
  <c r="O26" i="10"/>
  <c r="O27" i="10" s="1"/>
  <c r="R15" i="10"/>
  <c r="P20" i="10"/>
  <c r="P26" i="10" s="1"/>
  <c r="Q22" i="10"/>
  <c r="Q13" i="10"/>
  <c r="Q18" i="10" s="1"/>
  <c r="R7" i="10"/>
  <c r="R10" i="10"/>
  <c r="M15" i="7"/>
  <c r="L18" i="7"/>
  <c r="P11" i="4"/>
  <c r="P13" i="4" s="1"/>
  <c r="J27" i="4"/>
  <c r="P11" i="1"/>
  <c r="P13" i="1" s="1"/>
  <c r="P18" i="1" s="1"/>
  <c r="P20" i="1" s="1"/>
  <c r="K20" i="5"/>
  <c r="M15" i="5"/>
  <c r="L18" i="5"/>
  <c r="Q11" i="5"/>
  <c r="Q7" i="5"/>
  <c r="R5" i="5"/>
  <c r="P22" i="5"/>
  <c r="P13" i="5"/>
  <c r="K20" i="4"/>
  <c r="K26" i="4" s="1"/>
  <c r="M15" i="4"/>
  <c r="L18" i="4"/>
  <c r="Q10" i="4"/>
  <c r="Q7" i="4"/>
  <c r="R5" i="4"/>
  <c r="P22" i="4"/>
  <c r="P22" i="1"/>
  <c r="Q7" i="1"/>
  <c r="Q10" i="1"/>
  <c r="R5" i="1"/>
  <c r="K26" i="5" l="1"/>
  <c r="P27" i="10"/>
  <c r="O27" i="1"/>
  <c r="P26" i="1"/>
  <c r="P27" i="1" s="1"/>
  <c r="L20" i="7"/>
  <c r="L26" i="7" s="1"/>
  <c r="K27" i="7"/>
  <c r="K27" i="4"/>
  <c r="R22" i="10"/>
  <c r="R11" i="10"/>
  <c r="R13" i="10" s="1"/>
  <c r="R18" i="10" s="1"/>
  <c r="R20" i="10" s="1"/>
  <c r="R26" i="10" s="1"/>
  <c r="Q20" i="10"/>
  <c r="N15" i="7"/>
  <c r="M18" i="7"/>
  <c r="Q11" i="4"/>
  <c r="Q13" i="4" s="1"/>
  <c r="Q11" i="1"/>
  <c r="Q20" i="1" s="1"/>
  <c r="R11" i="5"/>
  <c r="R7" i="5"/>
  <c r="Q22" i="5"/>
  <c r="Q13" i="5"/>
  <c r="L20" i="5"/>
  <c r="L26" i="5" s="1"/>
  <c r="N15" i="5"/>
  <c r="M18" i="5"/>
  <c r="R10" i="4"/>
  <c r="R7" i="4"/>
  <c r="Q22" i="4"/>
  <c r="L20" i="4"/>
  <c r="L26" i="4" s="1"/>
  <c r="N15" i="4"/>
  <c r="M18" i="4"/>
  <c r="Q22" i="1"/>
  <c r="R7" i="1"/>
  <c r="R22" i="1" s="1"/>
  <c r="R11" i="1"/>
  <c r="R13" i="1" s="1"/>
  <c r="K27" i="5" l="1"/>
  <c r="L27" i="5" s="1"/>
  <c r="L27" i="4"/>
  <c r="Q26" i="1"/>
  <c r="Q27" i="1" s="1"/>
  <c r="R20" i="1"/>
  <c r="M20" i="7"/>
  <c r="M26" i="7" s="1"/>
  <c r="L27" i="7"/>
  <c r="Q26" i="10"/>
  <c r="Q27" i="10" s="1"/>
  <c r="R27" i="10" s="1"/>
  <c r="O15" i="7"/>
  <c r="N18" i="7"/>
  <c r="R11" i="4"/>
  <c r="R13" i="4" s="1"/>
  <c r="M20" i="5"/>
  <c r="O15" i="5"/>
  <c r="N18" i="5"/>
  <c r="R22" i="5"/>
  <c r="R13" i="5"/>
  <c r="M20" i="4"/>
  <c r="O15" i="4"/>
  <c r="N18" i="4"/>
  <c r="R22" i="4"/>
  <c r="C46" i="10" l="1"/>
  <c r="M26" i="4"/>
  <c r="M27" i="4" s="1"/>
  <c r="M26" i="5"/>
  <c r="R26" i="1"/>
  <c r="R27" i="1" s="1"/>
  <c r="N20" i="7"/>
  <c r="N26" i="7" s="1"/>
  <c r="M27" i="7"/>
  <c r="P15" i="7"/>
  <c r="O18" i="7"/>
  <c r="N20" i="5"/>
  <c r="N26" i="5" s="1"/>
  <c r="P15" i="5"/>
  <c r="O18" i="5"/>
  <c r="N20" i="4"/>
  <c r="P15" i="4"/>
  <c r="O18" i="4"/>
  <c r="M27" i="5" l="1"/>
  <c r="N26" i="4"/>
  <c r="N27" i="4" s="1"/>
  <c r="N27" i="5"/>
  <c r="O20" i="7"/>
  <c r="O26" i="7" s="1"/>
  <c r="N27" i="7"/>
  <c r="Q15" i="7"/>
  <c r="P18" i="7"/>
  <c r="O20" i="5"/>
  <c r="O26" i="5" s="1"/>
  <c r="Q15" i="5"/>
  <c r="P18" i="5"/>
  <c r="O20" i="4"/>
  <c r="Q15" i="4"/>
  <c r="P18" i="4"/>
  <c r="O26" i="4" l="1"/>
  <c r="O27" i="4" s="1"/>
  <c r="O27" i="5"/>
  <c r="P20" i="7"/>
  <c r="P26" i="7" s="1"/>
  <c r="O27" i="7"/>
  <c r="R15" i="7"/>
  <c r="R18" i="7" s="1"/>
  <c r="Q18" i="7"/>
  <c r="P20" i="5"/>
  <c r="P26" i="5" s="1"/>
  <c r="R15" i="5"/>
  <c r="R18" i="5" s="1"/>
  <c r="Q18" i="5"/>
  <c r="P20" i="4"/>
  <c r="P26" i="4" s="1"/>
  <c r="R15" i="4"/>
  <c r="R18" i="4" s="1"/>
  <c r="Q18" i="4"/>
  <c r="P27" i="4" l="1"/>
  <c r="P27" i="5"/>
  <c r="Q20" i="7"/>
  <c r="Q26" i="7" s="1"/>
  <c r="R20" i="7"/>
  <c r="R26" i="7" s="1"/>
  <c r="C47" i="7" s="1"/>
  <c r="P27" i="7"/>
  <c r="Q20" i="5"/>
  <c r="R20" i="5"/>
  <c r="R26" i="5" s="1"/>
  <c r="Q20" i="4"/>
  <c r="Q26" i="4" s="1"/>
  <c r="R20" i="4"/>
  <c r="R26" i="4" s="1"/>
  <c r="C47" i="4" l="1"/>
  <c r="Q27" i="4"/>
  <c r="R27" i="4" s="1"/>
  <c r="Q26" i="5"/>
  <c r="Q27" i="5" s="1"/>
  <c r="R27" i="5" s="1"/>
  <c r="Q27" i="7"/>
  <c r="R27" i="7" s="1"/>
  <c r="C47" i="5" l="1"/>
</calcChain>
</file>

<file path=xl/sharedStrings.xml><?xml version="1.0" encoding="utf-8"?>
<sst xmlns="http://schemas.openxmlformats.org/spreadsheetml/2006/main" count="361" uniqueCount="42">
  <si>
    <t>Volume</t>
  </si>
  <si>
    <t>Revenue</t>
  </si>
  <si>
    <t>Std. Cost</t>
  </si>
  <si>
    <t>Warranty</t>
  </si>
  <si>
    <t>Total COGS</t>
  </si>
  <si>
    <t>Gross Margin $</t>
  </si>
  <si>
    <t>Selling and Admin O/H</t>
  </si>
  <si>
    <t>Development Expense</t>
  </si>
  <si>
    <t>EBITDA</t>
  </si>
  <si>
    <t>Depreciation</t>
  </si>
  <si>
    <t>Income Tax Expense</t>
  </si>
  <si>
    <t>Net Working Capital</t>
  </si>
  <si>
    <t>Net Change in WC</t>
  </si>
  <si>
    <t>Capital Expenditure</t>
  </si>
  <si>
    <t>Free Cash Flow</t>
  </si>
  <si>
    <t>Cumulative Free Cashflow</t>
  </si>
  <si>
    <t>Option 1: Keep X15 Engine</t>
  </si>
  <si>
    <t>Base case / bare minimum to comply with laws</t>
  </si>
  <si>
    <t>Value Drivers</t>
  </si>
  <si>
    <t>Volume in 2030</t>
  </si>
  <si>
    <t>units</t>
  </si>
  <si>
    <t>Volume Growth rate</t>
  </si>
  <si>
    <t>Price per unit</t>
  </si>
  <si>
    <t>Cost per unit (timeline to the right)</t>
  </si>
  <si>
    <t>Warranty cost per unit</t>
  </si>
  <si>
    <t>Selling and Admin in 2025</t>
  </si>
  <si>
    <t>Selling and Admin growth rate</t>
  </si>
  <si>
    <t>per year</t>
  </si>
  <si>
    <t>Net working capital</t>
  </si>
  <si>
    <t>of sales</t>
  </si>
  <si>
    <t>Tax Rate</t>
  </si>
  <si>
    <t>Interest/Discount rate</t>
  </si>
  <si>
    <t>Net Present Value</t>
  </si>
  <si>
    <t>Option 2: X15 Expansion</t>
  </si>
  <si>
    <t>Option 3: X15H Hydrogen Engine</t>
  </si>
  <si>
    <t xml:space="preserve"> $                                                      -  </t>
  </si>
  <si>
    <t xml:space="preserve"> $                                                     -  </t>
  </si>
  <si>
    <t>Sensitve Analysis #1: Volume for option 1 decreased by 25%</t>
  </si>
  <si>
    <t>Sensitve Analysis #2: cost/unit increase by 1%</t>
  </si>
  <si>
    <t>Sensitve Analysis #1: Volume for option 2 decreased by 50%</t>
  </si>
  <si>
    <t>Sensitve Analysis #1: Volume for option 3 decreased by 50%</t>
  </si>
  <si>
    <t>Sensitve Analysis #2:  cost/unit increase by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</si>
</sst>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3" x14ac:knownFonts="1">
    <font>
      <sz val="11"/>
      <color theme="1"/>
      <name val="Aptos Narrow"/>
      <family val="2"/>
      <scheme val="minor"/>
    </font>
    <font>
      <sz val="10"/>
      <color rgb="FFFFFFFF"/>
      <name val="Times New Roman"/>
      <family val="1"/>
    </font>
    <font>
      <b/>
      <sz val="10"/>
      <color rgb="FFFFFFFF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FFFFFF"/>
      <name val="Times New Roman"/>
      <family val="1"/>
    </font>
    <font>
      <b/>
      <i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11"/>
      <color theme="1"/>
      <name val="Times New Roman"/>
      <family val="1"/>
    </font>
    <font>
      <b/>
      <i/>
      <sz val="9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5E6A2"/>
        <bgColor rgb="FF000000"/>
      </patternFill>
    </fill>
  </fills>
  <borders count="85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indexed="64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rgb="FFCCCCCC"/>
      </bottom>
      <diagonal/>
    </border>
    <border>
      <left/>
      <right style="thin">
        <color indexed="64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hair">
        <color indexed="64"/>
      </bottom>
      <diagonal/>
    </border>
    <border>
      <left/>
      <right style="thin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indexed="64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/>
      <top style="thin">
        <color rgb="FF000000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/>
      <diagonal/>
    </border>
    <border>
      <left style="thin">
        <color indexed="64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000000"/>
      </left>
      <right style="thin">
        <color indexed="64"/>
      </right>
      <top style="thin">
        <color rgb="FFCCCCCC"/>
      </top>
      <bottom style="thin">
        <color rgb="FFCCCCCC"/>
      </bottom>
      <diagonal/>
    </border>
    <border>
      <left/>
      <right style="hair">
        <color indexed="64"/>
      </right>
      <top style="thin">
        <color rgb="FFCCCCCC"/>
      </top>
      <bottom style="thin">
        <color rgb="FFCCCCCC"/>
      </bottom>
      <diagonal/>
    </border>
    <border>
      <left/>
      <right style="hair">
        <color indexed="64"/>
      </right>
      <top style="thin">
        <color rgb="FFCCCCCC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  <border>
      <left/>
      <right style="thin">
        <color rgb="FF000000"/>
      </right>
      <top/>
      <bottom style="thin">
        <color rgb="FFCCCCCC"/>
      </bottom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000000"/>
      </bottom>
      <diagonal/>
    </border>
    <border>
      <left style="thin">
        <color rgb="FF000000"/>
      </left>
      <right style="thin">
        <color rgb="FFCCCCCC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CCCCCC"/>
      </bottom>
      <diagonal/>
    </border>
    <border>
      <left style="thin">
        <color rgb="FFCCCCCC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1">
    <xf numFmtId="0" fontId="0" fillId="0" borderId="0" xfId="0"/>
    <xf numFmtId="0" fontId="2" fillId="2" borderId="17" xfId="0" applyFont="1" applyFill="1" applyBorder="1" applyAlignment="1">
      <alignment readingOrder="1"/>
    </xf>
    <xf numFmtId="15" fontId="1" fillId="2" borderId="10" xfId="0" applyNumberFormat="1" applyFont="1" applyFill="1" applyBorder="1" applyAlignment="1">
      <alignment readingOrder="1"/>
    </xf>
    <xf numFmtId="0" fontId="2" fillId="2" borderId="10" xfId="0" applyFont="1" applyFill="1" applyBorder="1" applyAlignment="1">
      <alignment readingOrder="1"/>
    </xf>
    <xf numFmtId="0" fontId="3" fillId="3" borderId="8" xfId="0" applyFont="1" applyFill="1" applyBorder="1" applyAlignment="1">
      <alignment readingOrder="1"/>
    </xf>
    <xf numFmtId="0" fontId="4" fillId="0" borderId="11" xfId="0" applyFont="1" applyBorder="1" applyAlignment="1">
      <alignment readingOrder="1"/>
    </xf>
    <xf numFmtId="0" fontId="4" fillId="3" borderId="8" xfId="0" applyFont="1" applyFill="1" applyBorder="1" applyAlignment="1">
      <alignment readingOrder="1"/>
    </xf>
    <xf numFmtId="0" fontId="5" fillId="3" borderId="8" xfId="0" applyFont="1" applyFill="1" applyBorder="1" applyAlignment="1">
      <alignment readingOrder="1"/>
    </xf>
    <xf numFmtId="0" fontId="6" fillId="3" borderId="8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0" borderId="13" xfId="0" applyFont="1" applyBorder="1" applyAlignment="1">
      <alignment readingOrder="1"/>
    </xf>
    <xf numFmtId="0" fontId="3" fillId="0" borderId="16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7" fillId="0" borderId="1" xfId="0" applyFont="1" applyBorder="1" applyAlignment="1">
      <alignment readingOrder="1"/>
    </xf>
    <xf numFmtId="0" fontId="7" fillId="0" borderId="2" xfId="0" applyFont="1" applyBorder="1" applyAlignment="1">
      <alignment readingOrder="1"/>
    </xf>
    <xf numFmtId="0" fontId="7" fillId="0" borderId="6" xfId="0" applyFont="1" applyBorder="1" applyAlignment="1">
      <alignment readingOrder="1"/>
    </xf>
    <xf numFmtId="0" fontId="7" fillId="0" borderId="7" xfId="0" applyFont="1" applyBorder="1" applyAlignment="1">
      <alignment readingOrder="1"/>
    </xf>
    <xf numFmtId="0" fontId="7" fillId="0" borderId="0" xfId="0" applyFont="1"/>
    <xf numFmtId="0" fontId="7" fillId="0" borderId="8" xfId="0" applyFont="1" applyBorder="1" applyAlignment="1">
      <alignment readingOrder="1"/>
    </xf>
    <xf numFmtId="0" fontId="7" fillId="2" borderId="9" xfId="0" applyFont="1" applyFill="1" applyBorder="1" applyAlignment="1">
      <alignment readingOrder="1"/>
    </xf>
    <xf numFmtId="0" fontId="8" fillId="2" borderId="10" xfId="0" applyFont="1" applyFill="1" applyBorder="1" applyAlignment="1">
      <alignment readingOrder="1"/>
    </xf>
    <xf numFmtId="0" fontId="7" fillId="0" borderId="11" xfId="0" applyFont="1" applyBorder="1" applyAlignment="1">
      <alignment readingOrder="1"/>
    </xf>
    <xf numFmtId="0" fontId="7" fillId="0" borderId="9" xfId="0" applyFont="1" applyBorder="1" applyAlignment="1">
      <alignment readingOrder="1"/>
    </xf>
    <xf numFmtId="0" fontId="7" fillId="2" borderId="10" xfId="0" applyFont="1" applyFill="1" applyBorder="1" applyAlignment="1">
      <alignment readingOrder="1"/>
    </xf>
    <xf numFmtId="15" fontId="8" fillId="2" borderId="10" xfId="0" applyNumberFormat="1" applyFont="1" applyFill="1" applyBorder="1" applyAlignment="1">
      <alignment readingOrder="1"/>
    </xf>
    <xf numFmtId="0" fontId="7" fillId="3" borderId="9" xfId="0" applyFont="1" applyFill="1" applyBorder="1" applyAlignment="1">
      <alignment readingOrder="1"/>
    </xf>
    <xf numFmtId="164" fontId="7" fillId="3" borderId="11" xfId="0" applyNumberFormat="1" applyFont="1" applyFill="1" applyBorder="1" applyAlignment="1">
      <alignment readingOrder="1"/>
    </xf>
    <xf numFmtId="164" fontId="7" fillId="0" borderId="11" xfId="0" applyNumberFormat="1" applyFont="1" applyBorder="1" applyAlignment="1">
      <alignment readingOrder="1"/>
    </xf>
    <xf numFmtId="164" fontId="7" fillId="0" borderId="9" xfId="0" applyNumberFormat="1" applyFont="1" applyBorder="1" applyAlignment="1">
      <alignment readingOrder="1"/>
    </xf>
    <xf numFmtId="0" fontId="9" fillId="3" borderId="9" xfId="0" applyFont="1" applyFill="1" applyBorder="1" applyAlignment="1">
      <alignment readingOrder="1"/>
    </xf>
    <xf numFmtId="164" fontId="9" fillId="3" borderId="11" xfId="0" applyNumberFormat="1" applyFont="1" applyFill="1" applyBorder="1" applyAlignment="1">
      <alignment readingOrder="1"/>
    </xf>
    <xf numFmtId="164" fontId="10" fillId="0" borderId="0" xfId="0" applyNumberFormat="1" applyFont="1"/>
    <xf numFmtId="0" fontId="7" fillId="3" borderId="10" xfId="0" applyFont="1" applyFill="1" applyBorder="1" applyAlignment="1">
      <alignment readingOrder="1"/>
    </xf>
    <xf numFmtId="164" fontId="7" fillId="3" borderId="12" xfId="0" applyNumberFormat="1" applyFont="1" applyFill="1" applyBorder="1" applyAlignment="1">
      <alignment readingOrder="1"/>
    </xf>
    <xf numFmtId="164" fontId="7" fillId="0" borderId="12" xfId="0" applyNumberFormat="1" applyFont="1" applyBorder="1" applyAlignment="1">
      <alignment readingOrder="1"/>
    </xf>
    <xf numFmtId="164" fontId="7" fillId="0" borderId="10" xfId="0" applyNumberFormat="1" applyFont="1" applyBorder="1" applyAlignment="1">
      <alignment readingOrder="1"/>
    </xf>
    <xf numFmtId="0" fontId="7" fillId="0" borderId="13" xfId="0" applyFont="1" applyBorder="1" applyAlignment="1">
      <alignment readingOrder="1"/>
    </xf>
    <xf numFmtId="0" fontId="7" fillId="0" borderId="12" xfId="0" applyFont="1" applyBorder="1" applyAlignment="1">
      <alignment readingOrder="1"/>
    </xf>
    <xf numFmtId="44" fontId="7" fillId="0" borderId="12" xfId="0" applyNumberFormat="1" applyFont="1" applyBorder="1" applyAlignment="1">
      <alignment readingOrder="1"/>
    </xf>
    <xf numFmtId="44" fontId="7" fillId="0" borderId="11" xfId="0" applyNumberFormat="1" applyFont="1" applyBorder="1" applyAlignment="1">
      <alignment readingOrder="1"/>
    </xf>
    <xf numFmtId="0" fontId="7" fillId="0" borderId="14" xfId="0" applyFont="1" applyBorder="1" applyAlignment="1">
      <alignment readingOrder="1"/>
    </xf>
    <xf numFmtId="0" fontId="7" fillId="0" borderId="15" xfId="0" applyFont="1" applyBorder="1" applyAlignment="1">
      <alignment readingOrder="1"/>
    </xf>
    <xf numFmtId="0" fontId="7" fillId="0" borderId="10" xfId="0" applyFont="1" applyBorder="1" applyAlignment="1">
      <alignment readingOrder="1"/>
    </xf>
    <xf numFmtId="3" fontId="7" fillId="0" borderId="11" xfId="0" applyNumberFormat="1" applyFont="1" applyBorder="1" applyAlignment="1">
      <alignment readingOrder="1"/>
    </xf>
    <xf numFmtId="9" fontId="7" fillId="0" borderId="11" xfId="0" applyNumberFormat="1" applyFont="1" applyBorder="1" applyAlignment="1">
      <alignment readingOrder="1"/>
    </xf>
    <xf numFmtId="6" fontId="7" fillId="0" borderId="11" xfId="0" applyNumberFormat="1" applyFont="1" applyBorder="1" applyAlignment="1">
      <alignment readingOrder="1"/>
    </xf>
    <xf numFmtId="9" fontId="7" fillId="0" borderId="12" xfId="0" applyNumberFormat="1" applyFont="1" applyBorder="1" applyAlignment="1">
      <alignment readingOrder="1"/>
    </xf>
    <xf numFmtId="6" fontId="7" fillId="4" borderId="12" xfId="0" applyNumberFormat="1" applyFont="1" applyFill="1" applyBorder="1" applyAlignment="1">
      <alignment readingOrder="1"/>
    </xf>
    <xf numFmtId="0" fontId="7" fillId="0" borderId="16" xfId="0" applyFont="1" applyBorder="1" applyAlignment="1">
      <alignment readingOrder="1"/>
    </xf>
    <xf numFmtId="44" fontId="7" fillId="3" borderId="11" xfId="0" applyNumberFormat="1" applyFont="1" applyFill="1" applyBorder="1" applyAlignment="1">
      <alignment readingOrder="1"/>
    </xf>
    <xf numFmtId="44" fontId="7" fillId="0" borderId="22" xfId="0" applyNumberFormat="1" applyFont="1" applyBorder="1" applyAlignment="1">
      <alignment readingOrder="1"/>
    </xf>
    <xf numFmtId="0" fontId="7" fillId="0" borderId="21" xfId="0" applyFont="1" applyBorder="1" applyAlignment="1">
      <alignment readingOrder="1"/>
    </xf>
    <xf numFmtId="44" fontId="7" fillId="0" borderId="23" xfId="0" applyNumberFormat="1" applyFont="1" applyBorder="1" applyAlignment="1">
      <alignment readingOrder="1"/>
    </xf>
    <xf numFmtId="44" fontId="9" fillId="3" borderId="11" xfId="0" applyNumberFormat="1" applyFont="1" applyFill="1" applyBorder="1" applyAlignment="1">
      <alignment readingOrder="1"/>
    </xf>
    <xf numFmtId="44" fontId="10" fillId="0" borderId="0" xfId="0" applyNumberFormat="1" applyFont="1"/>
    <xf numFmtId="44" fontId="10" fillId="0" borderId="24" xfId="0" applyNumberFormat="1" applyFont="1" applyBorder="1"/>
    <xf numFmtId="0" fontId="7" fillId="3" borderId="25" xfId="0" applyFont="1" applyFill="1" applyBorder="1" applyAlignment="1">
      <alignment readingOrder="1"/>
    </xf>
    <xf numFmtId="0" fontId="9" fillId="3" borderId="25" xfId="0" applyFont="1" applyFill="1" applyBorder="1" applyAlignment="1">
      <alignment readingOrder="1"/>
    </xf>
    <xf numFmtId="0" fontId="7" fillId="3" borderId="14" xfId="0" applyFont="1" applyFill="1" applyBorder="1" applyAlignment="1">
      <alignment readingOrder="1"/>
    </xf>
    <xf numFmtId="0" fontId="7" fillId="0" borderId="27" xfId="0" applyFont="1" applyBorder="1" applyAlignment="1">
      <alignment readingOrder="1"/>
    </xf>
    <xf numFmtId="0" fontId="7" fillId="0" borderId="20" xfId="0" applyFont="1" applyBorder="1" applyAlignment="1">
      <alignment readingOrder="1"/>
    </xf>
    <xf numFmtId="44" fontId="7" fillId="0" borderId="21" xfId="0" applyNumberFormat="1" applyFont="1" applyBorder="1" applyAlignment="1">
      <alignment readingOrder="1"/>
    </xf>
    <xf numFmtId="44" fontId="7" fillId="0" borderId="21" xfId="0" quotePrefix="1" applyNumberFormat="1" applyFont="1" applyBorder="1" applyAlignment="1">
      <alignment readingOrder="1"/>
    </xf>
    <xf numFmtId="44" fontId="7" fillId="0" borderId="35" xfId="0" applyNumberFormat="1" applyFont="1" applyBorder="1" applyAlignment="1">
      <alignment readingOrder="1"/>
    </xf>
    <xf numFmtId="44" fontId="7" fillId="3" borderId="12" xfId="0" applyNumberFormat="1" applyFont="1" applyFill="1" applyBorder="1" applyAlignment="1">
      <alignment readingOrder="1"/>
    </xf>
    <xf numFmtId="44" fontId="7" fillId="0" borderId="12" xfId="0" quotePrefix="1" applyNumberFormat="1" applyFont="1" applyBorder="1" applyAlignment="1">
      <alignment readingOrder="1"/>
    </xf>
    <xf numFmtId="44" fontId="7" fillId="0" borderId="0" xfId="0" applyNumberFormat="1" applyFont="1" applyAlignment="1">
      <alignment readingOrder="1"/>
    </xf>
    <xf numFmtId="0" fontId="11" fillId="0" borderId="0" xfId="0" applyFont="1"/>
    <xf numFmtId="0" fontId="4" fillId="0" borderId="0" xfId="0" applyFont="1" applyAlignment="1">
      <alignment readingOrder="1"/>
    </xf>
    <xf numFmtId="0" fontId="4" fillId="0" borderId="12" xfId="0" applyFont="1" applyBorder="1" applyAlignment="1">
      <alignment readingOrder="1"/>
    </xf>
    <xf numFmtId="0" fontId="4" fillId="0" borderId="10" xfId="0" applyFont="1" applyBorder="1" applyAlignment="1">
      <alignment readingOrder="1"/>
    </xf>
    <xf numFmtId="0" fontId="1" fillId="2" borderId="41" xfId="0" applyFont="1" applyFill="1" applyBorder="1" applyAlignment="1">
      <alignment readingOrder="1"/>
    </xf>
    <xf numFmtId="0" fontId="4" fillId="2" borderId="42" xfId="0" applyFont="1" applyFill="1" applyBorder="1" applyAlignment="1">
      <alignment readingOrder="1"/>
    </xf>
    <xf numFmtId="0" fontId="4" fillId="2" borderId="40" xfId="0" applyFont="1" applyFill="1" applyBorder="1" applyAlignment="1">
      <alignment readingOrder="1"/>
    </xf>
    <xf numFmtId="0" fontId="4" fillId="0" borderId="43" xfId="0" applyFont="1" applyBorder="1" applyAlignment="1">
      <alignment readingOrder="1"/>
    </xf>
    <xf numFmtId="0" fontId="4" fillId="0" borderId="44" xfId="0" applyFont="1" applyBorder="1" applyAlignment="1">
      <alignment readingOrder="1"/>
    </xf>
    <xf numFmtId="0" fontId="4" fillId="0" borderId="26" xfId="0" applyFont="1" applyBorder="1" applyAlignment="1">
      <alignment readingOrder="1"/>
    </xf>
    <xf numFmtId="0" fontId="4" fillId="0" borderId="25" xfId="0" applyFont="1" applyBorder="1" applyAlignment="1">
      <alignment readingOrder="1"/>
    </xf>
    <xf numFmtId="0" fontId="4" fillId="0" borderId="45" xfId="0" applyFont="1" applyBorder="1" applyAlignment="1">
      <alignment readingOrder="1"/>
    </xf>
    <xf numFmtId="0" fontId="4" fillId="0" borderId="46" xfId="0" applyFont="1" applyBorder="1" applyAlignment="1">
      <alignment readingOrder="1"/>
    </xf>
    <xf numFmtId="0" fontId="4" fillId="0" borderId="14" xfId="0" applyFont="1" applyBorder="1" applyAlignment="1">
      <alignment readingOrder="1"/>
    </xf>
    <xf numFmtId="0" fontId="4" fillId="0" borderId="47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44" fontId="4" fillId="3" borderId="11" xfId="0" applyNumberFormat="1" applyFont="1" applyFill="1" applyBorder="1" applyAlignment="1">
      <alignment readingOrder="1"/>
    </xf>
    <xf numFmtId="44" fontId="4" fillId="0" borderId="11" xfId="0" applyNumberFormat="1" applyFont="1" applyBorder="1" applyAlignment="1">
      <alignment readingOrder="1"/>
    </xf>
    <xf numFmtId="0" fontId="7" fillId="0" borderId="22" xfId="0" applyFont="1" applyBorder="1" applyAlignment="1">
      <alignment readingOrder="1"/>
    </xf>
    <xf numFmtId="0" fontId="7" fillId="0" borderId="48" xfId="0" applyFont="1" applyBorder="1" applyAlignment="1">
      <alignment readingOrder="1"/>
    </xf>
    <xf numFmtId="0" fontId="11" fillId="0" borderId="24" xfId="0" applyFont="1" applyBorder="1"/>
    <xf numFmtId="0" fontId="7" fillId="3" borderId="50" xfId="0" applyFont="1" applyFill="1" applyBorder="1" applyAlignment="1">
      <alignment readingOrder="1"/>
    </xf>
    <xf numFmtId="0" fontId="9" fillId="3" borderId="50" xfId="0" applyFont="1" applyFill="1" applyBorder="1" applyAlignment="1">
      <alignment readingOrder="1"/>
    </xf>
    <xf numFmtId="0" fontId="7" fillId="3" borderId="51" xfId="0" applyFont="1" applyFill="1" applyBorder="1" applyAlignment="1">
      <alignment readingOrder="1"/>
    </xf>
    <xf numFmtId="0" fontId="7" fillId="2" borderId="52" xfId="0" applyFont="1" applyFill="1" applyBorder="1" applyAlignment="1">
      <alignment readingOrder="1"/>
    </xf>
    <xf numFmtId="15" fontId="8" fillId="2" borderId="53" xfId="0" applyNumberFormat="1" applyFont="1" applyFill="1" applyBorder="1" applyAlignment="1">
      <alignment readingOrder="1"/>
    </xf>
    <xf numFmtId="0" fontId="8" fillId="2" borderId="53" xfId="0" applyFont="1" applyFill="1" applyBorder="1" applyAlignment="1">
      <alignment readingOrder="1"/>
    </xf>
    <xf numFmtId="0" fontId="7" fillId="2" borderId="54" xfId="0" applyFont="1" applyFill="1" applyBorder="1" applyAlignment="1">
      <alignment readingOrder="1"/>
    </xf>
    <xf numFmtId="0" fontId="8" fillId="2" borderId="55" xfId="0" applyFont="1" applyFill="1" applyBorder="1" applyAlignment="1">
      <alignment readingOrder="1"/>
    </xf>
    <xf numFmtId="0" fontId="8" fillId="2" borderId="56" xfId="0" applyFont="1" applyFill="1" applyBorder="1" applyAlignment="1">
      <alignment readingOrder="1"/>
    </xf>
    <xf numFmtId="0" fontId="8" fillId="2" borderId="38" xfId="0" applyFont="1" applyFill="1" applyBorder="1" applyAlignment="1">
      <alignment readingOrder="1"/>
    </xf>
    <xf numFmtId="164" fontId="7" fillId="0" borderId="23" xfId="0" applyNumberFormat="1" applyFont="1" applyBorder="1" applyAlignment="1">
      <alignment readingOrder="1"/>
    </xf>
    <xf numFmtId="164" fontId="10" fillId="0" borderId="24" xfId="0" applyNumberFormat="1" applyFont="1" applyBorder="1"/>
    <xf numFmtId="164" fontId="7" fillId="0" borderId="26" xfId="0" applyNumberFormat="1" applyFont="1" applyBorder="1" applyAlignment="1">
      <alignment readingOrder="1"/>
    </xf>
    <xf numFmtId="164" fontId="7" fillId="0" borderId="39" xfId="0" applyNumberFormat="1" applyFont="1" applyBorder="1" applyAlignment="1">
      <alignment readingOrder="1"/>
    </xf>
    <xf numFmtId="164" fontId="7" fillId="0" borderId="25" xfId="0" applyNumberFormat="1" applyFont="1" applyBorder="1" applyAlignment="1">
      <alignment readingOrder="1"/>
    </xf>
    <xf numFmtId="164" fontId="7" fillId="0" borderId="0" xfId="0" applyNumberFormat="1" applyFont="1" applyAlignment="1">
      <alignment readingOrder="1"/>
    </xf>
    <xf numFmtId="164" fontId="7" fillId="0" borderId="24" xfId="0" applyNumberFormat="1" applyFont="1" applyBorder="1" applyAlignment="1">
      <alignment readingOrder="1"/>
    </xf>
    <xf numFmtId="164" fontId="7" fillId="0" borderId="38" xfId="0" applyNumberFormat="1" applyFont="1" applyBorder="1" applyAlignment="1">
      <alignment readingOrder="1"/>
    </xf>
    <xf numFmtId="164" fontId="7" fillId="0" borderId="22" xfId="0" applyNumberFormat="1" applyFont="1" applyBorder="1" applyAlignment="1">
      <alignment readingOrder="1"/>
    </xf>
    <xf numFmtId="164" fontId="7" fillId="0" borderId="11" xfId="0" quotePrefix="1" applyNumberFormat="1" applyFont="1" applyBorder="1" applyAlignment="1">
      <alignment readingOrder="1"/>
    </xf>
    <xf numFmtId="164" fontId="7" fillId="0" borderId="23" xfId="0" quotePrefix="1" applyNumberFormat="1" applyFont="1" applyBorder="1" applyAlignment="1">
      <alignment readingOrder="1"/>
    </xf>
    <xf numFmtId="164" fontId="7" fillId="0" borderId="0" xfId="0" quotePrefix="1" applyNumberFormat="1" applyFont="1" applyAlignment="1">
      <alignment readingOrder="1"/>
    </xf>
    <xf numFmtId="164" fontId="7" fillId="0" borderId="37" xfId="0" applyNumberFormat="1" applyFont="1" applyBorder="1" applyAlignment="1">
      <alignment readingOrder="1"/>
    </xf>
    <xf numFmtId="164" fontId="7" fillId="0" borderId="37" xfId="0" quotePrefix="1" applyNumberFormat="1" applyFont="1" applyBorder="1" applyAlignment="1">
      <alignment readingOrder="1"/>
    </xf>
    <xf numFmtId="164" fontId="7" fillId="0" borderId="20" xfId="0" quotePrefix="1" applyNumberFormat="1" applyFont="1" applyBorder="1" applyAlignment="1">
      <alignment readingOrder="1"/>
    </xf>
    <xf numFmtId="164" fontId="7" fillId="0" borderId="36" xfId="0" applyNumberFormat="1" applyFont="1" applyBorder="1" applyAlignment="1">
      <alignment readingOrder="1"/>
    </xf>
    <xf numFmtId="164" fontId="7" fillId="0" borderId="12" xfId="0" quotePrefix="1" applyNumberFormat="1" applyFont="1" applyBorder="1" applyAlignment="1">
      <alignment readingOrder="1"/>
    </xf>
    <xf numFmtId="164" fontId="7" fillId="0" borderId="38" xfId="0" quotePrefix="1" applyNumberFormat="1" applyFont="1" applyBorder="1" applyAlignment="1">
      <alignment readingOrder="1"/>
    </xf>
    <xf numFmtId="0" fontId="7" fillId="2" borderId="58" xfId="0" applyFont="1" applyFill="1" applyBorder="1" applyAlignment="1">
      <alignment readingOrder="1"/>
    </xf>
    <xf numFmtId="0" fontId="7" fillId="2" borderId="57" xfId="0" applyFont="1" applyFill="1" applyBorder="1" applyAlignment="1">
      <alignment readingOrder="1"/>
    </xf>
    <xf numFmtId="0" fontId="7" fillId="3" borderId="58" xfId="0" applyFont="1" applyFill="1" applyBorder="1" applyAlignment="1">
      <alignment readingOrder="1"/>
    </xf>
    <xf numFmtId="0" fontId="9" fillId="3" borderId="58" xfId="0" applyFont="1" applyFill="1" applyBorder="1" applyAlignment="1">
      <alignment readingOrder="1"/>
    </xf>
    <xf numFmtId="0" fontId="7" fillId="3" borderId="57" xfId="0" applyFont="1" applyFill="1" applyBorder="1" applyAlignment="1">
      <alignment readingOrder="1"/>
    </xf>
    <xf numFmtId="44" fontId="7" fillId="0" borderId="0" xfId="0" quotePrefix="1" applyNumberFormat="1" applyFont="1" applyAlignment="1">
      <alignment readingOrder="1"/>
    </xf>
    <xf numFmtId="44" fontId="7" fillId="0" borderId="60" xfId="0" applyNumberFormat="1" applyFont="1" applyBorder="1" applyAlignment="1">
      <alignment readingOrder="1"/>
    </xf>
    <xf numFmtId="44" fontId="7" fillId="3" borderId="67" xfId="0" applyNumberFormat="1" applyFont="1" applyFill="1" applyBorder="1" applyAlignment="1">
      <alignment readingOrder="1"/>
    </xf>
    <xf numFmtId="44" fontId="9" fillId="3" borderId="68" xfId="0" applyNumberFormat="1" applyFont="1" applyFill="1" applyBorder="1" applyAlignment="1">
      <alignment readingOrder="1"/>
    </xf>
    <xf numFmtId="44" fontId="7" fillId="3" borderId="69" xfId="0" applyNumberFormat="1" applyFont="1" applyFill="1" applyBorder="1" applyAlignment="1">
      <alignment readingOrder="1"/>
    </xf>
    <xf numFmtId="44" fontId="7" fillId="3" borderId="70" xfId="0" applyNumberFormat="1" applyFont="1" applyFill="1" applyBorder="1" applyAlignment="1">
      <alignment readingOrder="1"/>
    </xf>
    <xf numFmtId="44" fontId="7" fillId="3" borderId="64" xfId="0" applyNumberFormat="1" applyFont="1" applyFill="1" applyBorder="1" applyAlignment="1">
      <alignment readingOrder="1"/>
    </xf>
    <xf numFmtId="44" fontId="7" fillId="0" borderId="63" xfId="0" applyNumberFormat="1" applyFont="1" applyBorder="1" applyAlignment="1">
      <alignment readingOrder="1"/>
    </xf>
    <xf numFmtId="44" fontId="9" fillId="3" borderId="69" xfId="0" applyNumberFormat="1" applyFont="1" applyFill="1" applyBorder="1" applyAlignment="1">
      <alignment readingOrder="1"/>
    </xf>
    <xf numFmtId="44" fontId="9" fillId="3" borderId="64" xfId="0" applyNumberFormat="1" applyFont="1" applyFill="1" applyBorder="1" applyAlignment="1">
      <alignment readingOrder="1"/>
    </xf>
    <xf numFmtId="44" fontId="9" fillId="3" borderId="60" xfId="0" applyNumberFormat="1" applyFont="1" applyFill="1" applyBorder="1" applyAlignment="1">
      <alignment readingOrder="1"/>
    </xf>
    <xf numFmtId="44" fontId="7" fillId="3" borderId="21" xfId="0" applyNumberFormat="1" applyFont="1" applyFill="1" applyBorder="1" applyAlignment="1">
      <alignment readingOrder="1"/>
    </xf>
    <xf numFmtId="0" fontId="7" fillId="3" borderId="66" xfId="0" applyFont="1" applyFill="1" applyBorder="1" applyAlignment="1">
      <alignment readingOrder="1"/>
    </xf>
    <xf numFmtId="0" fontId="9" fillId="3" borderId="66" xfId="0" applyFont="1" applyFill="1" applyBorder="1" applyAlignment="1">
      <alignment readingOrder="1"/>
    </xf>
    <xf numFmtId="0" fontId="7" fillId="0" borderId="46" xfId="0" applyFont="1" applyBorder="1" applyAlignment="1">
      <alignment readingOrder="1"/>
    </xf>
    <xf numFmtId="0" fontId="7" fillId="0" borderId="25" xfId="0" applyFont="1" applyBorder="1" applyAlignment="1">
      <alignment readingOrder="1"/>
    </xf>
    <xf numFmtId="0" fontId="7" fillId="0" borderId="0" xfId="0" applyFont="1" applyAlignment="1">
      <alignment readingOrder="1"/>
    </xf>
    <xf numFmtId="0" fontId="7" fillId="0" borderId="59" xfId="0" applyFont="1" applyBorder="1" applyAlignment="1">
      <alignment readingOrder="1"/>
    </xf>
    <xf numFmtId="0" fontId="7" fillId="0" borderId="26" xfId="0" applyFont="1" applyBorder="1" applyAlignment="1">
      <alignment readingOrder="1"/>
    </xf>
    <xf numFmtId="0" fontId="7" fillId="0" borderId="71" xfId="0" applyFont="1" applyBorder="1" applyAlignment="1">
      <alignment readingOrder="1"/>
    </xf>
    <xf numFmtId="0" fontId="7" fillId="0" borderId="72" xfId="0" applyFont="1" applyBorder="1" applyAlignment="1">
      <alignment readingOrder="1"/>
    </xf>
    <xf numFmtId="0" fontId="7" fillId="0" borderId="60" xfId="0" applyFont="1" applyBorder="1" applyAlignment="1">
      <alignment readingOrder="1"/>
    </xf>
    <xf numFmtId="0" fontId="7" fillId="0" borderId="72" xfId="0" applyFont="1" applyBorder="1" applyAlignment="1">
      <alignment wrapText="1" readingOrder="1"/>
    </xf>
    <xf numFmtId="0" fontId="7" fillId="0" borderId="45" xfId="0" applyFont="1" applyBorder="1" applyAlignment="1">
      <alignment readingOrder="1"/>
    </xf>
    <xf numFmtId="0" fontId="4" fillId="0" borderId="73" xfId="0" applyFont="1" applyBorder="1" applyAlignment="1">
      <alignment readingOrder="1"/>
    </xf>
    <xf numFmtId="0" fontId="10" fillId="0" borderId="1" xfId="0" applyFont="1" applyBorder="1" applyAlignment="1">
      <alignment readingOrder="1"/>
    </xf>
    <xf numFmtId="0" fontId="10" fillId="0" borderId="5" xfId="0" applyFont="1" applyBorder="1" applyAlignment="1">
      <alignment readingOrder="1"/>
    </xf>
    <xf numFmtId="0" fontId="10" fillId="0" borderId="74" xfId="0" applyFont="1" applyBorder="1" applyAlignment="1">
      <alignment readingOrder="1"/>
    </xf>
    <xf numFmtId="0" fontId="10" fillId="0" borderId="75" xfId="0" applyFont="1" applyBorder="1" applyAlignment="1">
      <alignment readingOrder="1"/>
    </xf>
    <xf numFmtId="0" fontId="10" fillId="0" borderId="76" xfId="0" applyFont="1" applyBorder="1" applyAlignment="1">
      <alignment readingOrder="1"/>
    </xf>
    <xf numFmtId="0" fontId="10" fillId="5" borderId="9" xfId="0" applyFont="1" applyFill="1" applyBorder="1" applyAlignment="1">
      <alignment readingOrder="1"/>
    </xf>
    <xf numFmtId="0" fontId="8" fillId="5" borderId="10" xfId="0" applyFont="1" applyFill="1" applyBorder="1" applyAlignment="1">
      <alignment readingOrder="1"/>
    </xf>
    <xf numFmtId="0" fontId="10" fillId="0" borderId="20" xfId="0" applyFont="1" applyBorder="1" applyAlignment="1">
      <alignment readingOrder="1"/>
    </xf>
    <xf numFmtId="0" fontId="10" fillId="0" borderId="60" xfId="0" applyFont="1" applyBorder="1" applyAlignment="1">
      <alignment readingOrder="1"/>
    </xf>
    <xf numFmtId="0" fontId="10" fillId="0" borderId="77" xfId="0" applyFont="1" applyBorder="1" applyAlignment="1">
      <alignment readingOrder="1"/>
    </xf>
    <xf numFmtId="0" fontId="10" fillId="5" borderId="53" xfId="0" applyFont="1" applyFill="1" applyBorder="1" applyAlignment="1">
      <alignment readingOrder="1"/>
    </xf>
    <xf numFmtId="15" fontId="8" fillId="5" borderId="10" xfId="0" applyNumberFormat="1" applyFont="1" applyFill="1" applyBorder="1" applyAlignment="1">
      <alignment readingOrder="1"/>
    </xf>
    <xf numFmtId="0" fontId="10" fillId="6" borderId="9" xfId="0" applyFont="1" applyFill="1" applyBorder="1" applyAlignment="1">
      <alignment readingOrder="1"/>
    </xf>
    <xf numFmtId="164" fontId="10" fillId="6" borderId="11" xfId="0" applyNumberFormat="1" applyFont="1" applyFill="1" applyBorder="1" applyAlignment="1">
      <alignment readingOrder="1"/>
    </xf>
    <xf numFmtId="0" fontId="10" fillId="6" borderId="78" xfId="0" applyFont="1" applyFill="1" applyBorder="1" applyAlignment="1">
      <alignment readingOrder="1"/>
    </xf>
    <xf numFmtId="164" fontId="10" fillId="6" borderId="20" xfId="0" applyNumberFormat="1" applyFont="1" applyFill="1" applyBorder="1" applyAlignment="1">
      <alignment readingOrder="1"/>
    </xf>
    <xf numFmtId="164" fontId="10" fillId="0" borderId="60" xfId="0" applyNumberFormat="1" applyFont="1" applyBorder="1" applyAlignment="1">
      <alignment readingOrder="1"/>
    </xf>
    <xf numFmtId="164" fontId="10" fillId="0" borderId="77" xfId="0" applyNumberFormat="1" applyFont="1" applyBorder="1" applyAlignment="1">
      <alignment readingOrder="1"/>
    </xf>
    <xf numFmtId="0" fontId="12" fillId="6" borderId="78" xfId="0" applyFont="1" applyFill="1" applyBorder="1" applyAlignment="1">
      <alignment readingOrder="1"/>
    </xf>
    <xf numFmtId="164" fontId="12" fillId="6" borderId="20" xfId="0" applyNumberFormat="1" applyFont="1" applyFill="1" applyBorder="1" applyAlignment="1">
      <alignment readingOrder="1"/>
    </xf>
    <xf numFmtId="0" fontId="10" fillId="6" borderId="53" xfId="0" applyFont="1" applyFill="1" applyBorder="1" applyAlignment="1">
      <alignment readingOrder="1"/>
    </xf>
    <xf numFmtId="164" fontId="10" fillId="6" borderId="27" xfId="0" applyNumberFormat="1" applyFont="1" applyFill="1" applyBorder="1" applyAlignment="1">
      <alignment readingOrder="1"/>
    </xf>
    <xf numFmtId="0" fontId="10" fillId="0" borderId="61" xfId="0" applyFont="1" applyBorder="1" applyAlignment="1">
      <alignment readingOrder="1"/>
    </xf>
    <xf numFmtId="0" fontId="10" fillId="0" borderId="15" xfId="0" applyFont="1" applyBorder="1" applyAlignment="1">
      <alignment readingOrder="1"/>
    </xf>
    <xf numFmtId="44" fontId="10" fillId="0" borderId="15" xfId="0" applyNumberFormat="1" applyFont="1" applyBorder="1" applyAlignment="1">
      <alignment readingOrder="1"/>
    </xf>
    <xf numFmtId="44" fontId="10" fillId="0" borderId="21" xfId="0" applyNumberFormat="1" applyFont="1" applyBorder="1" applyAlignment="1">
      <alignment readingOrder="1"/>
    </xf>
    <xf numFmtId="0" fontId="10" fillId="0" borderId="11" xfId="0" applyFont="1" applyBorder="1" applyAlignment="1">
      <alignment readingOrder="1"/>
    </xf>
    <xf numFmtId="0" fontId="10" fillId="0" borderId="21" xfId="0" applyFont="1" applyBorder="1" applyAlignment="1">
      <alignment readingOrder="1"/>
    </xf>
    <xf numFmtId="0" fontId="10" fillId="0" borderId="50" xfId="0" applyFont="1" applyBorder="1" applyAlignment="1">
      <alignment readingOrder="1"/>
    </xf>
    <xf numFmtId="0" fontId="10" fillId="0" borderId="52" xfId="0" applyFont="1" applyBorder="1" applyAlignment="1">
      <alignment readingOrder="1"/>
    </xf>
    <xf numFmtId="0" fontId="10" fillId="0" borderId="12" xfId="0" applyFont="1" applyBorder="1" applyAlignment="1">
      <alignment readingOrder="1"/>
    </xf>
    <xf numFmtId="0" fontId="10" fillId="0" borderId="51" xfId="0" applyFont="1" applyBorder="1" applyAlignment="1">
      <alignment readingOrder="1"/>
    </xf>
    <xf numFmtId="3" fontId="10" fillId="0" borderId="21" xfId="0" applyNumberFormat="1" applyFont="1" applyBorder="1" applyAlignment="1">
      <alignment readingOrder="1"/>
    </xf>
    <xf numFmtId="9" fontId="10" fillId="0" borderId="60" xfId="0" applyNumberFormat="1" applyFont="1" applyBorder="1" applyAlignment="1">
      <alignment readingOrder="1"/>
    </xf>
    <xf numFmtId="0" fontId="10" fillId="0" borderId="79" xfId="0" applyFont="1" applyBorder="1" applyAlignment="1">
      <alignment readingOrder="1"/>
    </xf>
    <xf numFmtId="6" fontId="10" fillId="0" borderId="60" xfId="0" applyNumberFormat="1" applyFont="1" applyBorder="1" applyAlignment="1">
      <alignment readingOrder="1"/>
    </xf>
    <xf numFmtId="6" fontId="10" fillId="0" borderId="12" xfId="0" applyNumberFormat="1" applyFont="1" applyBorder="1" applyAlignment="1">
      <alignment readingOrder="1"/>
    </xf>
    <xf numFmtId="6" fontId="10" fillId="0" borderId="15" xfId="0" applyNumberFormat="1" applyFont="1" applyBorder="1" applyAlignment="1">
      <alignment readingOrder="1"/>
    </xf>
    <xf numFmtId="6" fontId="10" fillId="0" borderId="51" xfId="0" applyNumberFormat="1" applyFont="1" applyBorder="1" applyAlignment="1">
      <alignment readingOrder="1"/>
    </xf>
    <xf numFmtId="0" fontId="10" fillId="0" borderId="27" xfId="0" applyFont="1" applyBorder="1" applyAlignment="1">
      <alignment readingOrder="1"/>
    </xf>
    <xf numFmtId="9" fontId="10" fillId="0" borderId="79" xfId="0" applyNumberFormat="1" applyFont="1" applyBorder="1" applyAlignment="1">
      <alignment readingOrder="1"/>
    </xf>
    <xf numFmtId="6" fontId="10" fillId="0" borderId="21" xfId="0" applyNumberFormat="1" applyFont="1" applyBorder="1" applyAlignment="1">
      <alignment readingOrder="1"/>
    </xf>
    <xf numFmtId="0" fontId="10" fillId="0" borderId="80" xfId="0" applyFont="1" applyBorder="1" applyAlignment="1">
      <alignment readingOrder="1"/>
    </xf>
    <xf numFmtId="44" fontId="10" fillId="6" borderId="20" xfId="0" applyNumberFormat="1" applyFont="1" applyFill="1" applyBorder="1" applyAlignment="1">
      <alignment readingOrder="1"/>
    </xf>
    <xf numFmtId="44" fontId="12" fillId="6" borderId="20" xfId="0" applyNumberFormat="1" applyFont="1" applyFill="1" applyBorder="1" applyAlignment="1">
      <alignment readingOrder="1"/>
    </xf>
    <xf numFmtId="44" fontId="10" fillId="6" borderId="27" xfId="0" applyNumberFormat="1" applyFont="1" applyFill="1" applyBorder="1" applyAlignment="1">
      <alignment readingOrder="1"/>
    </xf>
    <xf numFmtId="44" fontId="10" fillId="0" borderId="60" xfId="0" applyNumberFormat="1" applyFont="1" applyBorder="1" applyAlignment="1">
      <alignment readingOrder="1"/>
    </xf>
    <xf numFmtId="44" fontId="10" fillId="0" borderId="77" xfId="0" applyNumberFormat="1" applyFont="1" applyBorder="1" applyAlignment="1">
      <alignment readingOrder="1"/>
    </xf>
    <xf numFmtId="44" fontId="10" fillId="0" borderId="20" xfId="0" applyNumberFormat="1" applyFont="1" applyBorder="1" applyAlignment="1">
      <alignment readingOrder="1"/>
    </xf>
    <xf numFmtId="44" fontId="10" fillId="0" borderId="79" xfId="0" applyNumberFormat="1" applyFont="1" applyBorder="1" applyAlignment="1">
      <alignment readingOrder="1"/>
    </xf>
    <xf numFmtId="44" fontId="10" fillId="0" borderId="52" xfId="0" applyNumberFormat="1" applyFont="1" applyBorder="1" applyAlignment="1">
      <alignment readingOrder="1"/>
    </xf>
    <xf numFmtId="44" fontId="10" fillId="0" borderId="37" xfId="0" applyNumberFormat="1" applyFont="1" applyBorder="1" applyAlignment="1">
      <alignment readingOrder="1"/>
    </xf>
    <xf numFmtId="44" fontId="10" fillId="0" borderId="81" xfId="0" applyNumberFormat="1" applyFont="1" applyBorder="1" applyAlignment="1">
      <alignment readingOrder="1"/>
    </xf>
    <xf numFmtId="0" fontId="7" fillId="3" borderId="11" xfId="0" applyFont="1" applyFill="1" applyBorder="1" applyAlignment="1">
      <alignment readingOrder="1"/>
    </xf>
    <xf numFmtId="0" fontId="7" fillId="0" borderId="23" xfId="0" applyFont="1" applyBorder="1" applyAlignment="1">
      <alignment readingOrder="1"/>
    </xf>
    <xf numFmtId="0" fontId="10" fillId="6" borderId="11" xfId="0" applyFont="1" applyFill="1" applyBorder="1" applyAlignment="1">
      <alignment readingOrder="1"/>
    </xf>
    <xf numFmtId="0" fontId="10" fillId="6" borderId="20" xfId="0" applyFont="1" applyFill="1" applyBorder="1" applyAlignment="1">
      <alignment readingOrder="1"/>
    </xf>
    <xf numFmtId="164" fontId="7" fillId="0" borderId="82" xfId="0" applyNumberFormat="1" applyFont="1" applyBorder="1" applyAlignment="1">
      <alignment readingOrder="1"/>
    </xf>
    <xf numFmtId="164" fontId="7" fillId="3" borderId="26" xfId="0" applyNumberFormat="1" applyFont="1" applyFill="1" applyBorder="1" applyAlignment="1">
      <alignment readingOrder="1"/>
    </xf>
    <xf numFmtId="164" fontId="7" fillId="3" borderId="32" xfId="0" applyNumberFormat="1" applyFont="1" applyFill="1" applyBorder="1" applyAlignment="1">
      <alignment readingOrder="1"/>
    </xf>
    <xf numFmtId="164" fontId="7" fillId="0" borderId="31" xfId="0" applyNumberFormat="1" applyFont="1" applyBorder="1" applyAlignment="1">
      <alignment readingOrder="1"/>
    </xf>
    <xf numFmtId="164" fontId="7" fillId="0" borderId="30" xfId="0" applyNumberFormat="1" applyFont="1" applyBorder="1" applyAlignment="1">
      <alignment readingOrder="1"/>
    </xf>
    <xf numFmtId="164" fontId="9" fillId="3" borderId="32" xfId="0" applyNumberFormat="1" applyFont="1" applyFill="1" applyBorder="1" applyAlignment="1">
      <alignment readingOrder="1"/>
    </xf>
    <xf numFmtId="164" fontId="7" fillId="0" borderId="24" xfId="0" quotePrefix="1" applyNumberFormat="1" applyFont="1" applyBorder="1" applyAlignment="1">
      <alignment readingOrder="1"/>
    </xf>
    <xf numFmtId="164" fontId="9" fillId="3" borderId="30" xfId="0" applyNumberFormat="1" applyFont="1" applyFill="1" applyBorder="1" applyAlignment="1">
      <alignment readingOrder="1"/>
    </xf>
    <xf numFmtId="164" fontId="10" fillId="0" borderId="33" xfId="0" applyNumberFormat="1" applyFont="1" applyBorder="1"/>
    <xf numFmtId="164" fontId="7" fillId="0" borderId="33" xfId="0" applyNumberFormat="1" applyFont="1" applyBorder="1" applyAlignment="1">
      <alignment readingOrder="1"/>
    </xf>
    <xf numFmtId="164" fontId="7" fillId="3" borderId="34" xfId="0" applyNumberFormat="1" applyFont="1" applyFill="1" applyBorder="1" applyAlignment="1">
      <alignment readingOrder="1"/>
    </xf>
    <xf numFmtId="164" fontId="7" fillId="0" borderId="28" xfId="0" quotePrefix="1" applyNumberFormat="1" applyFont="1" applyBorder="1" applyAlignment="1">
      <alignment readingOrder="1"/>
    </xf>
    <xf numFmtId="164" fontId="7" fillId="0" borderId="28" xfId="0" applyNumberFormat="1" applyFont="1" applyBorder="1" applyAlignment="1">
      <alignment readingOrder="1"/>
    </xf>
    <xf numFmtId="164" fontId="7" fillId="0" borderId="29" xfId="0" quotePrefix="1" applyNumberFormat="1" applyFont="1" applyBorder="1" applyAlignment="1">
      <alignment readingOrder="1"/>
    </xf>
    <xf numFmtId="164" fontId="7" fillId="0" borderId="83" xfId="0" applyNumberFormat="1" applyFont="1" applyBorder="1" applyAlignment="1">
      <alignment readingOrder="1"/>
    </xf>
    <xf numFmtId="164" fontId="3" fillId="3" borderId="11" xfId="0" applyNumberFormat="1" applyFont="1" applyFill="1" applyBorder="1" applyAlignment="1">
      <alignment readingOrder="1"/>
    </xf>
    <xf numFmtId="164" fontId="3" fillId="0" borderId="11" xfId="0" applyNumberFormat="1" applyFont="1" applyBorder="1" applyAlignment="1">
      <alignment readingOrder="1"/>
    </xf>
    <xf numFmtId="164" fontId="3" fillId="3" borderId="12" xfId="0" applyNumberFormat="1" applyFont="1" applyFill="1" applyBorder="1" applyAlignment="1">
      <alignment readingOrder="1"/>
    </xf>
    <xf numFmtId="164" fontId="3" fillId="0" borderId="12" xfId="0" applyNumberFormat="1" applyFont="1" applyBorder="1" applyAlignment="1">
      <alignment readingOrder="1"/>
    </xf>
    <xf numFmtId="44" fontId="10" fillId="0" borderId="23" xfId="0" applyNumberFormat="1" applyFont="1" applyBorder="1" applyAlignment="1">
      <alignment readingOrder="1"/>
    </xf>
    <xf numFmtId="6" fontId="3" fillId="4" borderId="12" xfId="0" applyNumberFormat="1" applyFont="1" applyFill="1" applyBorder="1" applyAlignment="1">
      <alignment readingOrder="1"/>
    </xf>
    <xf numFmtId="3" fontId="3" fillId="0" borderId="11" xfId="0" applyNumberFormat="1" applyFont="1" applyBorder="1" applyAlignment="1">
      <alignment readingOrder="1"/>
    </xf>
    <xf numFmtId="0" fontId="3" fillId="0" borderId="9" xfId="0" applyFont="1" applyBorder="1" applyAlignment="1">
      <alignment readingOrder="1"/>
    </xf>
    <xf numFmtId="9" fontId="3" fillId="0" borderId="11" xfId="0" applyNumberFormat="1" applyFont="1" applyBorder="1" applyAlignment="1">
      <alignment readingOrder="1"/>
    </xf>
    <xf numFmtId="6" fontId="3" fillId="0" borderId="11" xfId="0" applyNumberFormat="1" applyFont="1" applyBorder="1" applyAlignment="1">
      <alignment readingOrder="1"/>
    </xf>
    <xf numFmtId="0" fontId="3" fillId="0" borderId="11" xfId="0" applyFont="1" applyBorder="1" applyAlignment="1">
      <alignment readingOrder="1"/>
    </xf>
    <xf numFmtId="9" fontId="3" fillId="0" borderId="12" xfId="0" applyNumberFormat="1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3" fillId="0" borderId="12" xfId="0" applyFont="1" applyBorder="1" applyAlignment="1">
      <alignment readingOrder="1"/>
    </xf>
    <xf numFmtId="44" fontId="4" fillId="0" borderId="22" xfId="0" applyNumberFormat="1" applyFont="1" applyBorder="1" applyAlignment="1">
      <alignment readingOrder="1"/>
    </xf>
    <xf numFmtId="164" fontId="3" fillId="0" borderId="23" xfId="0" applyNumberFormat="1" applyFont="1" applyBorder="1" applyAlignment="1">
      <alignment readingOrder="1"/>
    </xf>
    <xf numFmtId="164" fontId="3" fillId="0" borderId="38" xfId="0" applyNumberFormat="1" applyFont="1" applyBorder="1" applyAlignment="1">
      <alignment readingOrder="1"/>
    </xf>
    <xf numFmtId="164" fontId="10" fillId="7" borderId="15" xfId="0" applyNumberFormat="1" applyFont="1" applyFill="1" applyBorder="1" applyAlignment="1">
      <alignment readingOrder="1"/>
    </xf>
    <xf numFmtId="6" fontId="10" fillId="0" borderId="0" xfId="0" applyNumberFormat="1" applyFont="1"/>
    <xf numFmtId="6" fontId="10" fillId="0" borderId="37" xfId="0" applyNumberFormat="1" applyFont="1" applyBorder="1"/>
    <xf numFmtId="6" fontId="10" fillId="0" borderId="62" xfId="0" applyNumberFormat="1" applyFont="1" applyBorder="1"/>
    <xf numFmtId="6" fontId="10" fillId="0" borderId="84" xfId="0" applyNumberFormat="1" applyFont="1" applyBorder="1"/>
    <xf numFmtId="164" fontId="10" fillId="0" borderId="37" xfId="0" applyNumberFormat="1" applyFont="1" applyBorder="1"/>
    <xf numFmtId="8" fontId="10" fillId="7" borderId="15" xfId="0" applyNumberFormat="1" applyFont="1" applyFill="1" applyBorder="1" applyAlignment="1">
      <alignment readingOrder="1"/>
    </xf>
    <xf numFmtId="164" fontId="7" fillId="0" borderId="10" xfId="0" quotePrefix="1" applyNumberFormat="1" applyFont="1" applyBorder="1" applyAlignment="1">
      <alignment readingOrder="1"/>
    </xf>
    <xf numFmtId="1" fontId="7" fillId="0" borderId="23" xfId="0" applyNumberFormat="1" applyFont="1" applyBorder="1" applyAlignment="1">
      <alignment readingOrder="1"/>
    </xf>
    <xf numFmtId="1" fontId="7" fillId="0" borderId="11" xfId="0" applyNumberFormat="1" applyFont="1" applyBorder="1" applyAlignment="1">
      <alignment readingOrder="1"/>
    </xf>
    <xf numFmtId="44" fontId="7" fillId="0" borderId="82" xfId="0" applyNumberFormat="1" applyFont="1" applyBorder="1" applyAlignment="1">
      <alignment readingOrder="1"/>
    </xf>
    <xf numFmtId="6" fontId="10" fillId="0" borderId="65" xfId="0" applyNumberFormat="1" applyFont="1" applyBorder="1"/>
    <xf numFmtId="164" fontId="10" fillId="0" borderId="23" xfId="0" applyNumberFormat="1" applyFont="1" applyBorder="1" applyAlignment="1">
      <alignment readingOrder="1"/>
    </xf>
    <xf numFmtId="0" fontId="7" fillId="0" borderId="3" xfId="0" applyFont="1" applyBorder="1" applyAlignment="1">
      <alignment readingOrder="1"/>
    </xf>
    <xf numFmtId="0" fontId="7" fillId="0" borderId="4" xfId="0" applyFont="1" applyBorder="1" applyAlignment="1">
      <alignment readingOrder="1"/>
    </xf>
    <xf numFmtId="0" fontId="7" fillId="0" borderId="5" xfId="0" applyFont="1" applyBorder="1" applyAlignment="1">
      <alignment readingOrder="1"/>
    </xf>
    <xf numFmtId="0" fontId="7" fillId="0" borderId="14" xfId="0" applyFont="1" applyBorder="1" applyAlignment="1">
      <alignment readingOrder="1"/>
    </xf>
    <xf numFmtId="0" fontId="7" fillId="0" borderId="15" xfId="0" applyFont="1" applyBorder="1" applyAlignment="1">
      <alignment readingOrder="1"/>
    </xf>
    <xf numFmtId="0" fontId="3" fillId="0" borderId="19" xfId="0" applyFont="1" applyBorder="1" applyAlignment="1">
      <alignment readingOrder="1"/>
    </xf>
    <xf numFmtId="0" fontId="3" fillId="0" borderId="15" xfId="0" applyFont="1" applyBorder="1" applyAlignment="1">
      <alignment readingOrder="1"/>
    </xf>
    <xf numFmtId="0" fontId="10" fillId="0" borderId="3" xfId="0" applyFont="1" applyBorder="1" applyAlignment="1">
      <alignment readingOrder="1"/>
    </xf>
    <xf numFmtId="0" fontId="10" fillId="0" borderId="4" xfId="0" applyFont="1" applyBorder="1" applyAlignment="1">
      <alignment readingOrder="1"/>
    </xf>
    <xf numFmtId="0" fontId="10" fillId="0" borderId="5" xfId="0" applyFont="1" applyBorder="1" applyAlignment="1">
      <alignment readingOrder="1"/>
    </xf>
    <xf numFmtId="0" fontId="10" fillId="0" borderId="19" xfId="0" applyFont="1" applyBorder="1" applyAlignment="1">
      <alignment readingOrder="1"/>
    </xf>
    <xf numFmtId="0" fontId="10" fillId="0" borderId="15" xfId="0" applyFont="1" applyBorder="1" applyAlignment="1">
      <alignment readingOrder="1"/>
    </xf>
    <xf numFmtId="0" fontId="7" fillId="0" borderId="49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16DB-367E-4A32-BB8A-9BEA6D110BEF}">
  <dimension ref="A1:Z1000"/>
  <sheetViews>
    <sheetView zoomScale="86" zoomScaleNormal="86" workbookViewId="0">
      <selection activeCell="E71" sqref="E71"/>
    </sheetView>
  </sheetViews>
  <sheetFormatPr baseColWidth="10" defaultColWidth="9.1640625" defaultRowHeight="12" x14ac:dyDescent="0.15"/>
  <cols>
    <col min="1" max="1" width="9.1640625" style="17"/>
    <col min="2" max="2" width="32.33203125" style="17" bestFit="1" customWidth="1"/>
    <col min="3" max="3" width="21.5" style="17" customWidth="1"/>
    <col min="4" max="5" width="14.1640625" style="17" bestFit="1" customWidth="1"/>
    <col min="6" max="6" width="14.1640625" style="17" customWidth="1"/>
    <col min="7" max="8" width="15.5" style="17" bestFit="1" customWidth="1"/>
    <col min="9" max="9" width="19" style="17" customWidth="1"/>
    <col min="10" max="10" width="18.33203125" style="17" customWidth="1"/>
    <col min="11" max="12" width="18.5" style="17" customWidth="1"/>
    <col min="13" max="15" width="18.1640625" style="17" customWidth="1"/>
    <col min="16" max="17" width="18.33203125" style="17" customWidth="1"/>
    <col min="18" max="18" width="18.5" style="17" customWidth="1"/>
    <col min="19" max="16384" width="9.1640625" style="17"/>
  </cols>
  <sheetData>
    <row r="1" spans="1:26" x14ac:dyDescent="0.15">
      <c r="A1" s="13"/>
      <c r="B1" s="248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50"/>
      <c r="R1" s="14"/>
      <c r="S1" s="15"/>
      <c r="T1" s="15"/>
      <c r="U1" s="15"/>
      <c r="V1" s="15"/>
      <c r="W1" s="15"/>
      <c r="X1" s="15"/>
      <c r="Y1" s="15"/>
      <c r="Z1" s="16"/>
    </row>
    <row r="2" spans="1:26" x14ac:dyDescent="0.15">
      <c r="A2" s="18"/>
      <c r="B2" s="19"/>
      <c r="C2" s="20">
        <v>0</v>
      </c>
      <c r="D2" s="20">
        <v>1</v>
      </c>
      <c r="E2" s="20">
        <v>2</v>
      </c>
      <c r="F2" s="20">
        <v>3</v>
      </c>
      <c r="G2" s="20">
        <v>4</v>
      </c>
      <c r="H2" s="20">
        <v>5</v>
      </c>
      <c r="I2" s="20">
        <v>6</v>
      </c>
      <c r="J2" s="20">
        <v>7</v>
      </c>
      <c r="K2" s="20">
        <v>8</v>
      </c>
      <c r="L2" s="20">
        <v>9</v>
      </c>
      <c r="M2" s="20">
        <v>10</v>
      </c>
      <c r="N2" s="20">
        <v>11</v>
      </c>
      <c r="O2" s="20">
        <v>12</v>
      </c>
      <c r="P2" s="20">
        <v>13</v>
      </c>
      <c r="Q2" s="20">
        <v>14</v>
      </c>
      <c r="R2" s="20">
        <v>15</v>
      </c>
      <c r="S2" s="21"/>
      <c r="T2" s="21"/>
      <c r="U2" s="21"/>
      <c r="V2" s="21"/>
      <c r="W2" s="21"/>
      <c r="X2" s="21"/>
      <c r="Y2" s="21"/>
      <c r="Z2" s="22"/>
    </row>
    <row r="3" spans="1:26" x14ac:dyDescent="0.15">
      <c r="A3" s="18"/>
      <c r="B3" s="23"/>
      <c r="C3" s="24">
        <v>45658</v>
      </c>
      <c r="D3" s="20">
        <v>2025</v>
      </c>
      <c r="E3" s="20">
        <v>2026</v>
      </c>
      <c r="F3" s="20">
        <v>2027</v>
      </c>
      <c r="G3" s="20">
        <v>2028</v>
      </c>
      <c r="H3" s="20">
        <v>2029</v>
      </c>
      <c r="I3" s="20">
        <v>2030</v>
      </c>
      <c r="J3" s="20">
        <v>2031</v>
      </c>
      <c r="K3" s="20">
        <v>2032</v>
      </c>
      <c r="L3" s="20">
        <v>2033</v>
      </c>
      <c r="M3" s="20">
        <v>2034</v>
      </c>
      <c r="N3" s="20">
        <v>2035</v>
      </c>
      <c r="O3" s="20">
        <v>2036</v>
      </c>
      <c r="P3" s="20">
        <v>2037</v>
      </c>
      <c r="Q3" s="20">
        <v>2038</v>
      </c>
      <c r="R3" s="20">
        <v>2039</v>
      </c>
      <c r="S3" s="21"/>
      <c r="T3" s="21"/>
      <c r="U3" s="21"/>
      <c r="V3" s="21"/>
      <c r="W3" s="21"/>
      <c r="X3" s="21"/>
      <c r="Y3" s="21"/>
      <c r="Z3" s="22"/>
    </row>
    <row r="4" spans="1:26" x14ac:dyDescent="0.15">
      <c r="A4" s="18"/>
      <c r="B4" s="25"/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8"/>
      <c r="S4" s="21"/>
      <c r="T4" s="21"/>
      <c r="U4" s="21"/>
      <c r="V4" s="21"/>
      <c r="W4" s="21"/>
      <c r="X4" s="21"/>
      <c r="Y4" s="21"/>
      <c r="Z4" s="22"/>
    </row>
    <row r="5" spans="1:26" x14ac:dyDescent="0.15">
      <c r="A5" s="18"/>
      <c r="B5" s="25" t="s">
        <v>0</v>
      </c>
      <c r="C5" s="199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20000</v>
      </c>
      <c r="J5" s="21">
        <f t="shared" ref="J5:R5" si="0">I5*(1+$C$33)</f>
        <v>24000</v>
      </c>
      <c r="K5" s="21">
        <f t="shared" si="0"/>
        <v>28800</v>
      </c>
      <c r="L5" s="21">
        <f t="shared" si="0"/>
        <v>34560</v>
      </c>
      <c r="M5" s="21">
        <f>L5*(1+$C$33)</f>
        <v>41472</v>
      </c>
      <c r="N5" s="244">
        <f t="shared" si="0"/>
        <v>49766.400000000001</v>
      </c>
      <c r="O5" s="244">
        <f t="shared" si="0"/>
        <v>59719.68</v>
      </c>
      <c r="P5" s="244">
        <f t="shared" si="0"/>
        <v>71663.615999999995</v>
      </c>
      <c r="Q5" s="244">
        <f t="shared" si="0"/>
        <v>85996.339199999988</v>
      </c>
      <c r="R5" s="243">
        <f t="shared" si="0"/>
        <v>103195.60703999999</v>
      </c>
      <c r="S5" s="51"/>
      <c r="T5" s="21"/>
      <c r="U5" s="21"/>
      <c r="V5" s="21"/>
      <c r="W5" s="21"/>
      <c r="X5" s="21"/>
      <c r="Y5" s="21"/>
      <c r="Z5" s="22"/>
    </row>
    <row r="6" spans="1:26" x14ac:dyDescent="0.15">
      <c r="A6" s="18"/>
      <c r="B6" s="25"/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98"/>
      <c r="S6" s="51"/>
      <c r="T6" s="21"/>
      <c r="U6" s="21"/>
      <c r="V6" s="21"/>
      <c r="W6" s="21"/>
      <c r="X6" s="21"/>
      <c r="Y6" s="21"/>
      <c r="Z6" s="22"/>
    </row>
    <row r="7" spans="1:26" x14ac:dyDescent="0.15">
      <c r="A7" s="18"/>
      <c r="B7" s="25" t="s">
        <v>1</v>
      </c>
      <c r="C7" s="26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f>I5*($C$34)</f>
        <v>2000000000</v>
      </c>
      <c r="J7" s="27">
        <f t="shared" ref="J7:R7" si="1">J5*($C$34)</f>
        <v>2400000000</v>
      </c>
      <c r="K7" s="27">
        <f t="shared" si="1"/>
        <v>2880000000</v>
      </c>
      <c r="L7" s="27">
        <f t="shared" si="1"/>
        <v>3456000000</v>
      </c>
      <c r="M7" s="27">
        <f t="shared" si="1"/>
        <v>4147200000</v>
      </c>
      <c r="N7" s="27">
        <f t="shared" si="1"/>
        <v>4976640000</v>
      </c>
      <c r="O7" s="27">
        <f t="shared" si="1"/>
        <v>5971968000</v>
      </c>
      <c r="P7" s="27">
        <f t="shared" si="1"/>
        <v>7166361599.999999</v>
      </c>
      <c r="Q7" s="27">
        <f t="shared" si="1"/>
        <v>8599633919.9999981</v>
      </c>
      <c r="R7" s="98">
        <f t="shared" si="1"/>
        <v>10319560703.999998</v>
      </c>
      <c r="S7" s="51"/>
      <c r="T7" s="21"/>
      <c r="U7" s="21"/>
      <c r="V7" s="21"/>
      <c r="W7" s="21"/>
      <c r="X7" s="21"/>
      <c r="Y7" s="21"/>
      <c r="Z7" s="22"/>
    </row>
    <row r="8" spans="1:26" x14ac:dyDescent="0.15">
      <c r="A8" s="18"/>
      <c r="B8" s="25"/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98"/>
      <c r="S8" s="51"/>
      <c r="T8" s="21"/>
      <c r="U8" s="21"/>
      <c r="V8" s="21"/>
      <c r="W8" s="21"/>
      <c r="X8" s="21"/>
      <c r="Y8" s="21"/>
      <c r="Z8" s="22"/>
    </row>
    <row r="9" spans="1:26" x14ac:dyDescent="0.15">
      <c r="A9" s="18"/>
      <c r="B9" s="25" t="s">
        <v>2</v>
      </c>
      <c r="C9" s="26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f>I5*(I35)</f>
        <v>1600000000</v>
      </c>
      <c r="J9" s="27">
        <f>J5*(J35)</f>
        <v>1920000000</v>
      </c>
      <c r="K9" s="27">
        <f>K5*(K35)</f>
        <v>2304000000</v>
      </c>
      <c r="L9" s="27">
        <f t="shared" ref="L9:Q9" si="2">L5*(L35)</f>
        <v>2764800000</v>
      </c>
      <c r="M9" s="27">
        <f t="shared" si="2"/>
        <v>3234816000</v>
      </c>
      <c r="N9" s="27">
        <f t="shared" si="2"/>
        <v>3881779200</v>
      </c>
      <c r="O9" s="27">
        <f t="shared" si="2"/>
        <v>4538695680</v>
      </c>
      <c r="P9" s="27">
        <f t="shared" si="2"/>
        <v>5446434816</v>
      </c>
      <c r="Q9" s="27">
        <f t="shared" si="2"/>
        <v>6449725439.999999</v>
      </c>
      <c r="R9" s="98">
        <f>R5*(R35)</f>
        <v>7636474920.9599991</v>
      </c>
      <c r="S9" s="51"/>
      <c r="T9" s="21"/>
      <c r="U9" s="21"/>
      <c r="V9" s="21"/>
      <c r="W9" s="21"/>
      <c r="X9" s="21"/>
      <c r="Y9" s="21"/>
      <c r="Z9" s="22"/>
    </row>
    <row r="10" spans="1:26" x14ac:dyDescent="0.15">
      <c r="A10" s="18"/>
      <c r="B10" s="25" t="s">
        <v>3</v>
      </c>
      <c r="C10" s="26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f t="shared" ref="I10:Q10" si="3">I5*($C$36)</f>
        <v>20000000</v>
      </c>
      <c r="J10" s="27">
        <f t="shared" si="3"/>
        <v>24000000</v>
      </c>
      <c r="K10" s="27">
        <f t="shared" si="3"/>
        <v>28800000</v>
      </c>
      <c r="L10" s="27">
        <f>L5*($C$36)</f>
        <v>34560000</v>
      </c>
      <c r="M10" s="27">
        <f t="shared" si="3"/>
        <v>41472000</v>
      </c>
      <c r="N10" s="27">
        <f t="shared" si="3"/>
        <v>49766400</v>
      </c>
      <c r="O10" s="27">
        <f t="shared" si="3"/>
        <v>59719680</v>
      </c>
      <c r="P10" s="27">
        <f t="shared" si="3"/>
        <v>71663616</v>
      </c>
      <c r="Q10" s="27">
        <f t="shared" si="3"/>
        <v>85996339.199999988</v>
      </c>
      <c r="R10" s="98">
        <f>R5*($C$36)</f>
        <v>103195607.03999999</v>
      </c>
      <c r="S10" s="51"/>
      <c r="T10" s="21"/>
      <c r="U10" s="21"/>
      <c r="V10" s="21"/>
      <c r="W10" s="21"/>
      <c r="X10" s="21"/>
      <c r="Y10" s="21"/>
      <c r="Z10" s="22"/>
    </row>
    <row r="11" spans="1:26" x14ac:dyDescent="0.15">
      <c r="A11" s="18"/>
      <c r="B11" s="25" t="s">
        <v>4</v>
      </c>
      <c r="C11" s="26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f>I9+I10</f>
        <v>1620000000</v>
      </c>
      <c r="J11" s="27">
        <f t="shared" ref="J11:R11" si="4">J9+J10</f>
        <v>1944000000</v>
      </c>
      <c r="K11" s="27">
        <f t="shared" si="4"/>
        <v>2332800000</v>
      </c>
      <c r="L11" s="27">
        <f t="shared" si="4"/>
        <v>2799360000</v>
      </c>
      <c r="M11" s="27">
        <f>M9+M10</f>
        <v>3276288000</v>
      </c>
      <c r="N11" s="27">
        <f t="shared" si="4"/>
        <v>3931545600</v>
      </c>
      <c r="O11" s="27">
        <f t="shared" si="4"/>
        <v>4598415360</v>
      </c>
      <c r="P11" s="27">
        <f t="shared" si="4"/>
        <v>5518098432</v>
      </c>
      <c r="Q11" s="27">
        <f t="shared" si="4"/>
        <v>6535721779.1999989</v>
      </c>
      <c r="R11" s="98">
        <f t="shared" si="4"/>
        <v>7739670527.999999</v>
      </c>
      <c r="S11" s="51"/>
      <c r="T11" s="21"/>
      <c r="U11" s="21"/>
      <c r="V11" s="21"/>
      <c r="W11" s="21"/>
      <c r="X11" s="21"/>
      <c r="Y11" s="21"/>
      <c r="Z11" s="22"/>
    </row>
    <row r="12" spans="1:26" x14ac:dyDescent="0.15">
      <c r="A12" s="18"/>
      <c r="B12" s="25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98"/>
      <c r="S12" s="51"/>
      <c r="T12" s="21"/>
      <c r="U12" s="21"/>
      <c r="V12" s="21"/>
      <c r="W12" s="21"/>
      <c r="X12" s="21"/>
      <c r="Y12" s="21"/>
      <c r="Z12" s="22"/>
    </row>
    <row r="13" spans="1:26" x14ac:dyDescent="0.15">
      <c r="A13" s="18"/>
      <c r="B13" s="29" t="s">
        <v>5</v>
      </c>
      <c r="C13" s="30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f>I7-I11</f>
        <v>380000000</v>
      </c>
      <c r="J13" s="27">
        <f>J7-J11</f>
        <v>456000000</v>
      </c>
      <c r="K13" s="27">
        <f t="shared" ref="K13:P13" si="5">K7-K11</f>
        <v>547200000</v>
      </c>
      <c r="L13" s="27">
        <f t="shared" si="5"/>
        <v>656640000</v>
      </c>
      <c r="M13" s="27">
        <f t="shared" si="5"/>
        <v>870912000</v>
      </c>
      <c r="N13" s="27">
        <f t="shared" si="5"/>
        <v>1045094400</v>
      </c>
      <c r="O13" s="27">
        <f t="shared" si="5"/>
        <v>1373552640</v>
      </c>
      <c r="P13" s="27">
        <f t="shared" si="5"/>
        <v>1648263167.999999</v>
      </c>
      <c r="Q13" s="27">
        <f>Q7-Q11</f>
        <v>2063912140.7999992</v>
      </c>
      <c r="R13" s="98">
        <f>R7-R11</f>
        <v>2579890175.999999</v>
      </c>
      <c r="S13" s="51"/>
      <c r="T13" s="21"/>
      <c r="U13" s="21"/>
      <c r="V13" s="21"/>
      <c r="W13" s="21"/>
      <c r="X13" s="21"/>
      <c r="Y13" s="21"/>
      <c r="Z13" s="22"/>
    </row>
    <row r="14" spans="1:26" x14ac:dyDescent="0.15">
      <c r="A14" s="18"/>
      <c r="B14" s="25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98"/>
      <c r="S14" s="51"/>
      <c r="T14" s="21"/>
      <c r="U14" s="21"/>
      <c r="V14" s="21"/>
      <c r="W14" s="21"/>
      <c r="X14" s="21"/>
      <c r="Y14" s="21"/>
      <c r="Z14" s="22"/>
    </row>
    <row r="15" spans="1:26" x14ac:dyDescent="0.15">
      <c r="A15" s="18"/>
      <c r="B15" s="25" t="s">
        <v>6</v>
      </c>
      <c r="C15" s="26">
        <v>0</v>
      </c>
      <c r="D15" s="27">
        <v>160000000</v>
      </c>
      <c r="E15" s="27">
        <f>D15*(1+$C$38)</f>
        <v>168000000</v>
      </c>
      <c r="F15" s="27">
        <f t="shared" ref="F15:R15" si="6">E15*(1+$C$38)</f>
        <v>176400000</v>
      </c>
      <c r="G15" s="27">
        <f t="shared" si="6"/>
        <v>185220000</v>
      </c>
      <c r="H15" s="27">
        <f t="shared" si="6"/>
        <v>194481000</v>
      </c>
      <c r="I15" s="27">
        <f>H15*(1+$C$38)</f>
        <v>204205050</v>
      </c>
      <c r="J15" s="27">
        <f>I15*(1+$C$38)</f>
        <v>214415302.5</v>
      </c>
      <c r="K15" s="27">
        <f t="shared" si="6"/>
        <v>225136067.625</v>
      </c>
      <c r="L15" s="27">
        <f t="shared" si="6"/>
        <v>236392871.00625002</v>
      </c>
      <c r="M15" s="27">
        <f t="shared" si="6"/>
        <v>248212514.55656254</v>
      </c>
      <c r="N15" s="27">
        <f t="shared" si="6"/>
        <v>260623140.28439069</v>
      </c>
      <c r="O15" s="27">
        <f t="shared" si="6"/>
        <v>273654297.29861021</v>
      </c>
      <c r="P15" s="27">
        <f t="shared" si="6"/>
        <v>287337012.16354072</v>
      </c>
      <c r="Q15" s="27">
        <f t="shared" si="6"/>
        <v>301703862.77171779</v>
      </c>
      <c r="R15" s="98">
        <f t="shared" si="6"/>
        <v>316789055.91030371</v>
      </c>
      <c r="S15" s="51"/>
      <c r="T15" s="21"/>
      <c r="U15" s="21"/>
      <c r="V15" s="21"/>
      <c r="W15" s="21"/>
      <c r="X15" s="21"/>
      <c r="Y15" s="21"/>
      <c r="Z15" s="22"/>
    </row>
    <row r="16" spans="1:26" x14ac:dyDescent="0.15">
      <c r="A16" s="18"/>
      <c r="B16" s="25" t="s">
        <v>7</v>
      </c>
      <c r="C16" s="26">
        <v>0</v>
      </c>
      <c r="D16" s="31">
        <v>120000000</v>
      </c>
      <c r="E16" s="31">
        <v>120000000</v>
      </c>
      <c r="F16" s="31">
        <v>120000000</v>
      </c>
      <c r="G16" s="31">
        <v>120000000</v>
      </c>
      <c r="H16" s="31">
        <v>120000000</v>
      </c>
      <c r="I16" s="31">
        <v>120000000</v>
      </c>
      <c r="J16" s="31">
        <v>120000000</v>
      </c>
      <c r="K16" s="31">
        <v>120000000</v>
      </c>
      <c r="L16" s="31">
        <v>120000000</v>
      </c>
      <c r="M16" s="31">
        <v>120000000</v>
      </c>
      <c r="N16" s="31">
        <v>120000000</v>
      </c>
      <c r="O16" s="31">
        <v>120000000</v>
      </c>
      <c r="P16" s="31">
        <v>120000000</v>
      </c>
      <c r="Q16" s="31">
        <v>120000000</v>
      </c>
      <c r="R16" s="99">
        <v>120000000</v>
      </c>
      <c r="S16" s="51"/>
      <c r="T16" s="21"/>
      <c r="U16" s="21"/>
      <c r="V16" s="21"/>
      <c r="W16" s="21"/>
      <c r="X16" s="21"/>
      <c r="Y16" s="21"/>
      <c r="Z16" s="22"/>
    </row>
    <row r="17" spans="1:26" x14ac:dyDescent="0.15">
      <c r="A17" s="18"/>
      <c r="B17" s="25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98"/>
      <c r="S17" s="51"/>
      <c r="T17" s="21"/>
      <c r="U17" s="21"/>
      <c r="V17" s="21"/>
      <c r="W17" s="21"/>
      <c r="X17" s="21"/>
      <c r="Y17" s="21"/>
      <c r="Z17" s="22"/>
    </row>
    <row r="18" spans="1:26" x14ac:dyDescent="0.15">
      <c r="A18" s="18"/>
      <c r="B18" s="29" t="s">
        <v>8</v>
      </c>
      <c r="C18" s="30">
        <v>0</v>
      </c>
      <c r="D18" s="27">
        <f t="shared" ref="D18:H18" si="7">D13-D15-D16</f>
        <v>-280000000</v>
      </c>
      <c r="E18" s="27">
        <f t="shared" si="7"/>
        <v>-288000000</v>
      </c>
      <c r="F18" s="27">
        <f t="shared" si="7"/>
        <v>-296400000</v>
      </c>
      <c r="G18" s="27">
        <f t="shared" si="7"/>
        <v>-305220000</v>
      </c>
      <c r="H18" s="27">
        <f t="shared" si="7"/>
        <v>-314481000</v>
      </c>
      <c r="I18" s="27">
        <f>I13-I15-I16</f>
        <v>55794950</v>
      </c>
      <c r="J18" s="27">
        <f>J13-J15-J16</f>
        <v>121584697.5</v>
      </c>
      <c r="K18" s="27">
        <f t="shared" ref="K18:R18" si="8">K13-K15-K16</f>
        <v>202063932.375</v>
      </c>
      <c r="L18" s="27">
        <f t="shared" si="8"/>
        <v>300247128.99374998</v>
      </c>
      <c r="M18" s="27">
        <f t="shared" si="8"/>
        <v>502699485.44343746</v>
      </c>
      <c r="N18" s="27">
        <f t="shared" si="8"/>
        <v>664471259.71560931</v>
      </c>
      <c r="O18" s="27">
        <f t="shared" si="8"/>
        <v>979898342.70138979</v>
      </c>
      <c r="P18" s="27">
        <f t="shared" si="8"/>
        <v>1240926155.8364582</v>
      </c>
      <c r="Q18" s="27">
        <f t="shared" si="8"/>
        <v>1642208278.0282815</v>
      </c>
      <c r="R18" s="98">
        <f t="shared" si="8"/>
        <v>2143101120.0896955</v>
      </c>
      <c r="S18" s="51"/>
      <c r="T18" s="21"/>
      <c r="U18" s="21"/>
      <c r="V18" s="21"/>
      <c r="W18" s="21"/>
      <c r="X18" s="21"/>
      <c r="Y18" s="21"/>
      <c r="Z18" s="22"/>
    </row>
    <row r="19" spans="1:26" x14ac:dyDescent="0.15">
      <c r="A19" s="18"/>
      <c r="B19" s="29" t="s">
        <v>9</v>
      </c>
      <c r="C19" s="30">
        <v>0</v>
      </c>
      <c r="D19" s="31">
        <v>5000000</v>
      </c>
      <c r="E19" s="31">
        <v>5000000</v>
      </c>
      <c r="F19" s="31">
        <v>5000000</v>
      </c>
      <c r="G19" s="31">
        <v>5000000</v>
      </c>
      <c r="H19" s="31">
        <v>5000000</v>
      </c>
      <c r="I19" s="31">
        <v>5000000</v>
      </c>
      <c r="J19" s="31">
        <v>5000000</v>
      </c>
      <c r="K19" s="31">
        <v>5000000</v>
      </c>
      <c r="L19" s="31">
        <v>5000000</v>
      </c>
      <c r="M19" s="31">
        <v>5000000</v>
      </c>
      <c r="N19" s="31">
        <v>5000000</v>
      </c>
      <c r="O19" s="31">
        <v>5000000</v>
      </c>
      <c r="P19" s="31">
        <v>5000000</v>
      </c>
      <c r="Q19" s="31">
        <v>5000000</v>
      </c>
      <c r="R19" s="99">
        <v>5000000</v>
      </c>
      <c r="S19" s="51"/>
      <c r="T19" s="21"/>
      <c r="U19" s="21"/>
      <c r="V19" s="21"/>
      <c r="W19" s="21"/>
      <c r="X19" s="21"/>
      <c r="Y19" s="21"/>
      <c r="Z19" s="22"/>
    </row>
    <row r="20" spans="1:26" x14ac:dyDescent="0.15">
      <c r="A20" s="18"/>
      <c r="B20" s="29" t="s">
        <v>10</v>
      </c>
      <c r="C20" s="30">
        <v>0</v>
      </c>
      <c r="D20" s="27">
        <f t="shared" ref="D20:H20" si="9">MAX(0,(D18-D19)*$C$43)</f>
        <v>0</v>
      </c>
      <c r="E20" s="27">
        <f t="shared" si="9"/>
        <v>0</v>
      </c>
      <c r="F20" s="27">
        <f t="shared" si="9"/>
        <v>0</v>
      </c>
      <c r="G20" s="27">
        <f t="shared" si="9"/>
        <v>0</v>
      </c>
      <c r="H20" s="27">
        <f t="shared" si="9"/>
        <v>0</v>
      </c>
      <c r="I20" s="27">
        <f>MAX(0,(I18-I19)*$C$43)</f>
        <v>12698737.5</v>
      </c>
      <c r="J20" s="27">
        <f t="shared" ref="J20" si="10">MAX(0,(J18-J19)*$C$43)</f>
        <v>29146174.375</v>
      </c>
      <c r="K20" s="27">
        <f t="shared" ref="K20" si="11">MAX(0,(K18-K19)*$C$43)</f>
        <v>49265983.09375</v>
      </c>
      <c r="L20" s="27">
        <f t="shared" ref="L20" si="12">MAX(0,(L18-L19)*$C$43)</f>
        <v>73811782.248437494</v>
      </c>
      <c r="M20" s="27">
        <f t="shared" ref="M20" si="13">MAX(0,(M18-M19)*$C$43)</f>
        <v>124424871.36085936</v>
      </c>
      <c r="N20" s="27">
        <f t="shared" ref="N20:O20" si="14">MAX(0,(N18-N19)*$C$43)</f>
        <v>164867814.92890233</v>
      </c>
      <c r="O20" s="27">
        <f t="shared" si="14"/>
        <v>243724585.67534745</v>
      </c>
      <c r="P20" s="27">
        <f t="shared" ref="P20" si="15">MAX(0,(P18-P19)*$C$43)</f>
        <v>308981538.95911455</v>
      </c>
      <c r="Q20" s="27">
        <f t="shared" ref="Q20" si="16">MAX(0,(Q18-Q19)*$C$43)</f>
        <v>409302069.50707036</v>
      </c>
      <c r="R20" s="98">
        <f t="shared" ref="R20" si="17">MAX(0,(R18-R19)*$C$43)</f>
        <v>534525280.02242386</v>
      </c>
      <c r="S20" s="51"/>
      <c r="T20" s="21"/>
      <c r="U20" s="21"/>
      <c r="V20" s="21"/>
      <c r="W20" s="21"/>
      <c r="X20" s="21"/>
      <c r="Y20" s="21"/>
      <c r="Z20" s="22"/>
    </row>
    <row r="21" spans="1:26" x14ac:dyDescent="0.15">
      <c r="A21" s="18"/>
      <c r="B21" s="25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98"/>
      <c r="S21" s="51"/>
      <c r="T21" s="21"/>
      <c r="U21" s="21"/>
      <c r="V21" s="21"/>
      <c r="W21" s="21"/>
      <c r="X21" s="21"/>
      <c r="Y21" s="21"/>
      <c r="Z21" s="22"/>
    </row>
    <row r="22" spans="1:26" x14ac:dyDescent="0.15">
      <c r="A22" s="18"/>
      <c r="B22" s="29" t="s">
        <v>11</v>
      </c>
      <c r="C22" s="30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f>I7*($C$41)</f>
        <v>100000000</v>
      </c>
      <c r="J22" s="27">
        <f t="shared" ref="J22:R22" si="18">J7*($C$41)</f>
        <v>120000000</v>
      </c>
      <c r="K22" s="27">
        <f t="shared" si="18"/>
        <v>144000000</v>
      </c>
      <c r="L22" s="27">
        <f t="shared" si="18"/>
        <v>172800000</v>
      </c>
      <c r="M22" s="27">
        <f t="shared" si="18"/>
        <v>207360000</v>
      </c>
      <c r="N22" s="27">
        <f t="shared" si="18"/>
        <v>248832000</v>
      </c>
      <c r="O22" s="27">
        <f t="shared" si="18"/>
        <v>298598400</v>
      </c>
      <c r="P22" s="27">
        <f t="shared" si="18"/>
        <v>358318080</v>
      </c>
      <c r="Q22" s="27">
        <f t="shared" si="18"/>
        <v>429981695.99999994</v>
      </c>
      <c r="R22" s="98">
        <f t="shared" si="18"/>
        <v>515978035.19999993</v>
      </c>
      <c r="S22" s="51"/>
      <c r="T22" s="21"/>
      <c r="U22" s="21"/>
      <c r="V22" s="21"/>
      <c r="W22" s="21"/>
      <c r="X22" s="21"/>
      <c r="Y22" s="21"/>
      <c r="Z22" s="22"/>
    </row>
    <row r="23" spans="1:26" x14ac:dyDescent="0.15">
      <c r="A23" s="18"/>
      <c r="B23" s="29" t="s">
        <v>12</v>
      </c>
      <c r="C23" s="30">
        <v>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f>I22-H22</f>
        <v>100000000</v>
      </c>
      <c r="J23" s="27">
        <f t="shared" ref="J23:R23" si="19">J22-I22</f>
        <v>20000000</v>
      </c>
      <c r="K23" s="27">
        <f t="shared" si="19"/>
        <v>24000000</v>
      </c>
      <c r="L23" s="27">
        <f t="shared" si="19"/>
        <v>28800000</v>
      </c>
      <c r="M23" s="27">
        <f t="shared" si="19"/>
        <v>34560000</v>
      </c>
      <c r="N23" s="27">
        <f t="shared" si="19"/>
        <v>41472000</v>
      </c>
      <c r="O23" s="27">
        <f t="shared" si="19"/>
        <v>49766400</v>
      </c>
      <c r="P23" s="27">
        <f t="shared" si="19"/>
        <v>59719680</v>
      </c>
      <c r="Q23" s="27">
        <f t="shared" si="19"/>
        <v>71663615.99999994</v>
      </c>
      <c r="R23" s="98">
        <f t="shared" si="19"/>
        <v>85996339.199999988</v>
      </c>
      <c r="S23" s="51"/>
      <c r="T23" s="21"/>
      <c r="U23" s="21"/>
      <c r="V23" s="21"/>
      <c r="W23" s="21"/>
      <c r="X23" s="21"/>
      <c r="Y23" s="21"/>
      <c r="Z23" s="22"/>
    </row>
    <row r="24" spans="1:26" x14ac:dyDescent="0.15">
      <c r="A24" s="18"/>
      <c r="B24" s="29" t="s">
        <v>13</v>
      </c>
      <c r="C24" s="30">
        <v>0</v>
      </c>
      <c r="D24" s="31">
        <v>20000000</v>
      </c>
      <c r="E24" s="31">
        <v>20000000</v>
      </c>
      <c r="F24" s="31">
        <v>20000000</v>
      </c>
      <c r="G24" s="31">
        <v>20000000</v>
      </c>
      <c r="H24" s="31">
        <v>20000000</v>
      </c>
      <c r="I24" s="31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98">
        <v>0</v>
      </c>
      <c r="S24" s="51"/>
      <c r="T24" s="21"/>
      <c r="U24" s="21"/>
      <c r="V24" s="21"/>
      <c r="W24" s="21"/>
      <c r="X24" s="21"/>
      <c r="Y24" s="21"/>
      <c r="Z24" s="22"/>
    </row>
    <row r="25" spans="1:26" x14ac:dyDescent="0.15">
      <c r="A25" s="18"/>
      <c r="B25" s="25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98"/>
      <c r="S25" s="51"/>
      <c r="T25" s="21"/>
      <c r="U25" s="21"/>
      <c r="V25" s="21"/>
      <c r="W25" s="21"/>
      <c r="X25" s="21"/>
      <c r="Y25" s="21"/>
      <c r="Z25" s="22"/>
    </row>
    <row r="26" spans="1:26" x14ac:dyDescent="0.15">
      <c r="A26" s="18"/>
      <c r="B26" s="29" t="s">
        <v>14</v>
      </c>
      <c r="C26" s="30">
        <v>0</v>
      </c>
      <c r="D26" s="27">
        <f>D18+D19-D20-D23-D24</f>
        <v>-295000000</v>
      </c>
      <c r="E26" s="27">
        <f>E18+E19-E20-E23-E24</f>
        <v>-303000000</v>
      </c>
      <c r="F26" s="27">
        <f t="shared" ref="F26:R26" si="20">F18+F19-F20-F23-F24</f>
        <v>-311400000</v>
      </c>
      <c r="G26" s="27">
        <f t="shared" si="20"/>
        <v>-320220000</v>
      </c>
      <c r="H26" s="27">
        <f t="shared" si="20"/>
        <v>-329481000</v>
      </c>
      <c r="I26" s="27">
        <f>I18+I19-I20-I23-I24</f>
        <v>-51903787.5</v>
      </c>
      <c r="J26" s="27">
        <f>J18+J19-J20-J23-J24</f>
        <v>77438523.125</v>
      </c>
      <c r="K26" s="27">
        <f t="shared" si="20"/>
        <v>133797949.28125</v>
      </c>
      <c r="L26" s="27">
        <f>L18+L19-L20-L23-L24</f>
        <v>202635346.74531248</v>
      </c>
      <c r="M26" s="27">
        <f>M18+M19-M20-M23-M24</f>
        <v>348714614.08257806</v>
      </c>
      <c r="N26" s="27">
        <f t="shared" si="20"/>
        <v>463131444.78670698</v>
      </c>
      <c r="O26" s="27">
        <f t="shared" si="20"/>
        <v>691407357.02604234</v>
      </c>
      <c r="P26" s="27">
        <f t="shared" si="20"/>
        <v>877224936.87734365</v>
      </c>
      <c r="Q26" s="27">
        <f t="shared" si="20"/>
        <v>1166242592.5212111</v>
      </c>
      <c r="R26" s="98">
        <f t="shared" si="20"/>
        <v>1527579500.8672717</v>
      </c>
      <c r="S26" s="51"/>
      <c r="T26" s="21"/>
      <c r="U26" s="21"/>
      <c r="V26" s="21"/>
      <c r="W26" s="21"/>
      <c r="X26" s="21"/>
      <c r="Y26" s="21"/>
      <c r="Z26" s="22"/>
    </row>
    <row r="27" spans="1:26" x14ac:dyDescent="0.15">
      <c r="A27" s="18"/>
      <c r="B27" s="32" t="s">
        <v>15</v>
      </c>
      <c r="C27" s="33">
        <v>0</v>
      </c>
      <c r="D27" s="34">
        <f>C27+D26</f>
        <v>-295000000</v>
      </c>
      <c r="E27" s="34">
        <f t="shared" ref="E27:R27" si="21">D27+E26</f>
        <v>-598000000</v>
      </c>
      <c r="F27" s="34">
        <f t="shared" si="21"/>
        <v>-909400000</v>
      </c>
      <c r="G27" s="34">
        <f t="shared" si="21"/>
        <v>-1229620000</v>
      </c>
      <c r="H27" s="34">
        <f t="shared" si="21"/>
        <v>-1559101000</v>
      </c>
      <c r="I27" s="34">
        <f t="shared" si="21"/>
        <v>-1611004787.5</v>
      </c>
      <c r="J27" s="34">
        <f t="shared" si="21"/>
        <v>-1533566264.375</v>
      </c>
      <c r="K27" s="34">
        <f t="shared" si="21"/>
        <v>-1399768315.09375</v>
      </c>
      <c r="L27" s="34">
        <f t="shared" si="21"/>
        <v>-1197132968.3484375</v>
      </c>
      <c r="M27" s="34">
        <f t="shared" si="21"/>
        <v>-848418354.26585948</v>
      </c>
      <c r="N27" s="34">
        <f t="shared" si="21"/>
        <v>-385286909.4791525</v>
      </c>
      <c r="O27" s="34">
        <f t="shared" si="21"/>
        <v>306120447.54688984</v>
      </c>
      <c r="P27" s="34">
        <f t="shared" si="21"/>
        <v>1183345384.4242334</v>
      </c>
      <c r="Q27" s="34">
        <f t="shared" si="21"/>
        <v>2349587976.9454446</v>
      </c>
      <c r="R27" s="105">
        <f t="shared" si="21"/>
        <v>3877167477.8127165</v>
      </c>
      <c r="S27" s="51"/>
      <c r="T27" s="21"/>
      <c r="U27" s="21"/>
      <c r="V27" s="21"/>
      <c r="W27" s="21"/>
      <c r="X27" s="21"/>
      <c r="Y27" s="21"/>
      <c r="Z27" s="22"/>
    </row>
    <row r="28" spans="1:26" x14ac:dyDescent="0.15">
      <c r="A28" s="36"/>
      <c r="B28" s="37"/>
      <c r="C28" s="38"/>
      <c r="D28" s="38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21"/>
      <c r="T28" s="21"/>
      <c r="U28" s="21"/>
      <c r="V28" s="21"/>
      <c r="W28" s="21"/>
      <c r="X28" s="21"/>
      <c r="Y28" s="21"/>
      <c r="Z28" s="22"/>
    </row>
    <row r="29" spans="1:26" x14ac:dyDescent="0.15">
      <c r="A29" s="18"/>
      <c r="B29" s="21" t="s">
        <v>16</v>
      </c>
      <c r="C29" s="21"/>
      <c r="D29" s="2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2"/>
    </row>
    <row r="30" spans="1:26" x14ac:dyDescent="0.15">
      <c r="A30" s="18"/>
      <c r="B30" s="251" t="s">
        <v>17</v>
      </c>
      <c r="C30" s="252"/>
      <c r="D30" s="4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2"/>
    </row>
    <row r="31" spans="1:26" x14ac:dyDescent="0.15">
      <c r="A31" s="18"/>
      <c r="B31" s="37" t="s">
        <v>18</v>
      </c>
      <c r="C31" s="37"/>
      <c r="D31" s="4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2"/>
    </row>
    <row r="32" spans="1:26" x14ac:dyDescent="0.15">
      <c r="A32" s="18"/>
      <c r="B32" s="21" t="s">
        <v>19</v>
      </c>
      <c r="C32" s="43">
        <v>20000</v>
      </c>
      <c r="D32" s="22" t="s">
        <v>20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2"/>
    </row>
    <row r="33" spans="1:26" x14ac:dyDescent="0.15">
      <c r="A33" s="18"/>
      <c r="B33" s="21" t="s">
        <v>21</v>
      </c>
      <c r="C33" s="44">
        <v>0.2</v>
      </c>
      <c r="D33" s="22"/>
      <c r="E33" s="21"/>
      <c r="F33" s="21"/>
      <c r="G33" s="21"/>
      <c r="H33" s="21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21"/>
      <c r="T33" s="21"/>
      <c r="U33" s="21"/>
      <c r="V33" s="21"/>
      <c r="W33" s="21"/>
      <c r="X33" s="21"/>
      <c r="Y33" s="21"/>
      <c r="Z33" s="22"/>
    </row>
    <row r="34" spans="1:26" x14ac:dyDescent="0.15">
      <c r="A34" s="18"/>
      <c r="B34" s="21" t="s">
        <v>22</v>
      </c>
      <c r="C34" s="45">
        <v>100000</v>
      </c>
      <c r="D34" s="22"/>
      <c r="E34" s="21"/>
      <c r="F34" s="21"/>
      <c r="G34" s="21"/>
      <c r="H34" s="22"/>
      <c r="I34" s="37">
        <v>2030</v>
      </c>
      <c r="J34" s="37">
        <v>2031</v>
      </c>
      <c r="K34" s="37">
        <v>2032</v>
      </c>
      <c r="L34" s="37">
        <v>2033</v>
      </c>
      <c r="M34" s="37">
        <v>2034</v>
      </c>
      <c r="N34" s="37">
        <v>2035</v>
      </c>
      <c r="O34" s="37">
        <v>2036</v>
      </c>
      <c r="P34" s="37">
        <v>2037</v>
      </c>
      <c r="Q34" s="37">
        <v>2038</v>
      </c>
      <c r="R34" s="42">
        <v>2039</v>
      </c>
      <c r="S34" s="21"/>
      <c r="T34" s="21"/>
      <c r="U34" s="21"/>
      <c r="V34" s="21"/>
      <c r="W34" s="21"/>
      <c r="X34" s="21"/>
      <c r="Y34" s="21"/>
      <c r="Z34" s="22"/>
    </row>
    <row r="35" spans="1:26" x14ac:dyDescent="0.15">
      <c r="A35" s="18"/>
      <c r="B35" s="21" t="s">
        <v>23</v>
      </c>
      <c r="C35" s="21"/>
      <c r="D35" s="22"/>
      <c r="E35" s="21"/>
      <c r="F35" s="21"/>
      <c r="G35" s="21"/>
      <c r="H35" s="22"/>
      <c r="I35" s="34">
        <v>80000</v>
      </c>
      <c r="J35" s="34">
        <v>80000</v>
      </c>
      <c r="K35" s="34">
        <v>80000</v>
      </c>
      <c r="L35" s="34">
        <v>80000</v>
      </c>
      <c r="M35" s="34">
        <v>78000</v>
      </c>
      <c r="N35" s="34">
        <v>78000</v>
      </c>
      <c r="O35" s="34">
        <v>76000</v>
      </c>
      <c r="P35" s="34">
        <v>76000</v>
      </c>
      <c r="Q35" s="34">
        <v>75000</v>
      </c>
      <c r="R35" s="35">
        <v>74000</v>
      </c>
      <c r="S35" s="21"/>
      <c r="T35" s="21"/>
      <c r="U35" s="21"/>
      <c r="V35" s="21"/>
      <c r="W35" s="21"/>
      <c r="X35" s="21"/>
      <c r="Y35" s="21"/>
      <c r="Z35" s="22"/>
    </row>
    <row r="36" spans="1:26" x14ac:dyDescent="0.15">
      <c r="A36" s="18"/>
      <c r="B36" s="21" t="s">
        <v>24</v>
      </c>
      <c r="C36" s="45">
        <v>1000</v>
      </c>
      <c r="D36" s="22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2"/>
    </row>
    <row r="37" spans="1:26" x14ac:dyDescent="0.15">
      <c r="A37" s="18"/>
      <c r="B37" s="21" t="s">
        <v>25</v>
      </c>
      <c r="C37" s="45">
        <v>160000000</v>
      </c>
      <c r="D37" s="22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2"/>
    </row>
    <row r="38" spans="1:26" x14ac:dyDescent="0.15">
      <c r="A38" s="18"/>
      <c r="B38" s="21" t="s">
        <v>26</v>
      </c>
      <c r="C38" s="44">
        <v>0.05</v>
      </c>
      <c r="D38" s="22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2"/>
    </row>
    <row r="39" spans="1:26" x14ac:dyDescent="0.15">
      <c r="A39" s="18"/>
      <c r="B39" s="21" t="s">
        <v>9</v>
      </c>
      <c r="C39" s="45">
        <v>5000000</v>
      </c>
      <c r="D39" s="22" t="s">
        <v>27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2"/>
    </row>
    <row r="40" spans="1:26" x14ac:dyDescent="0.15">
      <c r="A40" s="18"/>
      <c r="B40" s="21" t="s">
        <v>7</v>
      </c>
      <c r="C40" s="45">
        <v>120000000</v>
      </c>
      <c r="D40" s="22" t="s">
        <v>27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2"/>
    </row>
    <row r="41" spans="1:26" x14ac:dyDescent="0.15">
      <c r="A41" s="18"/>
      <c r="B41" s="21" t="s">
        <v>28</v>
      </c>
      <c r="C41" s="44">
        <v>0.05</v>
      </c>
      <c r="D41" s="22" t="s">
        <v>29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2"/>
    </row>
    <row r="42" spans="1:26" x14ac:dyDescent="0.15">
      <c r="A42" s="18"/>
      <c r="B42" s="21" t="s">
        <v>13</v>
      </c>
      <c r="C42" s="45">
        <v>20000000</v>
      </c>
      <c r="D42" s="22" t="s">
        <v>27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2"/>
    </row>
    <row r="43" spans="1:26" x14ac:dyDescent="0.15">
      <c r="A43" s="18"/>
      <c r="B43" s="21" t="s">
        <v>30</v>
      </c>
      <c r="C43" s="44">
        <v>0.25</v>
      </c>
      <c r="D43" s="22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2"/>
    </row>
    <row r="44" spans="1:26" x14ac:dyDescent="0.15">
      <c r="A44" s="18"/>
      <c r="B44" s="37" t="s">
        <v>31</v>
      </c>
      <c r="C44" s="46">
        <v>0.15</v>
      </c>
      <c r="D44" s="42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2"/>
    </row>
    <row r="45" spans="1:26" x14ac:dyDescent="0.15">
      <c r="A45" s="36"/>
      <c r="B45" s="37"/>
      <c r="C45" s="37"/>
      <c r="D45" s="37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2"/>
    </row>
    <row r="46" spans="1:26" x14ac:dyDescent="0.15">
      <c r="A46" s="18"/>
      <c r="B46" s="37" t="s">
        <v>32</v>
      </c>
      <c r="C46" s="47">
        <f>NPV($C$44,D26:R26)+C26</f>
        <v>-119166931.6440478</v>
      </c>
      <c r="D46" s="42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2"/>
    </row>
    <row r="47" spans="1:26" x14ac:dyDescent="0.15">
      <c r="A47" s="36"/>
      <c r="B47" s="21"/>
      <c r="C47" s="45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2"/>
    </row>
    <row r="48" spans="1:26" x14ac:dyDescent="0.15">
      <c r="A48" s="36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2"/>
    </row>
    <row r="49" spans="1:26" x14ac:dyDescent="0.15">
      <c r="A49" s="36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2"/>
    </row>
    <row r="50" spans="1:26" x14ac:dyDescent="0.15">
      <c r="A50" s="36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2"/>
    </row>
    <row r="51" spans="1:26" x14ac:dyDescent="0.15">
      <c r="A51" s="36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2"/>
    </row>
    <row r="52" spans="1:26" x14ac:dyDescent="0.15">
      <c r="A52" s="36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2"/>
    </row>
    <row r="53" spans="1:26" x14ac:dyDescent="0.15">
      <c r="A53" s="36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2"/>
    </row>
    <row r="54" spans="1:26" x14ac:dyDescent="0.15">
      <c r="A54" s="36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2"/>
    </row>
    <row r="55" spans="1:26" x14ac:dyDescent="0.15">
      <c r="A55" s="36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2"/>
    </row>
    <row r="56" spans="1:26" x14ac:dyDescent="0.15">
      <c r="A56" s="36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2"/>
    </row>
    <row r="57" spans="1:26" x14ac:dyDescent="0.15">
      <c r="A57" s="36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2"/>
    </row>
    <row r="58" spans="1:26" x14ac:dyDescent="0.15">
      <c r="A58" s="36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2"/>
    </row>
    <row r="59" spans="1:26" x14ac:dyDescent="0.15">
      <c r="A59" s="36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2"/>
    </row>
    <row r="60" spans="1:26" x14ac:dyDescent="0.15">
      <c r="A60" s="36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2"/>
    </row>
    <row r="61" spans="1:26" x14ac:dyDescent="0.15">
      <c r="A61" s="36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2"/>
    </row>
    <row r="62" spans="1:26" x14ac:dyDescent="0.15">
      <c r="A62" s="36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2"/>
    </row>
    <row r="63" spans="1:26" x14ac:dyDescent="0.15">
      <c r="A63" s="36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2"/>
    </row>
    <row r="64" spans="1:26" x14ac:dyDescent="0.15">
      <c r="A64" s="36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2"/>
    </row>
    <row r="65" spans="1:26" x14ac:dyDescent="0.15">
      <c r="A65" s="36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2"/>
    </row>
    <row r="66" spans="1:26" x14ac:dyDescent="0.15">
      <c r="A66" s="36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2"/>
    </row>
    <row r="67" spans="1:26" x14ac:dyDescent="0.15">
      <c r="A67" s="36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2"/>
    </row>
    <row r="68" spans="1:26" x14ac:dyDescent="0.15">
      <c r="A68" s="36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2"/>
    </row>
    <row r="69" spans="1:26" x14ac:dyDescent="0.15">
      <c r="A69" s="36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2"/>
    </row>
    <row r="70" spans="1:26" x14ac:dyDescent="0.15">
      <c r="A70" s="36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2"/>
    </row>
    <row r="71" spans="1:26" x14ac:dyDescent="0.15">
      <c r="A71" s="36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2"/>
    </row>
    <row r="72" spans="1:26" x14ac:dyDescent="0.15">
      <c r="A72" s="36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2"/>
    </row>
    <row r="73" spans="1:26" x14ac:dyDescent="0.15">
      <c r="A73" s="36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2"/>
    </row>
    <row r="74" spans="1:26" x14ac:dyDescent="0.15">
      <c r="A74" s="36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2"/>
    </row>
    <row r="75" spans="1:26" x14ac:dyDescent="0.15">
      <c r="A75" s="36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2"/>
    </row>
    <row r="76" spans="1:26" x14ac:dyDescent="0.15">
      <c r="A76" s="36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2"/>
    </row>
    <row r="77" spans="1:26" x14ac:dyDescent="0.15">
      <c r="A77" s="36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2"/>
    </row>
    <row r="78" spans="1:26" x14ac:dyDescent="0.15">
      <c r="A78" s="36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2"/>
    </row>
    <row r="79" spans="1:26" x14ac:dyDescent="0.15">
      <c r="A79" s="36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2"/>
    </row>
    <row r="80" spans="1:26" x14ac:dyDescent="0.15">
      <c r="A80" s="36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2"/>
    </row>
    <row r="81" spans="1:26" x14ac:dyDescent="0.15">
      <c r="A81" s="36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2"/>
    </row>
    <row r="82" spans="1:26" x14ac:dyDescent="0.15">
      <c r="A82" s="36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2"/>
    </row>
    <row r="83" spans="1:26" x14ac:dyDescent="0.15">
      <c r="A83" s="36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2"/>
    </row>
    <row r="84" spans="1:26" x14ac:dyDescent="0.15">
      <c r="A84" s="36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2"/>
    </row>
    <row r="85" spans="1:26" x14ac:dyDescent="0.15">
      <c r="A85" s="36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2"/>
    </row>
    <row r="86" spans="1:26" x14ac:dyDescent="0.15">
      <c r="A86" s="36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2"/>
    </row>
    <row r="87" spans="1:26" x14ac:dyDescent="0.15">
      <c r="A87" s="36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2"/>
    </row>
    <row r="88" spans="1:26" x14ac:dyDescent="0.15">
      <c r="A88" s="36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2"/>
    </row>
    <row r="89" spans="1:26" x14ac:dyDescent="0.15">
      <c r="A89" s="36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2"/>
    </row>
    <row r="90" spans="1:26" x14ac:dyDescent="0.15">
      <c r="A90" s="36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2"/>
    </row>
    <row r="91" spans="1:26" x14ac:dyDescent="0.15">
      <c r="A91" s="36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2"/>
    </row>
    <row r="92" spans="1:26" x14ac:dyDescent="0.15">
      <c r="A92" s="36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2"/>
    </row>
    <row r="93" spans="1:26" x14ac:dyDescent="0.15">
      <c r="A93" s="36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2"/>
    </row>
    <row r="94" spans="1:26" x14ac:dyDescent="0.15">
      <c r="A94" s="36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2"/>
    </row>
    <row r="95" spans="1:26" x14ac:dyDescent="0.15">
      <c r="A95" s="36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2"/>
    </row>
    <row r="96" spans="1:26" x14ac:dyDescent="0.15">
      <c r="A96" s="36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2"/>
    </row>
    <row r="97" spans="1:26" x14ac:dyDescent="0.15">
      <c r="A97" s="36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2"/>
    </row>
    <row r="98" spans="1:26" x14ac:dyDescent="0.15">
      <c r="A98" s="36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2"/>
    </row>
    <row r="99" spans="1:26" x14ac:dyDescent="0.15">
      <c r="A99" s="36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2"/>
    </row>
    <row r="100" spans="1:26" x14ac:dyDescent="0.15">
      <c r="A100" s="36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2"/>
    </row>
    <row r="101" spans="1:26" x14ac:dyDescent="0.15">
      <c r="A101" s="36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2"/>
    </row>
    <row r="102" spans="1:26" x14ac:dyDescent="0.15">
      <c r="A102" s="36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2"/>
    </row>
    <row r="103" spans="1:26" x14ac:dyDescent="0.15">
      <c r="A103" s="36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2"/>
    </row>
    <row r="104" spans="1:26" x14ac:dyDescent="0.15">
      <c r="A104" s="36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2"/>
    </row>
    <row r="105" spans="1:26" x14ac:dyDescent="0.15">
      <c r="A105" s="36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2"/>
    </row>
    <row r="106" spans="1:26" x14ac:dyDescent="0.15">
      <c r="A106" s="36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2"/>
    </row>
    <row r="107" spans="1:26" x14ac:dyDescent="0.15">
      <c r="A107" s="36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2"/>
    </row>
    <row r="108" spans="1:26" x14ac:dyDescent="0.15">
      <c r="A108" s="36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2"/>
    </row>
    <row r="109" spans="1:26" x14ac:dyDescent="0.15">
      <c r="A109" s="36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2"/>
    </row>
    <row r="110" spans="1:26" x14ac:dyDescent="0.15">
      <c r="A110" s="36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2"/>
    </row>
    <row r="111" spans="1:26" x14ac:dyDescent="0.15">
      <c r="A111" s="36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2"/>
    </row>
    <row r="112" spans="1:26" x14ac:dyDescent="0.15">
      <c r="A112" s="36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2"/>
    </row>
    <row r="113" spans="1:26" x14ac:dyDescent="0.15">
      <c r="A113" s="36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2"/>
    </row>
    <row r="114" spans="1:26" x14ac:dyDescent="0.15">
      <c r="A114" s="36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2"/>
    </row>
    <row r="115" spans="1:26" x14ac:dyDescent="0.15">
      <c r="A115" s="36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2"/>
    </row>
    <row r="116" spans="1:26" x14ac:dyDescent="0.15">
      <c r="A116" s="36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2"/>
    </row>
    <row r="117" spans="1:26" x14ac:dyDescent="0.15">
      <c r="A117" s="36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2"/>
    </row>
    <row r="118" spans="1:26" x14ac:dyDescent="0.15">
      <c r="A118" s="36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2"/>
    </row>
    <row r="119" spans="1:26" x14ac:dyDescent="0.15">
      <c r="A119" s="36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2"/>
    </row>
    <row r="120" spans="1:26" x14ac:dyDescent="0.15">
      <c r="A120" s="36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2"/>
    </row>
    <row r="121" spans="1:26" x14ac:dyDescent="0.15">
      <c r="A121" s="36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2"/>
    </row>
    <row r="122" spans="1:26" x14ac:dyDescent="0.15">
      <c r="A122" s="36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2"/>
    </row>
    <row r="123" spans="1:26" x14ac:dyDescent="0.15">
      <c r="A123" s="36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2"/>
    </row>
    <row r="124" spans="1:26" x14ac:dyDescent="0.15">
      <c r="A124" s="36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2"/>
    </row>
    <row r="125" spans="1:26" x14ac:dyDescent="0.15">
      <c r="A125" s="36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2"/>
    </row>
    <row r="126" spans="1:26" x14ac:dyDescent="0.15">
      <c r="A126" s="36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2"/>
    </row>
    <row r="127" spans="1:26" x14ac:dyDescent="0.15">
      <c r="A127" s="36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2"/>
    </row>
    <row r="128" spans="1:26" x14ac:dyDescent="0.15">
      <c r="A128" s="36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2"/>
    </row>
    <row r="129" spans="1:26" x14ac:dyDescent="0.15">
      <c r="A129" s="36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2"/>
    </row>
    <row r="130" spans="1:26" x14ac:dyDescent="0.15">
      <c r="A130" s="36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2"/>
    </row>
    <row r="131" spans="1:26" x14ac:dyDescent="0.15">
      <c r="A131" s="36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2"/>
    </row>
    <row r="132" spans="1:26" x14ac:dyDescent="0.15">
      <c r="A132" s="36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2"/>
    </row>
    <row r="133" spans="1:26" x14ac:dyDescent="0.15">
      <c r="A133" s="36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2"/>
    </row>
    <row r="134" spans="1:26" x14ac:dyDescent="0.15">
      <c r="A134" s="36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2"/>
    </row>
    <row r="135" spans="1:26" x14ac:dyDescent="0.15">
      <c r="A135" s="36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2"/>
    </row>
    <row r="136" spans="1:26" x14ac:dyDescent="0.15">
      <c r="A136" s="36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2"/>
    </row>
    <row r="137" spans="1:26" x14ac:dyDescent="0.15">
      <c r="A137" s="36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2"/>
    </row>
    <row r="138" spans="1:26" x14ac:dyDescent="0.15">
      <c r="A138" s="36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2"/>
    </row>
    <row r="139" spans="1:26" x14ac:dyDescent="0.15">
      <c r="A139" s="36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2"/>
    </row>
    <row r="140" spans="1:26" x14ac:dyDescent="0.15">
      <c r="A140" s="36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2"/>
    </row>
    <row r="141" spans="1:26" x14ac:dyDescent="0.15">
      <c r="A141" s="36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2"/>
    </row>
    <row r="142" spans="1:26" x14ac:dyDescent="0.15">
      <c r="A142" s="36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2"/>
    </row>
    <row r="143" spans="1:26" x14ac:dyDescent="0.15">
      <c r="A143" s="36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2"/>
    </row>
    <row r="144" spans="1:26" x14ac:dyDescent="0.15">
      <c r="A144" s="36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2"/>
    </row>
    <row r="145" spans="1:26" x14ac:dyDescent="0.15">
      <c r="A145" s="36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2"/>
    </row>
    <row r="146" spans="1:26" x14ac:dyDescent="0.15">
      <c r="A146" s="36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2"/>
    </row>
    <row r="147" spans="1:26" x14ac:dyDescent="0.15">
      <c r="A147" s="36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2"/>
    </row>
    <row r="148" spans="1:26" x14ac:dyDescent="0.15">
      <c r="A148" s="36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2"/>
    </row>
    <row r="149" spans="1:26" x14ac:dyDescent="0.15">
      <c r="A149" s="36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2"/>
    </row>
    <row r="150" spans="1:26" x14ac:dyDescent="0.15">
      <c r="A150" s="36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2"/>
    </row>
    <row r="151" spans="1:26" x14ac:dyDescent="0.15">
      <c r="A151" s="36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2"/>
    </row>
    <row r="152" spans="1:26" x14ac:dyDescent="0.15">
      <c r="A152" s="36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2"/>
    </row>
    <row r="153" spans="1:26" x14ac:dyDescent="0.15">
      <c r="A153" s="36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2"/>
    </row>
    <row r="154" spans="1:26" x14ac:dyDescent="0.15">
      <c r="A154" s="36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2"/>
    </row>
    <row r="155" spans="1:26" x14ac:dyDescent="0.15">
      <c r="A155" s="36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2"/>
    </row>
    <row r="156" spans="1:26" x14ac:dyDescent="0.15">
      <c r="A156" s="36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2"/>
    </row>
    <row r="157" spans="1:26" x14ac:dyDescent="0.15">
      <c r="A157" s="36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2"/>
    </row>
    <row r="158" spans="1:26" x14ac:dyDescent="0.15">
      <c r="A158" s="36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2"/>
    </row>
    <row r="159" spans="1:26" x14ac:dyDescent="0.15">
      <c r="A159" s="36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2"/>
    </row>
    <row r="160" spans="1:26" x14ac:dyDescent="0.15">
      <c r="A160" s="36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2"/>
    </row>
    <row r="161" spans="1:26" x14ac:dyDescent="0.15">
      <c r="A161" s="36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2"/>
    </row>
    <row r="162" spans="1:26" x14ac:dyDescent="0.15">
      <c r="A162" s="36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2"/>
    </row>
    <row r="163" spans="1:26" x14ac:dyDescent="0.15">
      <c r="A163" s="36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2"/>
    </row>
    <row r="164" spans="1:26" x14ac:dyDescent="0.15">
      <c r="A164" s="36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2"/>
    </row>
    <row r="165" spans="1:26" x14ac:dyDescent="0.15">
      <c r="A165" s="36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2"/>
    </row>
    <row r="166" spans="1:26" x14ac:dyDescent="0.15">
      <c r="A166" s="36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2"/>
    </row>
    <row r="167" spans="1:26" x14ac:dyDescent="0.15">
      <c r="A167" s="36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2"/>
    </row>
    <row r="168" spans="1:26" x14ac:dyDescent="0.15">
      <c r="A168" s="36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2"/>
    </row>
    <row r="169" spans="1:26" x14ac:dyDescent="0.15">
      <c r="A169" s="36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2"/>
    </row>
    <row r="170" spans="1:26" x14ac:dyDescent="0.15">
      <c r="A170" s="36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2"/>
    </row>
    <row r="171" spans="1:26" x14ac:dyDescent="0.15">
      <c r="A171" s="36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2"/>
    </row>
    <row r="172" spans="1:26" x14ac:dyDescent="0.15">
      <c r="A172" s="36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2"/>
    </row>
    <row r="173" spans="1:26" x14ac:dyDescent="0.15">
      <c r="A173" s="36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2"/>
    </row>
    <row r="174" spans="1:26" x14ac:dyDescent="0.15">
      <c r="A174" s="36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2"/>
    </row>
    <row r="175" spans="1:26" x14ac:dyDescent="0.15">
      <c r="A175" s="36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2"/>
    </row>
    <row r="176" spans="1:26" x14ac:dyDescent="0.15">
      <c r="A176" s="36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2"/>
    </row>
    <row r="177" spans="1:26" x14ac:dyDescent="0.15">
      <c r="A177" s="36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2"/>
    </row>
    <row r="178" spans="1:26" x14ac:dyDescent="0.15">
      <c r="A178" s="36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2"/>
    </row>
    <row r="179" spans="1:26" x14ac:dyDescent="0.15">
      <c r="A179" s="36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2"/>
    </row>
    <row r="180" spans="1:26" x14ac:dyDescent="0.15">
      <c r="A180" s="36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2"/>
    </row>
    <row r="181" spans="1:26" x14ac:dyDescent="0.15">
      <c r="A181" s="36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2"/>
    </row>
    <row r="182" spans="1:26" x14ac:dyDescent="0.15">
      <c r="A182" s="36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2"/>
    </row>
    <row r="183" spans="1:26" x14ac:dyDescent="0.15">
      <c r="A183" s="36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2"/>
    </row>
    <row r="184" spans="1:26" x14ac:dyDescent="0.15">
      <c r="A184" s="36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2"/>
    </row>
    <row r="185" spans="1:26" x14ac:dyDescent="0.15">
      <c r="A185" s="36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2"/>
    </row>
    <row r="186" spans="1:26" x14ac:dyDescent="0.15">
      <c r="A186" s="36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2"/>
    </row>
    <row r="187" spans="1:26" x14ac:dyDescent="0.15">
      <c r="A187" s="36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2"/>
    </row>
    <row r="188" spans="1:26" x14ac:dyDescent="0.15">
      <c r="A188" s="36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2"/>
    </row>
    <row r="189" spans="1:26" x14ac:dyDescent="0.15">
      <c r="A189" s="36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2"/>
    </row>
    <row r="190" spans="1:26" x14ac:dyDescent="0.15">
      <c r="A190" s="36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2"/>
    </row>
    <row r="191" spans="1:26" x14ac:dyDescent="0.15">
      <c r="A191" s="36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2"/>
    </row>
    <row r="192" spans="1:26" x14ac:dyDescent="0.15">
      <c r="A192" s="36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2"/>
    </row>
    <row r="193" spans="1:26" x14ac:dyDescent="0.15">
      <c r="A193" s="36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2"/>
    </row>
    <row r="194" spans="1:26" x14ac:dyDescent="0.15">
      <c r="A194" s="36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2"/>
    </row>
    <row r="195" spans="1:26" x14ac:dyDescent="0.15">
      <c r="A195" s="36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2"/>
    </row>
    <row r="196" spans="1:26" x14ac:dyDescent="0.15">
      <c r="A196" s="36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2"/>
    </row>
    <row r="197" spans="1:26" x14ac:dyDescent="0.15">
      <c r="A197" s="36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2"/>
    </row>
    <row r="198" spans="1:26" x14ac:dyDescent="0.15">
      <c r="A198" s="36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2"/>
    </row>
    <row r="199" spans="1:26" x14ac:dyDescent="0.15">
      <c r="A199" s="36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2"/>
    </row>
    <row r="200" spans="1:26" x14ac:dyDescent="0.15">
      <c r="A200" s="36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2"/>
    </row>
    <row r="201" spans="1:26" x14ac:dyDescent="0.15">
      <c r="A201" s="36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2"/>
    </row>
    <row r="202" spans="1:26" x14ac:dyDescent="0.15">
      <c r="A202" s="36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2"/>
    </row>
    <row r="203" spans="1:26" x14ac:dyDescent="0.15">
      <c r="A203" s="36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2"/>
    </row>
    <row r="204" spans="1:26" x14ac:dyDescent="0.15">
      <c r="A204" s="36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2"/>
    </row>
    <row r="205" spans="1:26" x14ac:dyDescent="0.15">
      <c r="A205" s="36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2"/>
    </row>
    <row r="206" spans="1:26" x14ac:dyDescent="0.15">
      <c r="A206" s="36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2"/>
    </row>
    <row r="207" spans="1:26" x14ac:dyDescent="0.15">
      <c r="A207" s="36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2"/>
    </row>
    <row r="208" spans="1:26" x14ac:dyDescent="0.15">
      <c r="A208" s="36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2"/>
    </row>
    <row r="209" spans="1:26" x14ac:dyDescent="0.15">
      <c r="A209" s="36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2"/>
    </row>
    <row r="210" spans="1:26" x14ac:dyDescent="0.15">
      <c r="A210" s="36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2"/>
    </row>
    <row r="211" spans="1:26" x14ac:dyDescent="0.15">
      <c r="A211" s="36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2"/>
    </row>
    <row r="212" spans="1:26" x14ac:dyDescent="0.15">
      <c r="A212" s="36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2"/>
    </row>
    <row r="213" spans="1:26" x14ac:dyDescent="0.15">
      <c r="A213" s="36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2"/>
    </row>
    <row r="214" spans="1:26" x14ac:dyDescent="0.15">
      <c r="A214" s="36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2"/>
    </row>
    <row r="215" spans="1:26" x14ac:dyDescent="0.15">
      <c r="A215" s="36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2"/>
    </row>
    <row r="216" spans="1:26" x14ac:dyDescent="0.15">
      <c r="A216" s="36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2"/>
    </row>
    <row r="217" spans="1:26" x14ac:dyDescent="0.15">
      <c r="A217" s="36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2"/>
    </row>
    <row r="218" spans="1:26" x14ac:dyDescent="0.15">
      <c r="A218" s="36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2"/>
    </row>
    <row r="219" spans="1:26" x14ac:dyDescent="0.15">
      <c r="A219" s="36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2"/>
    </row>
    <row r="220" spans="1:26" x14ac:dyDescent="0.15">
      <c r="A220" s="36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2"/>
    </row>
    <row r="221" spans="1:26" x14ac:dyDescent="0.15">
      <c r="A221" s="36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2"/>
    </row>
    <row r="222" spans="1:26" x14ac:dyDescent="0.15">
      <c r="A222" s="36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2"/>
    </row>
    <row r="223" spans="1:26" x14ac:dyDescent="0.15">
      <c r="A223" s="36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2"/>
    </row>
    <row r="224" spans="1:26" x14ac:dyDescent="0.15">
      <c r="A224" s="36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2"/>
    </row>
    <row r="225" spans="1:26" x14ac:dyDescent="0.15">
      <c r="A225" s="36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2"/>
    </row>
    <row r="226" spans="1:26" x14ac:dyDescent="0.15">
      <c r="A226" s="36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2"/>
    </row>
    <row r="227" spans="1:26" x14ac:dyDescent="0.15">
      <c r="A227" s="36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2"/>
    </row>
    <row r="228" spans="1:26" x14ac:dyDescent="0.15">
      <c r="A228" s="36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2"/>
    </row>
    <row r="229" spans="1:26" x14ac:dyDescent="0.15">
      <c r="A229" s="36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2"/>
    </row>
    <row r="230" spans="1:26" x14ac:dyDescent="0.15">
      <c r="A230" s="36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2"/>
    </row>
    <row r="231" spans="1:26" x14ac:dyDescent="0.15">
      <c r="A231" s="36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2"/>
    </row>
    <row r="232" spans="1:26" x14ac:dyDescent="0.15">
      <c r="A232" s="36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2"/>
    </row>
    <row r="233" spans="1:26" x14ac:dyDescent="0.15">
      <c r="A233" s="36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2"/>
    </row>
    <row r="234" spans="1:26" x14ac:dyDescent="0.15">
      <c r="A234" s="36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2"/>
    </row>
    <row r="235" spans="1:26" x14ac:dyDescent="0.15">
      <c r="A235" s="36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2"/>
    </row>
    <row r="236" spans="1:26" x14ac:dyDescent="0.15">
      <c r="A236" s="36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2"/>
    </row>
    <row r="237" spans="1:26" x14ac:dyDescent="0.15">
      <c r="A237" s="36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2"/>
    </row>
    <row r="238" spans="1:26" x14ac:dyDescent="0.15">
      <c r="A238" s="36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2"/>
    </row>
    <row r="239" spans="1:26" x14ac:dyDescent="0.15">
      <c r="A239" s="36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2"/>
    </row>
    <row r="240" spans="1:26" x14ac:dyDescent="0.15">
      <c r="A240" s="36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2"/>
    </row>
    <row r="241" spans="1:26" x14ac:dyDescent="0.15">
      <c r="A241" s="36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2"/>
    </row>
    <row r="242" spans="1:26" x14ac:dyDescent="0.15">
      <c r="A242" s="36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2"/>
    </row>
    <row r="243" spans="1:26" x14ac:dyDescent="0.15">
      <c r="A243" s="36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2"/>
    </row>
    <row r="244" spans="1:26" x14ac:dyDescent="0.15">
      <c r="A244" s="36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2"/>
    </row>
    <row r="245" spans="1:26" x14ac:dyDescent="0.15">
      <c r="A245" s="36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2"/>
    </row>
    <row r="246" spans="1:26" x14ac:dyDescent="0.15">
      <c r="A246" s="36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2"/>
    </row>
    <row r="247" spans="1:26" x14ac:dyDescent="0.15">
      <c r="A247" s="36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2"/>
    </row>
    <row r="248" spans="1:26" x14ac:dyDescent="0.15">
      <c r="A248" s="36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2"/>
    </row>
    <row r="249" spans="1:26" x14ac:dyDescent="0.15">
      <c r="A249" s="36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2"/>
    </row>
    <row r="250" spans="1:26" x14ac:dyDescent="0.15">
      <c r="A250" s="36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2"/>
    </row>
    <row r="251" spans="1:26" x14ac:dyDescent="0.15">
      <c r="A251" s="36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2"/>
    </row>
    <row r="252" spans="1:26" x14ac:dyDescent="0.15">
      <c r="A252" s="36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2"/>
    </row>
    <row r="253" spans="1:26" x14ac:dyDescent="0.15">
      <c r="A253" s="36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2"/>
    </row>
    <row r="254" spans="1:26" x14ac:dyDescent="0.15">
      <c r="A254" s="36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2"/>
    </row>
    <row r="255" spans="1:26" x14ac:dyDescent="0.15">
      <c r="A255" s="36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2"/>
    </row>
    <row r="256" spans="1:26" x14ac:dyDescent="0.15">
      <c r="A256" s="36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2"/>
    </row>
    <row r="257" spans="1:26" x14ac:dyDescent="0.15">
      <c r="A257" s="36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2"/>
    </row>
    <row r="258" spans="1:26" x14ac:dyDescent="0.15">
      <c r="A258" s="36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2"/>
    </row>
    <row r="259" spans="1:26" x14ac:dyDescent="0.15">
      <c r="A259" s="36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2"/>
    </row>
    <row r="260" spans="1:26" x14ac:dyDescent="0.15">
      <c r="A260" s="36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2"/>
    </row>
    <row r="261" spans="1:26" x14ac:dyDescent="0.15">
      <c r="A261" s="36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2"/>
    </row>
    <row r="262" spans="1:26" x14ac:dyDescent="0.15">
      <c r="A262" s="36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2"/>
    </row>
    <row r="263" spans="1:26" x14ac:dyDescent="0.15">
      <c r="A263" s="36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2"/>
    </row>
    <row r="264" spans="1:26" x14ac:dyDescent="0.15">
      <c r="A264" s="36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2"/>
    </row>
    <row r="265" spans="1:26" x14ac:dyDescent="0.15">
      <c r="A265" s="36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2"/>
    </row>
    <row r="266" spans="1:26" x14ac:dyDescent="0.15">
      <c r="A266" s="36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2"/>
    </row>
    <row r="267" spans="1:26" x14ac:dyDescent="0.15">
      <c r="A267" s="36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2"/>
    </row>
    <row r="268" spans="1:26" x14ac:dyDescent="0.15">
      <c r="A268" s="36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2"/>
    </row>
    <row r="269" spans="1:26" x14ac:dyDescent="0.15">
      <c r="A269" s="36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2"/>
    </row>
    <row r="270" spans="1:26" x14ac:dyDescent="0.15">
      <c r="A270" s="36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2"/>
    </row>
    <row r="271" spans="1:26" x14ac:dyDescent="0.15">
      <c r="A271" s="36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2"/>
    </row>
    <row r="272" spans="1:26" x14ac:dyDescent="0.15">
      <c r="A272" s="36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2"/>
    </row>
    <row r="273" spans="1:26" x14ac:dyDescent="0.15">
      <c r="A273" s="36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2"/>
    </row>
    <row r="274" spans="1:26" x14ac:dyDescent="0.15">
      <c r="A274" s="36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2"/>
    </row>
    <row r="275" spans="1:26" x14ac:dyDescent="0.15">
      <c r="A275" s="36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2"/>
    </row>
    <row r="276" spans="1:26" x14ac:dyDescent="0.15">
      <c r="A276" s="36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2"/>
    </row>
    <row r="277" spans="1:26" x14ac:dyDescent="0.15">
      <c r="A277" s="36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2"/>
    </row>
    <row r="278" spans="1:26" x14ac:dyDescent="0.15">
      <c r="A278" s="36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2"/>
    </row>
    <row r="279" spans="1:26" x14ac:dyDescent="0.15">
      <c r="A279" s="36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2"/>
    </row>
    <row r="280" spans="1:26" x14ac:dyDescent="0.15">
      <c r="A280" s="36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2"/>
    </row>
    <row r="281" spans="1:26" x14ac:dyDescent="0.15">
      <c r="A281" s="36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2"/>
    </row>
    <row r="282" spans="1:26" x14ac:dyDescent="0.15">
      <c r="A282" s="36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2"/>
    </row>
    <row r="283" spans="1:26" x14ac:dyDescent="0.15">
      <c r="A283" s="36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2"/>
    </row>
    <row r="284" spans="1:26" x14ac:dyDescent="0.15">
      <c r="A284" s="36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2"/>
    </row>
    <row r="285" spans="1:26" x14ac:dyDescent="0.15">
      <c r="A285" s="36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2"/>
    </row>
    <row r="286" spans="1:26" x14ac:dyDescent="0.15">
      <c r="A286" s="36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2"/>
    </row>
    <row r="287" spans="1:26" x14ac:dyDescent="0.15">
      <c r="A287" s="36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2"/>
    </row>
    <row r="288" spans="1:26" x14ac:dyDescent="0.15">
      <c r="A288" s="36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2"/>
    </row>
    <row r="289" spans="1:26" x14ac:dyDescent="0.15">
      <c r="A289" s="36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2"/>
    </row>
    <row r="290" spans="1:26" x14ac:dyDescent="0.15">
      <c r="A290" s="36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2"/>
    </row>
    <row r="291" spans="1:26" x14ac:dyDescent="0.15">
      <c r="A291" s="36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2"/>
    </row>
    <row r="292" spans="1:26" x14ac:dyDescent="0.15">
      <c r="A292" s="36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2"/>
    </row>
    <row r="293" spans="1:26" x14ac:dyDescent="0.15">
      <c r="A293" s="36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2"/>
    </row>
    <row r="294" spans="1:26" x14ac:dyDescent="0.15">
      <c r="A294" s="36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2"/>
    </row>
    <row r="295" spans="1:26" x14ac:dyDescent="0.15">
      <c r="A295" s="36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2"/>
    </row>
    <row r="296" spans="1:26" x14ac:dyDescent="0.15">
      <c r="A296" s="36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2"/>
    </row>
    <row r="297" spans="1:26" x14ac:dyDescent="0.15">
      <c r="A297" s="36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2"/>
    </row>
    <row r="298" spans="1:26" x14ac:dyDescent="0.15">
      <c r="A298" s="36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2"/>
    </row>
    <row r="299" spans="1:26" x14ac:dyDescent="0.15">
      <c r="A299" s="36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2"/>
    </row>
    <row r="300" spans="1:26" x14ac:dyDescent="0.15">
      <c r="A300" s="36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2"/>
    </row>
    <row r="301" spans="1:26" x14ac:dyDescent="0.15">
      <c r="A301" s="36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2"/>
    </row>
    <row r="302" spans="1:26" x14ac:dyDescent="0.15">
      <c r="A302" s="36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2"/>
    </row>
    <row r="303" spans="1:26" x14ac:dyDescent="0.15">
      <c r="A303" s="36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2"/>
    </row>
    <row r="304" spans="1:26" x14ac:dyDescent="0.15">
      <c r="A304" s="36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2"/>
    </row>
    <row r="305" spans="1:26" x14ac:dyDescent="0.15">
      <c r="A305" s="36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2"/>
    </row>
    <row r="306" spans="1:26" x14ac:dyDescent="0.15">
      <c r="A306" s="36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2"/>
    </row>
    <row r="307" spans="1:26" x14ac:dyDescent="0.15">
      <c r="A307" s="36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2"/>
    </row>
    <row r="308" spans="1:26" x14ac:dyDescent="0.15">
      <c r="A308" s="36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2"/>
    </row>
    <row r="309" spans="1:26" x14ac:dyDescent="0.15">
      <c r="A309" s="36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2"/>
    </row>
    <row r="310" spans="1:26" x14ac:dyDescent="0.15">
      <c r="A310" s="36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2"/>
    </row>
    <row r="311" spans="1:26" x14ac:dyDescent="0.15">
      <c r="A311" s="36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2"/>
    </row>
    <row r="312" spans="1:26" x14ac:dyDescent="0.15">
      <c r="A312" s="36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2"/>
    </row>
    <row r="313" spans="1:26" x14ac:dyDescent="0.15">
      <c r="A313" s="36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2"/>
    </row>
    <row r="314" spans="1:26" x14ac:dyDescent="0.15">
      <c r="A314" s="36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2"/>
    </row>
    <row r="315" spans="1:26" x14ac:dyDescent="0.15">
      <c r="A315" s="36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2"/>
    </row>
    <row r="316" spans="1:26" x14ac:dyDescent="0.15">
      <c r="A316" s="36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2"/>
    </row>
    <row r="317" spans="1:26" x14ac:dyDescent="0.15">
      <c r="A317" s="36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2"/>
    </row>
    <row r="318" spans="1:26" x14ac:dyDescent="0.15">
      <c r="A318" s="36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2"/>
    </row>
    <row r="319" spans="1:26" x14ac:dyDescent="0.15">
      <c r="A319" s="36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2"/>
    </row>
    <row r="320" spans="1:26" x14ac:dyDescent="0.15">
      <c r="A320" s="36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2"/>
    </row>
    <row r="321" spans="1:26" x14ac:dyDescent="0.15">
      <c r="A321" s="36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2"/>
    </row>
    <row r="322" spans="1:26" x14ac:dyDescent="0.15">
      <c r="A322" s="36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2"/>
    </row>
    <row r="323" spans="1:26" x14ac:dyDescent="0.15">
      <c r="A323" s="36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2"/>
    </row>
    <row r="324" spans="1:26" x14ac:dyDescent="0.15">
      <c r="A324" s="36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2"/>
    </row>
    <row r="325" spans="1:26" x14ac:dyDescent="0.15">
      <c r="A325" s="36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2"/>
    </row>
    <row r="326" spans="1:26" x14ac:dyDescent="0.15">
      <c r="A326" s="36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2"/>
    </row>
    <row r="327" spans="1:26" x14ac:dyDescent="0.15">
      <c r="A327" s="36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2"/>
    </row>
    <row r="328" spans="1:26" x14ac:dyDescent="0.15">
      <c r="A328" s="36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2"/>
    </row>
    <row r="329" spans="1:26" x14ac:dyDescent="0.15">
      <c r="A329" s="36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2"/>
    </row>
    <row r="330" spans="1:26" x14ac:dyDescent="0.15">
      <c r="A330" s="36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2"/>
    </row>
    <row r="331" spans="1:26" x14ac:dyDescent="0.15">
      <c r="A331" s="36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2"/>
    </row>
    <row r="332" spans="1:26" x14ac:dyDescent="0.15">
      <c r="A332" s="36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2"/>
    </row>
    <row r="333" spans="1:26" x14ac:dyDescent="0.15">
      <c r="A333" s="36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2"/>
    </row>
    <row r="334" spans="1:26" x14ac:dyDescent="0.15">
      <c r="A334" s="36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2"/>
    </row>
    <row r="335" spans="1:26" x14ac:dyDescent="0.15">
      <c r="A335" s="36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2"/>
    </row>
    <row r="336" spans="1:26" x14ac:dyDescent="0.15">
      <c r="A336" s="36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2"/>
    </row>
    <row r="337" spans="1:26" x14ac:dyDescent="0.15">
      <c r="A337" s="36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2"/>
    </row>
    <row r="338" spans="1:26" x14ac:dyDescent="0.15">
      <c r="A338" s="36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2"/>
    </row>
    <row r="339" spans="1:26" x14ac:dyDescent="0.15">
      <c r="A339" s="36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2"/>
    </row>
    <row r="340" spans="1:26" x14ac:dyDescent="0.15">
      <c r="A340" s="36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2"/>
    </row>
    <row r="341" spans="1:26" x14ac:dyDescent="0.15">
      <c r="A341" s="36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2"/>
    </row>
    <row r="342" spans="1:26" x14ac:dyDescent="0.15">
      <c r="A342" s="36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2"/>
    </row>
    <row r="343" spans="1:26" x14ac:dyDescent="0.15">
      <c r="A343" s="36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2"/>
    </row>
    <row r="344" spans="1:26" x14ac:dyDescent="0.15">
      <c r="A344" s="36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2"/>
    </row>
    <row r="345" spans="1:26" x14ac:dyDescent="0.15">
      <c r="A345" s="36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2"/>
    </row>
    <row r="346" spans="1:26" x14ac:dyDescent="0.15">
      <c r="A346" s="36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2"/>
    </row>
    <row r="347" spans="1:26" x14ac:dyDescent="0.15">
      <c r="A347" s="36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2"/>
    </row>
    <row r="348" spans="1:26" x14ac:dyDescent="0.15">
      <c r="A348" s="36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2"/>
    </row>
    <row r="349" spans="1:26" x14ac:dyDescent="0.15">
      <c r="A349" s="36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2"/>
    </row>
    <row r="350" spans="1:26" x14ac:dyDescent="0.15">
      <c r="A350" s="36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2"/>
    </row>
    <row r="351" spans="1:26" x14ac:dyDescent="0.15">
      <c r="A351" s="36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2"/>
    </row>
    <row r="352" spans="1:26" x14ac:dyDescent="0.15">
      <c r="A352" s="36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2"/>
    </row>
    <row r="353" spans="1:26" x14ac:dyDescent="0.15">
      <c r="A353" s="36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2"/>
    </row>
    <row r="354" spans="1:26" x14ac:dyDescent="0.15">
      <c r="A354" s="36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2"/>
    </row>
    <row r="355" spans="1:26" x14ac:dyDescent="0.15">
      <c r="A355" s="36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2"/>
    </row>
    <row r="356" spans="1:26" x14ac:dyDescent="0.15">
      <c r="A356" s="36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2"/>
    </row>
    <row r="357" spans="1:26" x14ac:dyDescent="0.15">
      <c r="A357" s="36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2"/>
    </row>
    <row r="358" spans="1:26" x14ac:dyDescent="0.15">
      <c r="A358" s="36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2"/>
    </row>
    <row r="359" spans="1:26" x14ac:dyDescent="0.15">
      <c r="A359" s="36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2"/>
    </row>
    <row r="360" spans="1:26" x14ac:dyDescent="0.15">
      <c r="A360" s="36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2"/>
    </row>
    <row r="361" spans="1:26" x14ac:dyDescent="0.15">
      <c r="A361" s="36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2"/>
    </row>
    <row r="362" spans="1:26" x14ac:dyDescent="0.15">
      <c r="A362" s="36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2"/>
    </row>
    <row r="363" spans="1:26" x14ac:dyDescent="0.15">
      <c r="A363" s="36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2"/>
    </row>
    <row r="364" spans="1:26" x14ac:dyDescent="0.15">
      <c r="A364" s="36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2"/>
    </row>
    <row r="365" spans="1:26" x14ac:dyDescent="0.15">
      <c r="A365" s="36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2"/>
    </row>
    <row r="366" spans="1:26" x14ac:dyDescent="0.15">
      <c r="A366" s="36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2"/>
    </row>
    <row r="367" spans="1:26" x14ac:dyDescent="0.15">
      <c r="A367" s="36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2"/>
    </row>
    <row r="368" spans="1:26" x14ac:dyDescent="0.15">
      <c r="A368" s="36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2"/>
    </row>
    <row r="369" spans="1:26" x14ac:dyDescent="0.15">
      <c r="A369" s="36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2"/>
    </row>
    <row r="370" spans="1:26" x14ac:dyDescent="0.15">
      <c r="A370" s="36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2"/>
    </row>
    <row r="371" spans="1:26" x14ac:dyDescent="0.15">
      <c r="A371" s="36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2"/>
    </row>
    <row r="372" spans="1:26" x14ac:dyDescent="0.15">
      <c r="A372" s="36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2"/>
    </row>
    <row r="373" spans="1:26" x14ac:dyDescent="0.15">
      <c r="A373" s="36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2"/>
    </row>
    <row r="374" spans="1:26" x14ac:dyDescent="0.15">
      <c r="A374" s="36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2"/>
    </row>
    <row r="375" spans="1:26" x14ac:dyDescent="0.15">
      <c r="A375" s="36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2"/>
    </row>
    <row r="376" spans="1:26" x14ac:dyDescent="0.15">
      <c r="A376" s="36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2"/>
    </row>
    <row r="377" spans="1:26" x14ac:dyDescent="0.15">
      <c r="A377" s="36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2"/>
    </row>
    <row r="378" spans="1:26" x14ac:dyDescent="0.15">
      <c r="A378" s="36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2"/>
    </row>
    <row r="379" spans="1:26" x14ac:dyDescent="0.15">
      <c r="A379" s="36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2"/>
    </row>
    <row r="380" spans="1:26" x14ac:dyDescent="0.15">
      <c r="A380" s="36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2"/>
    </row>
    <row r="381" spans="1:26" x14ac:dyDescent="0.15">
      <c r="A381" s="36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2"/>
    </row>
    <row r="382" spans="1:26" x14ac:dyDescent="0.15">
      <c r="A382" s="36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2"/>
    </row>
    <row r="383" spans="1:26" x14ac:dyDescent="0.15">
      <c r="A383" s="36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2"/>
    </row>
    <row r="384" spans="1:26" x14ac:dyDescent="0.15">
      <c r="A384" s="36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2"/>
    </row>
    <row r="385" spans="1:26" x14ac:dyDescent="0.15">
      <c r="A385" s="36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2"/>
    </row>
    <row r="386" spans="1:26" x14ac:dyDescent="0.15">
      <c r="A386" s="36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2"/>
    </row>
    <row r="387" spans="1:26" x14ac:dyDescent="0.15">
      <c r="A387" s="36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2"/>
    </row>
    <row r="388" spans="1:26" x14ac:dyDescent="0.15">
      <c r="A388" s="36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2"/>
    </row>
    <row r="389" spans="1:26" x14ac:dyDescent="0.15">
      <c r="A389" s="36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2"/>
    </row>
    <row r="390" spans="1:26" x14ac:dyDescent="0.15">
      <c r="A390" s="36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2"/>
    </row>
    <row r="391" spans="1:26" x14ac:dyDescent="0.15">
      <c r="A391" s="36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2"/>
    </row>
    <row r="392" spans="1:26" x14ac:dyDescent="0.15">
      <c r="A392" s="36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2"/>
    </row>
    <row r="393" spans="1:26" x14ac:dyDescent="0.15">
      <c r="A393" s="36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2"/>
    </row>
    <row r="394" spans="1:26" x14ac:dyDescent="0.15">
      <c r="A394" s="36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2"/>
    </row>
    <row r="395" spans="1:26" x14ac:dyDescent="0.15">
      <c r="A395" s="36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2"/>
    </row>
    <row r="396" spans="1:26" x14ac:dyDescent="0.15">
      <c r="A396" s="36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2"/>
    </row>
    <row r="397" spans="1:26" x14ac:dyDescent="0.15">
      <c r="A397" s="36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2"/>
    </row>
    <row r="398" spans="1:26" x14ac:dyDescent="0.15">
      <c r="A398" s="36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2"/>
    </row>
    <row r="399" spans="1:26" x14ac:dyDescent="0.15">
      <c r="A399" s="36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2"/>
    </row>
    <row r="400" spans="1:26" x14ac:dyDescent="0.15">
      <c r="A400" s="36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2"/>
    </row>
    <row r="401" spans="1:26" x14ac:dyDescent="0.15">
      <c r="A401" s="36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2"/>
    </row>
    <row r="402" spans="1:26" x14ac:dyDescent="0.15">
      <c r="A402" s="36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2"/>
    </row>
    <row r="403" spans="1:26" x14ac:dyDescent="0.15">
      <c r="A403" s="36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2"/>
    </row>
    <row r="404" spans="1:26" x14ac:dyDescent="0.15">
      <c r="A404" s="36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2"/>
    </row>
    <row r="405" spans="1:26" x14ac:dyDescent="0.15">
      <c r="A405" s="36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2"/>
    </row>
    <row r="406" spans="1:26" x14ac:dyDescent="0.15">
      <c r="A406" s="36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2"/>
    </row>
    <row r="407" spans="1:26" x14ac:dyDescent="0.15">
      <c r="A407" s="36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2"/>
    </row>
    <row r="408" spans="1:26" x14ac:dyDescent="0.15">
      <c r="A408" s="36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2"/>
    </row>
    <row r="409" spans="1:26" x14ac:dyDescent="0.15">
      <c r="A409" s="36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2"/>
    </row>
    <row r="410" spans="1:26" x14ac:dyDescent="0.15">
      <c r="A410" s="36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2"/>
    </row>
    <row r="411" spans="1:26" x14ac:dyDescent="0.15">
      <c r="A411" s="36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2"/>
    </row>
    <row r="412" spans="1:26" x14ac:dyDescent="0.15">
      <c r="A412" s="36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2"/>
    </row>
    <row r="413" spans="1:26" x14ac:dyDescent="0.15">
      <c r="A413" s="36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2"/>
    </row>
    <row r="414" spans="1:26" x14ac:dyDescent="0.15">
      <c r="A414" s="36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2"/>
    </row>
    <row r="415" spans="1:26" x14ac:dyDescent="0.15">
      <c r="A415" s="36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2"/>
    </row>
    <row r="416" spans="1:26" x14ac:dyDescent="0.15">
      <c r="A416" s="36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2"/>
    </row>
    <row r="417" spans="1:26" x14ac:dyDescent="0.15">
      <c r="A417" s="36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2"/>
    </row>
    <row r="418" spans="1:26" x14ac:dyDescent="0.15">
      <c r="A418" s="36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2"/>
    </row>
    <row r="419" spans="1:26" x14ac:dyDescent="0.15">
      <c r="A419" s="36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2"/>
    </row>
    <row r="420" spans="1:26" x14ac:dyDescent="0.15">
      <c r="A420" s="36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2"/>
    </row>
    <row r="421" spans="1:26" x14ac:dyDescent="0.15">
      <c r="A421" s="36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2"/>
    </row>
    <row r="422" spans="1:26" x14ac:dyDescent="0.15">
      <c r="A422" s="36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2"/>
    </row>
    <row r="423" spans="1:26" x14ac:dyDescent="0.15">
      <c r="A423" s="36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2"/>
    </row>
    <row r="424" spans="1:26" x14ac:dyDescent="0.15">
      <c r="A424" s="36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2"/>
    </row>
    <row r="425" spans="1:26" x14ac:dyDescent="0.15">
      <c r="A425" s="36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2"/>
    </row>
    <row r="426" spans="1:26" x14ac:dyDescent="0.15">
      <c r="A426" s="36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2"/>
    </row>
    <row r="427" spans="1:26" x14ac:dyDescent="0.15">
      <c r="A427" s="36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2"/>
    </row>
    <row r="428" spans="1:26" x14ac:dyDescent="0.15">
      <c r="A428" s="36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2"/>
    </row>
    <row r="429" spans="1:26" x14ac:dyDescent="0.15">
      <c r="A429" s="36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2"/>
    </row>
    <row r="430" spans="1:26" x14ac:dyDescent="0.15">
      <c r="A430" s="36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2"/>
    </row>
    <row r="431" spans="1:26" x14ac:dyDescent="0.15">
      <c r="A431" s="36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2"/>
    </row>
    <row r="432" spans="1:26" x14ac:dyDescent="0.15">
      <c r="A432" s="36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2"/>
    </row>
    <row r="433" spans="1:26" x14ac:dyDescent="0.15">
      <c r="A433" s="36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2"/>
    </row>
    <row r="434" spans="1:26" x14ac:dyDescent="0.15">
      <c r="A434" s="36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2"/>
    </row>
    <row r="435" spans="1:26" x14ac:dyDescent="0.15">
      <c r="A435" s="36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2"/>
    </row>
    <row r="436" spans="1:26" x14ac:dyDescent="0.15">
      <c r="A436" s="36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2"/>
    </row>
    <row r="437" spans="1:26" x14ac:dyDescent="0.15">
      <c r="A437" s="36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2"/>
    </row>
    <row r="438" spans="1:26" x14ac:dyDescent="0.15">
      <c r="A438" s="36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2"/>
    </row>
    <row r="439" spans="1:26" x14ac:dyDescent="0.15">
      <c r="A439" s="36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2"/>
    </row>
    <row r="440" spans="1:26" x14ac:dyDescent="0.15">
      <c r="A440" s="36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2"/>
    </row>
    <row r="441" spans="1:26" x14ac:dyDescent="0.15">
      <c r="A441" s="36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2"/>
    </row>
    <row r="442" spans="1:26" x14ac:dyDescent="0.15">
      <c r="A442" s="36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2"/>
    </row>
    <row r="443" spans="1:26" x14ac:dyDescent="0.15">
      <c r="A443" s="36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2"/>
    </row>
    <row r="444" spans="1:26" x14ac:dyDescent="0.15">
      <c r="A444" s="36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2"/>
    </row>
    <row r="445" spans="1:26" x14ac:dyDescent="0.15">
      <c r="A445" s="36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2"/>
    </row>
    <row r="446" spans="1:26" x14ac:dyDescent="0.15">
      <c r="A446" s="36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2"/>
    </row>
    <row r="447" spans="1:26" x14ac:dyDescent="0.15">
      <c r="A447" s="36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2"/>
    </row>
    <row r="448" spans="1:26" x14ac:dyDescent="0.15">
      <c r="A448" s="36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2"/>
    </row>
    <row r="449" spans="1:26" x14ac:dyDescent="0.15">
      <c r="A449" s="36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2"/>
    </row>
    <row r="450" spans="1:26" x14ac:dyDescent="0.15">
      <c r="A450" s="36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2"/>
    </row>
    <row r="451" spans="1:26" x14ac:dyDescent="0.15">
      <c r="A451" s="36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2"/>
    </row>
    <row r="452" spans="1:26" x14ac:dyDescent="0.15">
      <c r="A452" s="36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2"/>
    </row>
    <row r="453" spans="1:26" x14ac:dyDescent="0.15">
      <c r="A453" s="36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2"/>
    </row>
    <row r="454" spans="1:26" x14ac:dyDescent="0.15">
      <c r="A454" s="36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2"/>
    </row>
    <row r="455" spans="1:26" x14ac:dyDescent="0.15">
      <c r="A455" s="36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2"/>
    </row>
    <row r="456" spans="1:26" x14ac:dyDescent="0.15">
      <c r="A456" s="36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2"/>
    </row>
    <row r="457" spans="1:26" x14ac:dyDescent="0.15">
      <c r="A457" s="36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2"/>
    </row>
    <row r="458" spans="1:26" x14ac:dyDescent="0.15">
      <c r="A458" s="36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2"/>
    </row>
    <row r="459" spans="1:26" x14ac:dyDescent="0.15">
      <c r="A459" s="36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2"/>
    </row>
    <row r="460" spans="1:26" x14ac:dyDescent="0.15">
      <c r="A460" s="36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2"/>
    </row>
    <row r="461" spans="1:26" x14ac:dyDescent="0.15">
      <c r="A461" s="36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2"/>
    </row>
    <row r="462" spans="1:26" x14ac:dyDescent="0.15">
      <c r="A462" s="36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2"/>
    </row>
    <row r="463" spans="1:26" x14ac:dyDescent="0.15">
      <c r="A463" s="36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2"/>
    </row>
    <row r="464" spans="1:26" x14ac:dyDescent="0.15">
      <c r="A464" s="36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2"/>
    </row>
    <row r="465" spans="1:26" x14ac:dyDescent="0.15">
      <c r="A465" s="36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2"/>
    </row>
    <row r="466" spans="1:26" x14ac:dyDescent="0.15">
      <c r="A466" s="36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2"/>
    </row>
    <row r="467" spans="1:26" x14ac:dyDescent="0.15">
      <c r="A467" s="36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2"/>
    </row>
    <row r="468" spans="1:26" x14ac:dyDescent="0.15">
      <c r="A468" s="36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2"/>
    </row>
    <row r="469" spans="1:26" x14ac:dyDescent="0.15">
      <c r="A469" s="36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2"/>
    </row>
    <row r="470" spans="1:26" x14ac:dyDescent="0.15">
      <c r="A470" s="36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2"/>
    </row>
    <row r="471" spans="1:26" x14ac:dyDescent="0.15">
      <c r="A471" s="36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2"/>
    </row>
    <row r="472" spans="1:26" x14ac:dyDescent="0.15">
      <c r="A472" s="36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2"/>
    </row>
    <row r="473" spans="1:26" x14ac:dyDescent="0.15">
      <c r="A473" s="36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2"/>
    </row>
    <row r="474" spans="1:26" x14ac:dyDescent="0.15">
      <c r="A474" s="36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2"/>
    </row>
    <row r="475" spans="1:26" x14ac:dyDescent="0.15">
      <c r="A475" s="36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2"/>
    </row>
    <row r="476" spans="1:26" x14ac:dyDescent="0.15">
      <c r="A476" s="36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2"/>
    </row>
    <row r="477" spans="1:26" x14ac:dyDescent="0.15">
      <c r="A477" s="36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2"/>
    </row>
    <row r="478" spans="1:26" x14ac:dyDescent="0.15">
      <c r="A478" s="36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2"/>
    </row>
    <row r="479" spans="1:26" x14ac:dyDescent="0.15">
      <c r="A479" s="36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2"/>
    </row>
    <row r="480" spans="1:26" x14ac:dyDescent="0.15">
      <c r="A480" s="36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2"/>
    </row>
    <row r="481" spans="1:26" x14ac:dyDescent="0.15">
      <c r="A481" s="36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2"/>
    </row>
    <row r="482" spans="1:26" x14ac:dyDescent="0.15">
      <c r="A482" s="36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2"/>
    </row>
    <row r="483" spans="1:26" x14ac:dyDescent="0.15">
      <c r="A483" s="36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2"/>
    </row>
    <row r="484" spans="1:26" x14ac:dyDescent="0.15">
      <c r="A484" s="36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2"/>
    </row>
    <row r="485" spans="1:26" x14ac:dyDescent="0.15">
      <c r="A485" s="36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2"/>
    </row>
    <row r="486" spans="1:26" x14ac:dyDescent="0.15">
      <c r="A486" s="36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2"/>
    </row>
    <row r="487" spans="1:26" x14ac:dyDescent="0.15">
      <c r="A487" s="36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2"/>
    </row>
    <row r="488" spans="1:26" x14ac:dyDescent="0.15">
      <c r="A488" s="36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2"/>
    </row>
    <row r="489" spans="1:26" x14ac:dyDescent="0.15">
      <c r="A489" s="36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2"/>
    </row>
    <row r="490" spans="1:26" x14ac:dyDescent="0.15">
      <c r="A490" s="36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2"/>
    </row>
    <row r="491" spans="1:26" x14ac:dyDescent="0.15">
      <c r="A491" s="36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2"/>
    </row>
    <row r="492" spans="1:26" x14ac:dyDescent="0.15">
      <c r="A492" s="36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2"/>
    </row>
    <row r="493" spans="1:26" x14ac:dyDescent="0.15">
      <c r="A493" s="36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2"/>
    </row>
    <row r="494" spans="1:26" x14ac:dyDescent="0.15">
      <c r="A494" s="36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2"/>
    </row>
    <row r="495" spans="1:26" x14ac:dyDescent="0.15">
      <c r="A495" s="36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2"/>
    </row>
    <row r="496" spans="1:26" x14ac:dyDescent="0.15">
      <c r="A496" s="36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2"/>
    </row>
    <row r="497" spans="1:26" x14ac:dyDescent="0.15">
      <c r="A497" s="36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2"/>
    </row>
    <row r="498" spans="1:26" x14ac:dyDescent="0.15">
      <c r="A498" s="36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2"/>
    </row>
    <row r="499" spans="1:26" x14ac:dyDescent="0.15">
      <c r="A499" s="36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2"/>
    </row>
    <row r="500" spans="1:26" x14ac:dyDescent="0.15">
      <c r="A500" s="36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2"/>
    </row>
    <row r="501" spans="1:26" x14ac:dyDescent="0.15">
      <c r="A501" s="36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2"/>
    </row>
    <row r="502" spans="1:26" x14ac:dyDescent="0.15">
      <c r="A502" s="36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2"/>
    </row>
    <row r="503" spans="1:26" x14ac:dyDescent="0.15">
      <c r="A503" s="36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2"/>
    </row>
    <row r="504" spans="1:26" x14ac:dyDescent="0.15">
      <c r="A504" s="36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2"/>
    </row>
    <row r="505" spans="1:26" x14ac:dyDescent="0.15">
      <c r="A505" s="36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2"/>
    </row>
    <row r="506" spans="1:26" x14ac:dyDescent="0.15">
      <c r="A506" s="36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2"/>
    </row>
    <row r="507" spans="1:26" x14ac:dyDescent="0.15">
      <c r="A507" s="36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2"/>
    </row>
    <row r="508" spans="1:26" x14ac:dyDescent="0.15">
      <c r="A508" s="36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2"/>
    </row>
    <row r="509" spans="1:26" x14ac:dyDescent="0.15">
      <c r="A509" s="36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2"/>
    </row>
    <row r="510" spans="1:26" x14ac:dyDescent="0.15">
      <c r="A510" s="36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2"/>
    </row>
    <row r="511" spans="1:26" x14ac:dyDescent="0.15">
      <c r="A511" s="36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2"/>
    </row>
    <row r="512" spans="1:26" x14ac:dyDescent="0.15">
      <c r="A512" s="36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2"/>
    </row>
    <row r="513" spans="1:26" x14ac:dyDescent="0.15">
      <c r="A513" s="36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2"/>
    </row>
    <row r="514" spans="1:26" x14ac:dyDescent="0.15">
      <c r="A514" s="36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2"/>
    </row>
    <row r="515" spans="1:26" x14ac:dyDescent="0.15">
      <c r="A515" s="36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2"/>
    </row>
    <row r="516" spans="1:26" x14ac:dyDescent="0.15">
      <c r="A516" s="36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2"/>
    </row>
    <row r="517" spans="1:26" x14ac:dyDescent="0.15">
      <c r="A517" s="36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2"/>
    </row>
    <row r="518" spans="1:26" x14ac:dyDescent="0.15">
      <c r="A518" s="36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2"/>
    </row>
    <row r="519" spans="1:26" x14ac:dyDescent="0.15">
      <c r="A519" s="36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2"/>
    </row>
    <row r="520" spans="1:26" x14ac:dyDescent="0.15">
      <c r="A520" s="36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2"/>
    </row>
    <row r="521" spans="1:26" x14ac:dyDescent="0.15">
      <c r="A521" s="36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2"/>
    </row>
    <row r="522" spans="1:26" x14ac:dyDescent="0.15">
      <c r="A522" s="36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2"/>
    </row>
    <row r="523" spans="1:26" x14ac:dyDescent="0.15">
      <c r="A523" s="36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2"/>
    </row>
    <row r="524" spans="1:26" x14ac:dyDescent="0.15">
      <c r="A524" s="36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2"/>
    </row>
    <row r="525" spans="1:26" x14ac:dyDescent="0.15">
      <c r="A525" s="36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2"/>
    </row>
    <row r="526" spans="1:26" x14ac:dyDescent="0.15">
      <c r="A526" s="36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2"/>
    </row>
    <row r="527" spans="1:26" x14ac:dyDescent="0.15">
      <c r="A527" s="36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2"/>
    </row>
    <row r="528" spans="1:26" x14ac:dyDescent="0.15">
      <c r="A528" s="36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2"/>
    </row>
    <row r="529" spans="1:26" x14ac:dyDescent="0.15">
      <c r="A529" s="36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2"/>
    </row>
    <row r="530" spans="1:26" x14ac:dyDescent="0.15">
      <c r="A530" s="36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2"/>
    </row>
    <row r="531" spans="1:26" x14ac:dyDescent="0.15">
      <c r="A531" s="36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2"/>
    </row>
    <row r="532" spans="1:26" x14ac:dyDescent="0.15">
      <c r="A532" s="36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2"/>
    </row>
    <row r="533" spans="1:26" x14ac:dyDescent="0.15">
      <c r="A533" s="36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2"/>
    </row>
    <row r="534" spans="1:26" x14ac:dyDescent="0.15">
      <c r="A534" s="36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2"/>
    </row>
    <row r="535" spans="1:26" x14ac:dyDescent="0.15">
      <c r="A535" s="36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2"/>
    </row>
    <row r="536" spans="1:26" x14ac:dyDescent="0.15">
      <c r="A536" s="36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2"/>
    </row>
    <row r="537" spans="1:26" x14ac:dyDescent="0.15">
      <c r="A537" s="36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2"/>
    </row>
    <row r="538" spans="1:26" x14ac:dyDescent="0.15">
      <c r="A538" s="36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2"/>
    </row>
    <row r="539" spans="1:26" x14ac:dyDescent="0.15">
      <c r="A539" s="36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2"/>
    </row>
    <row r="540" spans="1:26" x14ac:dyDescent="0.15">
      <c r="A540" s="36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2"/>
    </row>
    <row r="541" spans="1:26" x14ac:dyDescent="0.15">
      <c r="A541" s="36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2"/>
    </row>
    <row r="542" spans="1:26" x14ac:dyDescent="0.15">
      <c r="A542" s="36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2"/>
    </row>
    <row r="543" spans="1:26" x14ac:dyDescent="0.15">
      <c r="A543" s="36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2"/>
    </row>
    <row r="544" spans="1:26" x14ac:dyDescent="0.15">
      <c r="A544" s="36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2"/>
    </row>
    <row r="545" spans="1:26" x14ac:dyDescent="0.15">
      <c r="A545" s="36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2"/>
    </row>
    <row r="546" spans="1:26" x14ac:dyDescent="0.15">
      <c r="A546" s="36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2"/>
    </row>
    <row r="547" spans="1:26" x14ac:dyDescent="0.15">
      <c r="A547" s="36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2"/>
    </row>
    <row r="548" spans="1:26" x14ac:dyDescent="0.15">
      <c r="A548" s="36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2"/>
    </row>
    <row r="549" spans="1:26" x14ac:dyDescent="0.15">
      <c r="A549" s="36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2"/>
    </row>
    <row r="550" spans="1:26" x14ac:dyDescent="0.15">
      <c r="A550" s="36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2"/>
    </row>
    <row r="551" spans="1:26" x14ac:dyDescent="0.15">
      <c r="A551" s="36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2"/>
    </row>
    <row r="552" spans="1:26" x14ac:dyDescent="0.15">
      <c r="A552" s="36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2"/>
    </row>
    <row r="553" spans="1:26" x14ac:dyDescent="0.15">
      <c r="A553" s="36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2"/>
    </row>
    <row r="554" spans="1:26" x14ac:dyDescent="0.15">
      <c r="A554" s="36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2"/>
    </row>
    <row r="555" spans="1:26" x14ac:dyDescent="0.15">
      <c r="A555" s="36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2"/>
    </row>
    <row r="556" spans="1:26" x14ac:dyDescent="0.15">
      <c r="A556" s="36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2"/>
    </row>
    <row r="557" spans="1:26" x14ac:dyDescent="0.15">
      <c r="A557" s="36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2"/>
    </row>
    <row r="558" spans="1:26" x14ac:dyDescent="0.15">
      <c r="A558" s="36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2"/>
    </row>
    <row r="559" spans="1:26" x14ac:dyDescent="0.15">
      <c r="A559" s="36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2"/>
    </row>
    <row r="560" spans="1:26" x14ac:dyDescent="0.15">
      <c r="A560" s="36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2"/>
    </row>
    <row r="561" spans="1:26" x14ac:dyDescent="0.15">
      <c r="A561" s="36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2"/>
    </row>
    <row r="562" spans="1:26" x14ac:dyDescent="0.15">
      <c r="A562" s="36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2"/>
    </row>
    <row r="563" spans="1:26" x14ac:dyDescent="0.15">
      <c r="A563" s="36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2"/>
    </row>
    <row r="564" spans="1:26" x14ac:dyDescent="0.15">
      <c r="A564" s="36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2"/>
    </row>
    <row r="565" spans="1:26" x14ac:dyDescent="0.15">
      <c r="A565" s="36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2"/>
    </row>
    <row r="566" spans="1:26" x14ac:dyDescent="0.15">
      <c r="A566" s="36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2"/>
    </row>
    <row r="567" spans="1:26" x14ac:dyDescent="0.15">
      <c r="A567" s="36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2"/>
    </row>
    <row r="568" spans="1:26" x14ac:dyDescent="0.15">
      <c r="A568" s="36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2"/>
    </row>
    <row r="569" spans="1:26" x14ac:dyDescent="0.15">
      <c r="A569" s="36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2"/>
    </row>
    <row r="570" spans="1:26" x14ac:dyDescent="0.15">
      <c r="A570" s="36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2"/>
    </row>
    <row r="571" spans="1:26" x14ac:dyDescent="0.15">
      <c r="A571" s="36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2"/>
    </row>
    <row r="572" spans="1:26" x14ac:dyDescent="0.15">
      <c r="A572" s="36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2"/>
    </row>
    <row r="573" spans="1:26" x14ac:dyDescent="0.15">
      <c r="A573" s="36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2"/>
    </row>
    <row r="574" spans="1:26" x14ac:dyDescent="0.15">
      <c r="A574" s="36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2"/>
    </row>
    <row r="575" spans="1:26" x14ac:dyDescent="0.15">
      <c r="A575" s="36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2"/>
    </row>
    <row r="576" spans="1:26" x14ac:dyDescent="0.15">
      <c r="A576" s="36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2"/>
    </row>
    <row r="577" spans="1:26" x14ac:dyDescent="0.15">
      <c r="A577" s="36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2"/>
    </row>
    <row r="578" spans="1:26" x14ac:dyDescent="0.15">
      <c r="A578" s="36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2"/>
    </row>
    <row r="579" spans="1:26" x14ac:dyDescent="0.15">
      <c r="A579" s="36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2"/>
    </row>
    <row r="580" spans="1:26" x14ac:dyDescent="0.15">
      <c r="A580" s="36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2"/>
    </row>
    <row r="581" spans="1:26" x14ac:dyDescent="0.15">
      <c r="A581" s="36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2"/>
    </row>
    <row r="582" spans="1:26" x14ac:dyDescent="0.15">
      <c r="A582" s="36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2"/>
    </row>
    <row r="583" spans="1:26" x14ac:dyDescent="0.15">
      <c r="A583" s="36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2"/>
    </row>
    <row r="584" spans="1:26" x14ac:dyDescent="0.15">
      <c r="A584" s="36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2"/>
    </row>
    <row r="585" spans="1:26" x14ac:dyDescent="0.15">
      <c r="A585" s="36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2"/>
    </row>
    <row r="586" spans="1:26" x14ac:dyDescent="0.15">
      <c r="A586" s="36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2"/>
    </row>
    <row r="587" spans="1:26" x14ac:dyDescent="0.15">
      <c r="A587" s="36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2"/>
    </row>
    <row r="588" spans="1:26" x14ac:dyDescent="0.15">
      <c r="A588" s="36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2"/>
    </row>
    <row r="589" spans="1:26" x14ac:dyDescent="0.15">
      <c r="A589" s="36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2"/>
    </row>
    <row r="590" spans="1:26" x14ac:dyDescent="0.15">
      <c r="A590" s="36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2"/>
    </row>
    <row r="591" spans="1:26" x14ac:dyDescent="0.15">
      <c r="A591" s="36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2"/>
    </row>
    <row r="592" spans="1:26" x14ac:dyDescent="0.15">
      <c r="A592" s="36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2"/>
    </row>
    <row r="593" spans="1:26" x14ac:dyDescent="0.15">
      <c r="A593" s="36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2"/>
    </row>
    <row r="594" spans="1:26" x14ac:dyDescent="0.15">
      <c r="A594" s="36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2"/>
    </row>
    <row r="595" spans="1:26" x14ac:dyDescent="0.15">
      <c r="A595" s="36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2"/>
    </row>
    <row r="596" spans="1:26" x14ac:dyDescent="0.15">
      <c r="A596" s="36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2"/>
    </row>
    <row r="597" spans="1:26" x14ac:dyDescent="0.15">
      <c r="A597" s="36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2"/>
    </row>
    <row r="598" spans="1:26" x14ac:dyDescent="0.15">
      <c r="A598" s="36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2"/>
    </row>
    <row r="599" spans="1:26" x14ac:dyDescent="0.15">
      <c r="A599" s="36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2"/>
    </row>
    <row r="600" spans="1:26" x14ac:dyDescent="0.15">
      <c r="A600" s="36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2"/>
    </row>
    <row r="601" spans="1:26" x14ac:dyDescent="0.15">
      <c r="A601" s="36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2"/>
    </row>
    <row r="602" spans="1:26" x14ac:dyDescent="0.15">
      <c r="A602" s="36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2"/>
    </row>
    <row r="603" spans="1:26" x14ac:dyDescent="0.15">
      <c r="A603" s="36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2"/>
    </row>
    <row r="604" spans="1:26" x14ac:dyDescent="0.15">
      <c r="A604" s="36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2"/>
    </row>
    <row r="605" spans="1:26" x14ac:dyDescent="0.15">
      <c r="A605" s="36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2"/>
    </row>
    <row r="606" spans="1:26" x14ac:dyDescent="0.15">
      <c r="A606" s="36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2"/>
    </row>
    <row r="607" spans="1:26" x14ac:dyDescent="0.15">
      <c r="A607" s="36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2"/>
    </row>
    <row r="608" spans="1:26" x14ac:dyDescent="0.15">
      <c r="A608" s="36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2"/>
    </row>
    <row r="609" spans="1:26" x14ac:dyDescent="0.15">
      <c r="A609" s="36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2"/>
    </row>
    <row r="610" spans="1:26" x14ac:dyDescent="0.15">
      <c r="A610" s="36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2"/>
    </row>
    <row r="611" spans="1:26" x14ac:dyDescent="0.15">
      <c r="A611" s="36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2"/>
    </row>
    <row r="612" spans="1:26" x14ac:dyDescent="0.15">
      <c r="A612" s="36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2"/>
    </row>
    <row r="613" spans="1:26" x14ac:dyDescent="0.15">
      <c r="A613" s="36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2"/>
    </row>
    <row r="614" spans="1:26" x14ac:dyDescent="0.15">
      <c r="A614" s="36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2"/>
    </row>
    <row r="615" spans="1:26" x14ac:dyDescent="0.15">
      <c r="A615" s="36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2"/>
    </row>
    <row r="616" spans="1:26" x14ac:dyDescent="0.15">
      <c r="A616" s="36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2"/>
    </row>
    <row r="617" spans="1:26" x14ac:dyDescent="0.15">
      <c r="A617" s="36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2"/>
    </row>
    <row r="618" spans="1:26" x14ac:dyDescent="0.15">
      <c r="A618" s="36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2"/>
    </row>
    <row r="619" spans="1:26" x14ac:dyDescent="0.15">
      <c r="A619" s="36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2"/>
    </row>
    <row r="620" spans="1:26" x14ac:dyDescent="0.15">
      <c r="A620" s="36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2"/>
    </row>
    <row r="621" spans="1:26" x14ac:dyDescent="0.15">
      <c r="A621" s="36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2"/>
    </row>
    <row r="622" spans="1:26" x14ac:dyDescent="0.15">
      <c r="A622" s="36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2"/>
    </row>
    <row r="623" spans="1:26" x14ac:dyDescent="0.15">
      <c r="A623" s="36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2"/>
    </row>
    <row r="624" spans="1:26" x14ac:dyDescent="0.15">
      <c r="A624" s="36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2"/>
    </row>
    <row r="625" spans="1:26" x14ac:dyDescent="0.15">
      <c r="A625" s="36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2"/>
    </row>
    <row r="626" spans="1:26" x14ac:dyDescent="0.15">
      <c r="A626" s="36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2"/>
    </row>
    <row r="627" spans="1:26" x14ac:dyDescent="0.15">
      <c r="A627" s="36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2"/>
    </row>
    <row r="628" spans="1:26" x14ac:dyDescent="0.15">
      <c r="A628" s="36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2"/>
    </row>
    <row r="629" spans="1:26" x14ac:dyDescent="0.15">
      <c r="A629" s="36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2"/>
    </row>
    <row r="630" spans="1:26" x14ac:dyDescent="0.15">
      <c r="A630" s="36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2"/>
    </row>
    <row r="631" spans="1:26" x14ac:dyDescent="0.15">
      <c r="A631" s="36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2"/>
    </row>
    <row r="632" spans="1:26" x14ac:dyDescent="0.15">
      <c r="A632" s="36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2"/>
    </row>
    <row r="633" spans="1:26" x14ac:dyDescent="0.15">
      <c r="A633" s="36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2"/>
    </row>
    <row r="634" spans="1:26" x14ac:dyDescent="0.15">
      <c r="A634" s="36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2"/>
    </row>
    <row r="635" spans="1:26" x14ac:dyDescent="0.15">
      <c r="A635" s="36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2"/>
    </row>
    <row r="636" spans="1:26" x14ac:dyDescent="0.15">
      <c r="A636" s="36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2"/>
    </row>
    <row r="637" spans="1:26" x14ac:dyDescent="0.15">
      <c r="A637" s="36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2"/>
    </row>
    <row r="638" spans="1:26" x14ac:dyDescent="0.15">
      <c r="A638" s="36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2"/>
    </row>
    <row r="639" spans="1:26" x14ac:dyDescent="0.15">
      <c r="A639" s="36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2"/>
    </row>
    <row r="640" spans="1:26" x14ac:dyDescent="0.15">
      <c r="A640" s="36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2"/>
    </row>
    <row r="641" spans="1:26" x14ac:dyDescent="0.15">
      <c r="A641" s="36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2"/>
    </row>
    <row r="642" spans="1:26" x14ac:dyDescent="0.15">
      <c r="A642" s="36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2"/>
    </row>
    <row r="643" spans="1:26" x14ac:dyDescent="0.15">
      <c r="A643" s="36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2"/>
    </row>
    <row r="644" spans="1:26" x14ac:dyDescent="0.15">
      <c r="A644" s="36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2"/>
    </row>
    <row r="645" spans="1:26" x14ac:dyDescent="0.15">
      <c r="A645" s="36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2"/>
    </row>
    <row r="646" spans="1:26" x14ac:dyDescent="0.15">
      <c r="A646" s="36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2"/>
    </row>
    <row r="647" spans="1:26" x14ac:dyDescent="0.15">
      <c r="A647" s="36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2"/>
    </row>
    <row r="648" spans="1:26" x14ac:dyDescent="0.15">
      <c r="A648" s="36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2"/>
    </row>
    <row r="649" spans="1:26" x14ac:dyDescent="0.15">
      <c r="A649" s="36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2"/>
    </row>
    <row r="650" spans="1:26" x14ac:dyDescent="0.15">
      <c r="A650" s="36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2"/>
    </row>
    <row r="651" spans="1:26" x14ac:dyDescent="0.15">
      <c r="A651" s="36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2"/>
    </row>
    <row r="652" spans="1:26" x14ac:dyDescent="0.15">
      <c r="A652" s="36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2"/>
    </row>
    <row r="653" spans="1:26" x14ac:dyDescent="0.15">
      <c r="A653" s="36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2"/>
    </row>
    <row r="654" spans="1:26" x14ac:dyDescent="0.15">
      <c r="A654" s="36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2"/>
    </row>
    <row r="655" spans="1:26" x14ac:dyDescent="0.15">
      <c r="A655" s="36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2"/>
    </row>
    <row r="656" spans="1:26" x14ac:dyDescent="0.15">
      <c r="A656" s="36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2"/>
    </row>
    <row r="657" spans="1:26" x14ac:dyDescent="0.15">
      <c r="A657" s="36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2"/>
    </row>
    <row r="658" spans="1:26" x14ac:dyDescent="0.15">
      <c r="A658" s="36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2"/>
    </row>
    <row r="659" spans="1:26" x14ac:dyDescent="0.15">
      <c r="A659" s="36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2"/>
    </row>
    <row r="660" spans="1:26" x14ac:dyDescent="0.15">
      <c r="A660" s="36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2"/>
    </row>
    <row r="661" spans="1:26" x14ac:dyDescent="0.15">
      <c r="A661" s="36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2"/>
    </row>
    <row r="662" spans="1:26" x14ac:dyDescent="0.15">
      <c r="A662" s="36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2"/>
    </row>
    <row r="663" spans="1:26" x14ac:dyDescent="0.15">
      <c r="A663" s="36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2"/>
    </row>
    <row r="664" spans="1:26" x14ac:dyDescent="0.15">
      <c r="A664" s="36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2"/>
    </row>
    <row r="665" spans="1:26" x14ac:dyDescent="0.15">
      <c r="A665" s="36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2"/>
    </row>
    <row r="666" spans="1:26" x14ac:dyDescent="0.15">
      <c r="A666" s="36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2"/>
    </row>
    <row r="667" spans="1:26" x14ac:dyDescent="0.15">
      <c r="A667" s="36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2"/>
    </row>
    <row r="668" spans="1:26" x14ac:dyDescent="0.15">
      <c r="A668" s="36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2"/>
    </row>
    <row r="669" spans="1:26" x14ac:dyDescent="0.15">
      <c r="A669" s="36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2"/>
    </row>
    <row r="670" spans="1:26" x14ac:dyDescent="0.15">
      <c r="A670" s="36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2"/>
    </row>
    <row r="671" spans="1:26" x14ac:dyDescent="0.15">
      <c r="A671" s="36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2"/>
    </row>
    <row r="672" spans="1:26" x14ac:dyDescent="0.15">
      <c r="A672" s="36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2"/>
    </row>
    <row r="673" spans="1:26" x14ac:dyDescent="0.15">
      <c r="A673" s="36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2"/>
    </row>
    <row r="674" spans="1:26" x14ac:dyDescent="0.15">
      <c r="A674" s="36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2"/>
    </row>
    <row r="675" spans="1:26" x14ac:dyDescent="0.15">
      <c r="A675" s="36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2"/>
    </row>
    <row r="676" spans="1:26" x14ac:dyDescent="0.15">
      <c r="A676" s="36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2"/>
    </row>
    <row r="677" spans="1:26" x14ac:dyDescent="0.15">
      <c r="A677" s="36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2"/>
    </row>
    <row r="678" spans="1:26" x14ac:dyDescent="0.15">
      <c r="A678" s="36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2"/>
    </row>
    <row r="679" spans="1:26" x14ac:dyDescent="0.15">
      <c r="A679" s="36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2"/>
    </row>
    <row r="680" spans="1:26" x14ac:dyDescent="0.15">
      <c r="A680" s="36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2"/>
    </row>
    <row r="681" spans="1:26" x14ac:dyDescent="0.15">
      <c r="A681" s="36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2"/>
    </row>
    <row r="682" spans="1:26" x14ac:dyDescent="0.15">
      <c r="A682" s="36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2"/>
    </row>
    <row r="683" spans="1:26" x14ac:dyDescent="0.15">
      <c r="A683" s="36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2"/>
    </row>
    <row r="684" spans="1:26" x14ac:dyDescent="0.15">
      <c r="A684" s="36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2"/>
    </row>
    <row r="685" spans="1:26" x14ac:dyDescent="0.15">
      <c r="A685" s="36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2"/>
    </row>
    <row r="686" spans="1:26" x14ac:dyDescent="0.15">
      <c r="A686" s="36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2"/>
    </row>
    <row r="687" spans="1:26" x14ac:dyDescent="0.15">
      <c r="A687" s="36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2"/>
    </row>
    <row r="688" spans="1:26" x14ac:dyDescent="0.15">
      <c r="A688" s="36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2"/>
    </row>
    <row r="689" spans="1:26" x14ac:dyDescent="0.15">
      <c r="A689" s="36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2"/>
    </row>
    <row r="690" spans="1:26" x14ac:dyDescent="0.15">
      <c r="A690" s="36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2"/>
    </row>
    <row r="691" spans="1:26" x14ac:dyDescent="0.15">
      <c r="A691" s="36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2"/>
    </row>
    <row r="692" spans="1:26" x14ac:dyDescent="0.15">
      <c r="A692" s="36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2"/>
    </row>
    <row r="693" spans="1:26" x14ac:dyDescent="0.15">
      <c r="A693" s="36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2"/>
    </row>
    <row r="694" spans="1:26" x14ac:dyDescent="0.15">
      <c r="A694" s="36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2"/>
    </row>
    <row r="695" spans="1:26" x14ac:dyDescent="0.15">
      <c r="A695" s="36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2"/>
    </row>
    <row r="696" spans="1:26" x14ac:dyDescent="0.15">
      <c r="A696" s="36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2"/>
    </row>
    <row r="697" spans="1:26" x14ac:dyDescent="0.15">
      <c r="A697" s="36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2"/>
    </row>
    <row r="698" spans="1:26" x14ac:dyDescent="0.15">
      <c r="A698" s="36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2"/>
    </row>
    <row r="699" spans="1:26" x14ac:dyDescent="0.15">
      <c r="A699" s="36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2"/>
    </row>
    <row r="700" spans="1:26" x14ac:dyDescent="0.15">
      <c r="A700" s="36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2"/>
    </row>
    <row r="701" spans="1:26" x14ac:dyDescent="0.15">
      <c r="A701" s="36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2"/>
    </row>
    <row r="702" spans="1:26" x14ac:dyDescent="0.15">
      <c r="A702" s="36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2"/>
    </row>
    <row r="703" spans="1:26" x14ac:dyDescent="0.15">
      <c r="A703" s="36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2"/>
    </row>
    <row r="704" spans="1:26" x14ac:dyDescent="0.15">
      <c r="A704" s="36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2"/>
    </row>
    <row r="705" spans="1:26" x14ac:dyDescent="0.15">
      <c r="A705" s="36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2"/>
    </row>
    <row r="706" spans="1:26" x14ac:dyDescent="0.15">
      <c r="A706" s="36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2"/>
    </row>
    <row r="707" spans="1:26" x14ac:dyDescent="0.15">
      <c r="A707" s="36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2"/>
    </row>
    <row r="708" spans="1:26" x14ac:dyDescent="0.15">
      <c r="A708" s="36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2"/>
    </row>
    <row r="709" spans="1:26" x14ac:dyDescent="0.15">
      <c r="A709" s="36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2"/>
    </row>
    <row r="710" spans="1:26" x14ac:dyDescent="0.15">
      <c r="A710" s="36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2"/>
    </row>
    <row r="711" spans="1:26" x14ac:dyDescent="0.15">
      <c r="A711" s="36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2"/>
    </row>
    <row r="712" spans="1:26" x14ac:dyDescent="0.15">
      <c r="A712" s="36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2"/>
    </row>
    <row r="713" spans="1:26" x14ac:dyDescent="0.15">
      <c r="A713" s="36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2"/>
    </row>
    <row r="714" spans="1:26" x14ac:dyDescent="0.15">
      <c r="A714" s="36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2"/>
    </row>
    <row r="715" spans="1:26" x14ac:dyDescent="0.15">
      <c r="A715" s="36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2"/>
    </row>
    <row r="716" spans="1:26" x14ac:dyDescent="0.15">
      <c r="A716" s="36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2"/>
    </row>
    <row r="717" spans="1:26" x14ac:dyDescent="0.15">
      <c r="A717" s="36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2"/>
    </row>
    <row r="718" spans="1:26" x14ac:dyDescent="0.15">
      <c r="A718" s="36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2"/>
    </row>
    <row r="719" spans="1:26" x14ac:dyDescent="0.15">
      <c r="A719" s="36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2"/>
    </row>
    <row r="720" spans="1:26" x14ac:dyDescent="0.15">
      <c r="A720" s="36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2"/>
    </row>
    <row r="721" spans="1:26" x14ac:dyDescent="0.15">
      <c r="A721" s="36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2"/>
    </row>
    <row r="722" spans="1:26" x14ac:dyDescent="0.15">
      <c r="A722" s="36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2"/>
    </row>
    <row r="723" spans="1:26" x14ac:dyDescent="0.15">
      <c r="A723" s="36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2"/>
    </row>
    <row r="724" spans="1:26" x14ac:dyDescent="0.15">
      <c r="A724" s="36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2"/>
    </row>
    <row r="725" spans="1:26" x14ac:dyDescent="0.15">
      <c r="A725" s="36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2"/>
    </row>
    <row r="726" spans="1:26" x14ac:dyDescent="0.15">
      <c r="A726" s="36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2"/>
    </row>
    <row r="727" spans="1:26" x14ac:dyDescent="0.15">
      <c r="A727" s="36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2"/>
    </row>
    <row r="728" spans="1:26" x14ac:dyDescent="0.15">
      <c r="A728" s="36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2"/>
    </row>
    <row r="729" spans="1:26" x14ac:dyDescent="0.15">
      <c r="A729" s="36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2"/>
    </row>
    <row r="730" spans="1:26" x14ac:dyDescent="0.15">
      <c r="A730" s="36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2"/>
    </row>
    <row r="731" spans="1:26" x14ac:dyDescent="0.15">
      <c r="A731" s="36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2"/>
    </row>
    <row r="732" spans="1:26" x14ac:dyDescent="0.15">
      <c r="A732" s="36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2"/>
    </row>
    <row r="733" spans="1:26" x14ac:dyDescent="0.15">
      <c r="A733" s="36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2"/>
    </row>
    <row r="734" spans="1:26" x14ac:dyDescent="0.15">
      <c r="A734" s="36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2"/>
    </row>
    <row r="735" spans="1:26" x14ac:dyDescent="0.15">
      <c r="A735" s="36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2"/>
    </row>
    <row r="736" spans="1:26" x14ac:dyDescent="0.15">
      <c r="A736" s="36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2"/>
    </row>
    <row r="737" spans="1:26" x14ac:dyDescent="0.15">
      <c r="A737" s="36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2"/>
    </row>
    <row r="738" spans="1:26" x14ac:dyDescent="0.15">
      <c r="A738" s="36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2"/>
    </row>
    <row r="739" spans="1:26" x14ac:dyDescent="0.15">
      <c r="A739" s="36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2"/>
    </row>
    <row r="740" spans="1:26" x14ac:dyDescent="0.15">
      <c r="A740" s="36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2"/>
    </row>
    <row r="741" spans="1:26" x14ac:dyDescent="0.15">
      <c r="A741" s="36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2"/>
    </row>
    <row r="742" spans="1:26" x14ac:dyDescent="0.15">
      <c r="A742" s="36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2"/>
    </row>
    <row r="743" spans="1:26" x14ac:dyDescent="0.15">
      <c r="A743" s="36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2"/>
    </row>
    <row r="744" spans="1:26" x14ac:dyDescent="0.15">
      <c r="A744" s="36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2"/>
    </row>
    <row r="745" spans="1:26" x14ac:dyDescent="0.15">
      <c r="A745" s="36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2"/>
    </row>
    <row r="746" spans="1:26" x14ac:dyDescent="0.15">
      <c r="A746" s="36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2"/>
    </row>
    <row r="747" spans="1:26" x14ac:dyDescent="0.15">
      <c r="A747" s="36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2"/>
    </row>
    <row r="748" spans="1:26" x14ac:dyDescent="0.15">
      <c r="A748" s="36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2"/>
    </row>
    <row r="749" spans="1:26" x14ac:dyDescent="0.15">
      <c r="A749" s="36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2"/>
    </row>
    <row r="750" spans="1:26" x14ac:dyDescent="0.15">
      <c r="A750" s="36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2"/>
    </row>
    <row r="751" spans="1:26" x14ac:dyDescent="0.15">
      <c r="A751" s="36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2"/>
    </row>
    <row r="752" spans="1:26" x14ac:dyDescent="0.15">
      <c r="A752" s="36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2"/>
    </row>
    <row r="753" spans="1:26" x14ac:dyDescent="0.15">
      <c r="A753" s="36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2"/>
    </row>
    <row r="754" spans="1:26" x14ac:dyDescent="0.15">
      <c r="A754" s="36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2"/>
    </row>
    <row r="755" spans="1:26" x14ac:dyDescent="0.15">
      <c r="A755" s="36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2"/>
    </row>
    <row r="756" spans="1:26" x14ac:dyDescent="0.15">
      <c r="A756" s="36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2"/>
    </row>
    <row r="757" spans="1:26" x14ac:dyDescent="0.15">
      <c r="A757" s="36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2"/>
    </row>
    <row r="758" spans="1:26" x14ac:dyDescent="0.15">
      <c r="A758" s="36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2"/>
    </row>
    <row r="759" spans="1:26" x14ac:dyDescent="0.15">
      <c r="A759" s="36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2"/>
    </row>
    <row r="760" spans="1:26" x14ac:dyDescent="0.15">
      <c r="A760" s="36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2"/>
    </row>
    <row r="761" spans="1:26" x14ac:dyDescent="0.15">
      <c r="A761" s="36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2"/>
    </row>
    <row r="762" spans="1:26" x14ac:dyDescent="0.15">
      <c r="A762" s="36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2"/>
    </row>
    <row r="763" spans="1:26" x14ac:dyDescent="0.15">
      <c r="A763" s="36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2"/>
    </row>
    <row r="764" spans="1:26" x14ac:dyDescent="0.15">
      <c r="A764" s="36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2"/>
    </row>
    <row r="765" spans="1:26" x14ac:dyDescent="0.15">
      <c r="A765" s="36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2"/>
    </row>
    <row r="766" spans="1:26" x14ac:dyDescent="0.15">
      <c r="A766" s="36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2"/>
    </row>
    <row r="767" spans="1:26" x14ac:dyDescent="0.15">
      <c r="A767" s="36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2"/>
    </row>
    <row r="768" spans="1:26" x14ac:dyDescent="0.15">
      <c r="A768" s="36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2"/>
    </row>
    <row r="769" spans="1:26" x14ac:dyDescent="0.15">
      <c r="A769" s="36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2"/>
    </row>
    <row r="770" spans="1:26" x14ac:dyDescent="0.15">
      <c r="A770" s="36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2"/>
    </row>
    <row r="771" spans="1:26" x14ac:dyDescent="0.15">
      <c r="A771" s="36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2"/>
    </row>
    <row r="772" spans="1:26" x14ac:dyDescent="0.15">
      <c r="A772" s="36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2"/>
    </row>
    <row r="773" spans="1:26" x14ac:dyDescent="0.15">
      <c r="A773" s="36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2"/>
    </row>
    <row r="774" spans="1:26" x14ac:dyDescent="0.15">
      <c r="A774" s="36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2"/>
    </row>
    <row r="775" spans="1:26" x14ac:dyDescent="0.15">
      <c r="A775" s="36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2"/>
    </row>
    <row r="776" spans="1:26" x14ac:dyDescent="0.15">
      <c r="A776" s="36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2"/>
    </row>
    <row r="777" spans="1:26" x14ac:dyDescent="0.15">
      <c r="A777" s="36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2"/>
    </row>
    <row r="778" spans="1:26" x14ac:dyDescent="0.15">
      <c r="A778" s="36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2"/>
    </row>
    <row r="779" spans="1:26" x14ac:dyDescent="0.15">
      <c r="A779" s="36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2"/>
    </row>
    <row r="780" spans="1:26" x14ac:dyDescent="0.15">
      <c r="A780" s="36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2"/>
    </row>
    <row r="781" spans="1:26" x14ac:dyDescent="0.15">
      <c r="A781" s="36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2"/>
    </row>
    <row r="782" spans="1:26" x14ac:dyDescent="0.15">
      <c r="A782" s="36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2"/>
    </row>
    <row r="783" spans="1:26" x14ac:dyDescent="0.15">
      <c r="A783" s="36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2"/>
    </row>
    <row r="784" spans="1:26" x14ac:dyDescent="0.15">
      <c r="A784" s="36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2"/>
    </row>
    <row r="785" spans="1:26" x14ac:dyDescent="0.15">
      <c r="A785" s="36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2"/>
    </row>
    <row r="786" spans="1:26" x14ac:dyDescent="0.15">
      <c r="A786" s="36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2"/>
    </row>
    <row r="787" spans="1:26" x14ac:dyDescent="0.15">
      <c r="A787" s="36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2"/>
    </row>
    <row r="788" spans="1:26" x14ac:dyDescent="0.15">
      <c r="A788" s="36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2"/>
    </row>
    <row r="789" spans="1:26" x14ac:dyDescent="0.15">
      <c r="A789" s="36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2"/>
    </row>
    <row r="790" spans="1:26" x14ac:dyDescent="0.15">
      <c r="A790" s="36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2"/>
    </row>
    <row r="791" spans="1:26" x14ac:dyDescent="0.15">
      <c r="A791" s="36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2"/>
    </row>
    <row r="792" spans="1:26" x14ac:dyDescent="0.15">
      <c r="A792" s="36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2"/>
    </row>
    <row r="793" spans="1:26" x14ac:dyDescent="0.15">
      <c r="A793" s="36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2"/>
    </row>
    <row r="794" spans="1:26" x14ac:dyDescent="0.15">
      <c r="A794" s="36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2"/>
    </row>
    <row r="795" spans="1:26" x14ac:dyDescent="0.15">
      <c r="A795" s="36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2"/>
    </row>
    <row r="796" spans="1:26" x14ac:dyDescent="0.15">
      <c r="A796" s="36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2"/>
    </row>
    <row r="797" spans="1:26" x14ac:dyDescent="0.15">
      <c r="A797" s="36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2"/>
    </row>
    <row r="798" spans="1:26" x14ac:dyDescent="0.15">
      <c r="A798" s="36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2"/>
    </row>
    <row r="799" spans="1:26" x14ac:dyDescent="0.15">
      <c r="A799" s="36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2"/>
    </row>
    <row r="800" spans="1:26" x14ac:dyDescent="0.15">
      <c r="A800" s="36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2"/>
    </row>
    <row r="801" spans="1:26" x14ac:dyDescent="0.15">
      <c r="A801" s="36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2"/>
    </row>
    <row r="802" spans="1:26" x14ac:dyDescent="0.15">
      <c r="A802" s="36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2"/>
    </row>
    <row r="803" spans="1:26" x14ac:dyDescent="0.15">
      <c r="A803" s="36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2"/>
    </row>
    <row r="804" spans="1:26" x14ac:dyDescent="0.15">
      <c r="A804" s="36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2"/>
    </row>
    <row r="805" spans="1:26" x14ac:dyDescent="0.15">
      <c r="A805" s="36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2"/>
    </row>
    <row r="806" spans="1:26" x14ac:dyDescent="0.15">
      <c r="A806" s="36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2"/>
    </row>
    <row r="807" spans="1:26" x14ac:dyDescent="0.15">
      <c r="A807" s="36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2"/>
    </row>
    <row r="808" spans="1:26" x14ac:dyDescent="0.15">
      <c r="A808" s="36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2"/>
    </row>
    <row r="809" spans="1:26" x14ac:dyDescent="0.15">
      <c r="A809" s="36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2"/>
    </row>
    <row r="810" spans="1:26" x14ac:dyDescent="0.15">
      <c r="A810" s="36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2"/>
    </row>
    <row r="811" spans="1:26" x14ac:dyDescent="0.15">
      <c r="A811" s="36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2"/>
    </row>
    <row r="812" spans="1:26" x14ac:dyDescent="0.15">
      <c r="A812" s="36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2"/>
    </row>
    <row r="813" spans="1:26" x14ac:dyDescent="0.15">
      <c r="A813" s="36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2"/>
    </row>
    <row r="814" spans="1:26" x14ac:dyDescent="0.15">
      <c r="A814" s="36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2"/>
    </row>
    <row r="815" spans="1:26" x14ac:dyDescent="0.15">
      <c r="A815" s="36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2"/>
    </row>
    <row r="816" spans="1:26" x14ac:dyDescent="0.15">
      <c r="A816" s="36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2"/>
    </row>
    <row r="817" spans="1:26" x14ac:dyDescent="0.15">
      <c r="A817" s="36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2"/>
    </row>
    <row r="818" spans="1:26" x14ac:dyDescent="0.15">
      <c r="A818" s="36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2"/>
    </row>
    <row r="819" spans="1:26" x14ac:dyDescent="0.15">
      <c r="A819" s="36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2"/>
    </row>
    <row r="820" spans="1:26" x14ac:dyDescent="0.15">
      <c r="A820" s="36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2"/>
    </row>
    <row r="821" spans="1:26" x14ac:dyDescent="0.15">
      <c r="A821" s="36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2"/>
    </row>
    <row r="822" spans="1:26" x14ac:dyDescent="0.15">
      <c r="A822" s="36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2"/>
    </row>
    <row r="823" spans="1:26" x14ac:dyDescent="0.15">
      <c r="A823" s="36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2"/>
    </row>
    <row r="824" spans="1:26" x14ac:dyDescent="0.15">
      <c r="A824" s="36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2"/>
    </row>
    <row r="825" spans="1:26" x14ac:dyDescent="0.15">
      <c r="A825" s="36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2"/>
    </row>
    <row r="826" spans="1:26" x14ac:dyDescent="0.15">
      <c r="A826" s="36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2"/>
    </row>
    <row r="827" spans="1:26" x14ac:dyDescent="0.15">
      <c r="A827" s="36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2"/>
    </row>
    <row r="828" spans="1:26" x14ac:dyDescent="0.15">
      <c r="A828" s="36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2"/>
    </row>
    <row r="829" spans="1:26" x14ac:dyDescent="0.15">
      <c r="A829" s="36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2"/>
    </row>
    <row r="830" spans="1:26" x14ac:dyDescent="0.15">
      <c r="A830" s="36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2"/>
    </row>
    <row r="831" spans="1:26" x14ac:dyDescent="0.15">
      <c r="A831" s="36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2"/>
    </row>
    <row r="832" spans="1:26" x14ac:dyDescent="0.15">
      <c r="A832" s="36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2"/>
    </row>
    <row r="833" spans="1:26" x14ac:dyDescent="0.15">
      <c r="A833" s="36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2"/>
    </row>
    <row r="834" spans="1:26" x14ac:dyDescent="0.15">
      <c r="A834" s="36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2"/>
    </row>
    <row r="835" spans="1:26" x14ac:dyDescent="0.15">
      <c r="A835" s="36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2"/>
    </row>
    <row r="836" spans="1:26" x14ac:dyDescent="0.15">
      <c r="A836" s="36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2"/>
    </row>
    <row r="837" spans="1:26" x14ac:dyDescent="0.15">
      <c r="A837" s="36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2"/>
    </row>
    <row r="838" spans="1:26" x14ac:dyDescent="0.15">
      <c r="A838" s="36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2"/>
    </row>
    <row r="839" spans="1:26" x14ac:dyDescent="0.15">
      <c r="A839" s="36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2"/>
    </row>
    <row r="840" spans="1:26" x14ac:dyDescent="0.15">
      <c r="A840" s="36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2"/>
    </row>
    <row r="841" spans="1:26" x14ac:dyDescent="0.15">
      <c r="A841" s="36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2"/>
    </row>
    <row r="842" spans="1:26" x14ac:dyDescent="0.15">
      <c r="A842" s="36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2"/>
    </row>
    <row r="843" spans="1:26" x14ac:dyDescent="0.15">
      <c r="A843" s="36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2"/>
    </row>
    <row r="844" spans="1:26" x14ac:dyDescent="0.15">
      <c r="A844" s="36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2"/>
    </row>
    <row r="845" spans="1:26" x14ac:dyDescent="0.15">
      <c r="A845" s="36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2"/>
    </row>
    <row r="846" spans="1:26" x14ac:dyDescent="0.15">
      <c r="A846" s="36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2"/>
    </row>
    <row r="847" spans="1:26" x14ac:dyDescent="0.15">
      <c r="A847" s="36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2"/>
    </row>
    <row r="848" spans="1:26" x14ac:dyDescent="0.15">
      <c r="A848" s="36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2"/>
    </row>
    <row r="849" spans="1:26" x14ac:dyDescent="0.15">
      <c r="A849" s="36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2"/>
    </row>
    <row r="850" spans="1:26" x14ac:dyDescent="0.15">
      <c r="A850" s="36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2"/>
    </row>
    <row r="851" spans="1:26" x14ac:dyDescent="0.15">
      <c r="A851" s="36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2"/>
    </row>
    <row r="852" spans="1:26" x14ac:dyDescent="0.15">
      <c r="A852" s="36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2"/>
    </row>
    <row r="853" spans="1:26" x14ac:dyDescent="0.15">
      <c r="A853" s="36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2"/>
    </row>
    <row r="854" spans="1:26" x14ac:dyDescent="0.15">
      <c r="A854" s="36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2"/>
    </row>
    <row r="855" spans="1:26" x14ac:dyDescent="0.15">
      <c r="A855" s="36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2"/>
    </row>
    <row r="856" spans="1:26" x14ac:dyDescent="0.15">
      <c r="A856" s="36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2"/>
    </row>
    <row r="857" spans="1:26" x14ac:dyDescent="0.15">
      <c r="A857" s="36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2"/>
    </row>
    <row r="858" spans="1:26" x14ac:dyDescent="0.15">
      <c r="A858" s="36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2"/>
    </row>
    <row r="859" spans="1:26" x14ac:dyDescent="0.15">
      <c r="A859" s="36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2"/>
    </row>
    <row r="860" spans="1:26" x14ac:dyDescent="0.15">
      <c r="A860" s="36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2"/>
    </row>
    <row r="861" spans="1:26" x14ac:dyDescent="0.15">
      <c r="A861" s="36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2"/>
    </row>
    <row r="862" spans="1:26" x14ac:dyDescent="0.15">
      <c r="A862" s="36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2"/>
    </row>
    <row r="863" spans="1:26" x14ac:dyDescent="0.15">
      <c r="A863" s="36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2"/>
    </row>
    <row r="864" spans="1:26" x14ac:dyDescent="0.15">
      <c r="A864" s="36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2"/>
    </row>
    <row r="865" spans="1:26" x14ac:dyDescent="0.15">
      <c r="A865" s="36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2"/>
    </row>
    <row r="866" spans="1:26" x14ac:dyDescent="0.15">
      <c r="A866" s="36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2"/>
    </row>
    <row r="867" spans="1:26" x14ac:dyDescent="0.15">
      <c r="A867" s="36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2"/>
    </row>
    <row r="868" spans="1:26" x14ac:dyDescent="0.15">
      <c r="A868" s="36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2"/>
    </row>
    <row r="869" spans="1:26" x14ac:dyDescent="0.15">
      <c r="A869" s="36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2"/>
    </row>
    <row r="870" spans="1:26" x14ac:dyDescent="0.15">
      <c r="A870" s="36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2"/>
    </row>
    <row r="871" spans="1:26" x14ac:dyDescent="0.15">
      <c r="A871" s="36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2"/>
    </row>
    <row r="872" spans="1:26" x14ac:dyDescent="0.15">
      <c r="A872" s="36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2"/>
    </row>
    <row r="873" spans="1:26" x14ac:dyDescent="0.15">
      <c r="A873" s="36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2"/>
    </row>
    <row r="874" spans="1:26" x14ac:dyDescent="0.15">
      <c r="A874" s="36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2"/>
    </row>
    <row r="875" spans="1:26" x14ac:dyDescent="0.15">
      <c r="A875" s="36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2"/>
    </row>
    <row r="876" spans="1:26" x14ac:dyDescent="0.15">
      <c r="A876" s="36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2"/>
    </row>
    <row r="877" spans="1:26" x14ac:dyDescent="0.15">
      <c r="A877" s="36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2"/>
    </row>
    <row r="878" spans="1:26" x14ac:dyDescent="0.15">
      <c r="A878" s="36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2"/>
    </row>
    <row r="879" spans="1:26" x14ac:dyDescent="0.15">
      <c r="A879" s="36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2"/>
    </row>
    <row r="880" spans="1:26" x14ac:dyDescent="0.15">
      <c r="A880" s="36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2"/>
    </row>
    <row r="881" spans="1:26" x14ac:dyDescent="0.15">
      <c r="A881" s="36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2"/>
    </row>
    <row r="882" spans="1:26" x14ac:dyDescent="0.15">
      <c r="A882" s="36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2"/>
    </row>
    <row r="883" spans="1:26" x14ac:dyDescent="0.15">
      <c r="A883" s="36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2"/>
    </row>
    <row r="884" spans="1:26" x14ac:dyDescent="0.15">
      <c r="A884" s="36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2"/>
    </row>
    <row r="885" spans="1:26" x14ac:dyDescent="0.15">
      <c r="A885" s="36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2"/>
    </row>
    <row r="886" spans="1:26" x14ac:dyDescent="0.15">
      <c r="A886" s="36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2"/>
    </row>
    <row r="887" spans="1:26" x14ac:dyDescent="0.15">
      <c r="A887" s="36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2"/>
    </row>
    <row r="888" spans="1:26" x14ac:dyDescent="0.15">
      <c r="A888" s="36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2"/>
    </row>
    <row r="889" spans="1:26" x14ac:dyDescent="0.15">
      <c r="A889" s="36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2"/>
    </row>
    <row r="890" spans="1:26" x14ac:dyDescent="0.15">
      <c r="A890" s="36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2"/>
    </row>
    <row r="891" spans="1:26" x14ac:dyDescent="0.15">
      <c r="A891" s="36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2"/>
    </row>
    <row r="892" spans="1:26" x14ac:dyDescent="0.15">
      <c r="A892" s="36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2"/>
    </row>
    <row r="893" spans="1:26" x14ac:dyDescent="0.15">
      <c r="A893" s="36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2"/>
    </row>
    <row r="894" spans="1:26" x14ac:dyDescent="0.15">
      <c r="A894" s="36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2"/>
    </row>
    <row r="895" spans="1:26" x14ac:dyDescent="0.15">
      <c r="A895" s="36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2"/>
    </row>
    <row r="896" spans="1:26" x14ac:dyDescent="0.15">
      <c r="A896" s="36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2"/>
    </row>
    <row r="897" spans="1:26" x14ac:dyDescent="0.15">
      <c r="A897" s="36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2"/>
    </row>
    <row r="898" spans="1:26" x14ac:dyDescent="0.15">
      <c r="A898" s="36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2"/>
    </row>
    <row r="899" spans="1:26" x14ac:dyDescent="0.15">
      <c r="A899" s="36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2"/>
    </row>
    <row r="900" spans="1:26" x14ac:dyDescent="0.15">
      <c r="A900" s="36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2"/>
    </row>
    <row r="901" spans="1:26" x14ac:dyDescent="0.15">
      <c r="A901" s="36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2"/>
    </row>
    <row r="902" spans="1:26" x14ac:dyDescent="0.15">
      <c r="A902" s="36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2"/>
    </row>
    <row r="903" spans="1:26" x14ac:dyDescent="0.15">
      <c r="A903" s="36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2"/>
    </row>
    <row r="904" spans="1:26" x14ac:dyDescent="0.15">
      <c r="A904" s="36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2"/>
    </row>
    <row r="905" spans="1:26" x14ac:dyDescent="0.15">
      <c r="A905" s="36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2"/>
    </row>
    <row r="906" spans="1:26" x14ac:dyDescent="0.15">
      <c r="A906" s="36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2"/>
    </row>
    <row r="907" spans="1:26" x14ac:dyDescent="0.15">
      <c r="A907" s="36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2"/>
    </row>
    <row r="908" spans="1:26" x14ac:dyDescent="0.15">
      <c r="A908" s="36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2"/>
    </row>
    <row r="909" spans="1:26" x14ac:dyDescent="0.15">
      <c r="A909" s="36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2"/>
    </row>
    <row r="910" spans="1:26" x14ac:dyDescent="0.15">
      <c r="A910" s="36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2"/>
    </row>
    <row r="911" spans="1:26" x14ac:dyDescent="0.15">
      <c r="A911" s="36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2"/>
    </row>
    <row r="912" spans="1:26" x14ac:dyDescent="0.15">
      <c r="A912" s="36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2"/>
    </row>
    <row r="913" spans="1:26" x14ac:dyDescent="0.15">
      <c r="A913" s="36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2"/>
    </row>
    <row r="914" spans="1:26" x14ac:dyDescent="0.15">
      <c r="A914" s="36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2"/>
    </row>
    <row r="915" spans="1:26" x14ac:dyDescent="0.15">
      <c r="A915" s="36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2"/>
    </row>
    <row r="916" spans="1:26" x14ac:dyDescent="0.15">
      <c r="A916" s="36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2"/>
    </row>
    <row r="917" spans="1:26" x14ac:dyDescent="0.15">
      <c r="A917" s="36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2"/>
    </row>
    <row r="918" spans="1:26" x14ac:dyDescent="0.15">
      <c r="A918" s="36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2"/>
    </row>
    <row r="919" spans="1:26" x14ac:dyDescent="0.15">
      <c r="A919" s="36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2"/>
    </row>
    <row r="920" spans="1:26" x14ac:dyDescent="0.15">
      <c r="A920" s="36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2"/>
    </row>
    <row r="921" spans="1:26" x14ac:dyDescent="0.15">
      <c r="A921" s="36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2"/>
    </row>
    <row r="922" spans="1:26" x14ac:dyDescent="0.15">
      <c r="A922" s="36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2"/>
    </row>
    <row r="923" spans="1:26" x14ac:dyDescent="0.15">
      <c r="A923" s="36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2"/>
    </row>
    <row r="924" spans="1:26" x14ac:dyDescent="0.15">
      <c r="A924" s="36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2"/>
    </row>
    <row r="925" spans="1:26" x14ac:dyDescent="0.15">
      <c r="A925" s="36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2"/>
    </row>
    <row r="926" spans="1:26" x14ac:dyDescent="0.15">
      <c r="A926" s="36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2"/>
    </row>
    <row r="927" spans="1:26" x14ac:dyDescent="0.15">
      <c r="A927" s="36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2"/>
    </row>
    <row r="928" spans="1:26" x14ac:dyDescent="0.15">
      <c r="A928" s="36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2"/>
    </row>
    <row r="929" spans="1:26" x14ac:dyDescent="0.15">
      <c r="A929" s="36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2"/>
    </row>
    <row r="930" spans="1:26" x14ac:dyDescent="0.15">
      <c r="A930" s="36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2"/>
    </row>
    <row r="931" spans="1:26" x14ac:dyDescent="0.15">
      <c r="A931" s="36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2"/>
    </row>
    <row r="932" spans="1:26" x14ac:dyDescent="0.15">
      <c r="A932" s="36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2"/>
    </row>
    <row r="933" spans="1:26" x14ac:dyDescent="0.15">
      <c r="A933" s="36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2"/>
    </row>
    <row r="934" spans="1:26" x14ac:dyDescent="0.15">
      <c r="A934" s="36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2"/>
    </row>
    <row r="935" spans="1:26" x14ac:dyDescent="0.15">
      <c r="A935" s="36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2"/>
    </row>
    <row r="936" spans="1:26" x14ac:dyDescent="0.15">
      <c r="A936" s="36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2"/>
    </row>
    <row r="937" spans="1:26" x14ac:dyDescent="0.15">
      <c r="A937" s="36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2"/>
    </row>
    <row r="938" spans="1:26" x14ac:dyDescent="0.15">
      <c r="A938" s="36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2"/>
    </row>
    <row r="939" spans="1:26" x14ac:dyDescent="0.15">
      <c r="A939" s="36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2"/>
    </row>
    <row r="940" spans="1:26" x14ac:dyDescent="0.15">
      <c r="A940" s="36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2"/>
    </row>
    <row r="941" spans="1:26" x14ac:dyDescent="0.15">
      <c r="A941" s="36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2"/>
    </row>
    <row r="942" spans="1:26" x14ac:dyDescent="0.15">
      <c r="A942" s="36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2"/>
    </row>
    <row r="943" spans="1:26" x14ac:dyDescent="0.15">
      <c r="A943" s="36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2"/>
    </row>
    <row r="944" spans="1:26" x14ac:dyDescent="0.15">
      <c r="A944" s="36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2"/>
    </row>
    <row r="945" spans="1:26" x14ac:dyDescent="0.15">
      <c r="A945" s="36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2"/>
    </row>
    <row r="946" spans="1:26" x14ac:dyDescent="0.15">
      <c r="A946" s="36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2"/>
    </row>
    <row r="947" spans="1:26" x14ac:dyDescent="0.15">
      <c r="A947" s="36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2"/>
    </row>
    <row r="948" spans="1:26" x14ac:dyDescent="0.15">
      <c r="A948" s="36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2"/>
    </row>
    <row r="949" spans="1:26" x14ac:dyDescent="0.15">
      <c r="A949" s="36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2"/>
    </row>
    <row r="950" spans="1:26" x14ac:dyDescent="0.15">
      <c r="A950" s="36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2"/>
    </row>
    <row r="951" spans="1:26" x14ac:dyDescent="0.15">
      <c r="A951" s="36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2"/>
    </row>
    <row r="952" spans="1:26" x14ac:dyDescent="0.15">
      <c r="A952" s="36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2"/>
    </row>
    <row r="953" spans="1:26" x14ac:dyDescent="0.15">
      <c r="A953" s="36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2"/>
    </row>
    <row r="954" spans="1:26" x14ac:dyDescent="0.15">
      <c r="A954" s="36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2"/>
    </row>
    <row r="955" spans="1:26" x14ac:dyDescent="0.15">
      <c r="A955" s="36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2"/>
    </row>
    <row r="956" spans="1:26" x14ac:dyDescent="0.15">
      <c r="A956" s="36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2"/>
    </row>
    <row r="957" spans="1:26" x14ac:dyDescent="0.15">
      <c r="A957" s="36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2"/>
    </row>
    <row r="958" spans="1:26" x14ac:dyDescent="0.15">
      <c r="A958" s="36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2"/>
    </row>
    <row r="959" spans="1:26" x14ac:dyDescent="0.15">
      <c r="A959" s="36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2"/>
    </row>
    <row r="960" spans="1:26" x14ac:dyDescent="0.15">
      <c r="A960" s="36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2"/>
    </row>
    <row r="961" spans="1:26" x14ac:dyDescent="0.15">
      <c r="A961" s="36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2"/>
    </row>
    <row r="962" spans="1:26" x14ac:dyDescent="0.15">
      <c r="A962" s="36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2"/>
    </row>
    <row r="963" spans="1:26" x14ac:dyDescent="0.15">
      <c r="A963" s="36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2"/>
    </row>
    <row r="964" spans="1:26" x14ac:dyDescent="0.15">
      <c r="A964" s="36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2"/>
    </row>
    <row r="965" spans="1:26" x14ac:dyDescent="0.15">
      <c r="A965" s="36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2"/>
    </row>
    <row r="966" spans="1:26" x14ac:dyDescent="0.15">
      <c r="A966" s="36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2"/>
    </row>
    <row r="967" spans="1:26" x14ac:dyDescent="0.15">
      <c r="A967" s="36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2"/>
    </row>
    <row r="968" spans="1:26" x14ac:dyDescent="0.15">
      <c r="A968" s="36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2"/>
    </row>
    <row r="969" spans="1:26" x14ac:dyDescent="0.15">
      <c r="A969" s="36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2"/>
    </row>
    <row r="970" spans="1:26" x14ac:dyDescent="0.15">
      <c r="A970" s="36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2"/>
    </row>
    <row r="971" spans="1:26" x14ac:dyDescent="0.15">
      <c r="A971" s="36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2"/>
    </row>
    <row r="972" spans="1:26" x14ac:dyDescent="0.15">
      <c r="A972" s="36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2"/>
    </row>
    <row r="973" spans="1:26" x14ac:dyDescent="0.15">
      <c r="A973" s="36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2"/>
    </row>
    <row r="974" spans="1:26" x14ac:dyDescent="0.15">
      <c r="A974" s="36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2"/>
    </row>
    <row r="975" spans="1:26" x14ac:dyDescent="0.15">
      <c r="A975" s="36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2"/>
    </row>
    <row r="976" spans="1:26" x14ac:dyDescent="0.15">
      <c r="A976" s="36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2"/>
    </row>
    <row r="977" spans="1:26" x14ac:dyDescent="0.15">
      <c r="A977" s="36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2"/>
    </row>
    <row r="978" spans="1:26" x14ac:dyDescent="0.15">
      <c r="A978" s="36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2"/>
    </row>
    <row r="979" spans="1:26" x14ac:dyDescent="0.15">
      <c r="A979" s="36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2"/>
    </row>
    <row r="980" spans="1:26" x14ac:dyDescent="0.15">
      <c r="A980" s="36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2"/>
    </row>
    <row r="981" spans="1:26" x14ac:dyDescent="0.15">
      <c r="A981" s="36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2"/>
    </row>
    <row r="982" spans="1:26" x14ac:dyDescent="0.15">
      <c r="A982" s="36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2"/>
    </row>
    <row r="983" spans="1:26" x14ac:dyDescent="0.15">
      <c r="A983" s="36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2"/>
    </row>
    <row r="984" spans="1:26" x14ac:dyDescent="0.15">
      <c r="A984" s="36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2"/>
    </row>
    <row r="985" spans="1:26" x14ac:dyDescent="0.15">
      <c r="A985" s="36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2"/>
    </row>
    <row r="986" spans="1:26" x14ac:dyDescent="0.15">
      <c r="A986" s="36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2"/>
    </row>
    <row r="987" spans="1:26" x14ac:dyDescent="0.15">
      <c r="A987" s="36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2"/>
    </row>
    <row r="988" spans="1:26" x14ac:dyDescent="0.15">
      <c r="A988" s="36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2"/>
    </row>
    <row r="989" spans="1:26" x14ac:dyDescent="0.15">
      <c r="A989" s="36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2"/>
    </row>
    <row r="990" spans="1:26" x14ac:dyDescent="0.15">
      <c r="A990" s="36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2"/>
    </row>
    <row r="991" spans="1:26" x14ac:dyDescent="0.15">
      <c r="A991" s="36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2"/>
    </row>
    <row r="992" spans="1:26" x14ac:dyDescent="0.15">
      <c r="A992" s="36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2"/>
    </row>
    <row r="993" spans="1:26" x14ac:dyDescent="0.15">
      <c r="A993" s="36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2"/>
    </row>
    <row r="994" spans="1:26" x14ac:dyDescent="0.15">
      <c r="A994" s="36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2"/>
    </row>
    <row r="995" spans="1:26" x14ac:dyDescent="0.15">
      <c r="A995" s="36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2"/>
    </row>
    <row r="996" spans="1:26" x14ac:dyDescent="0.15">
      <c r="A996" s="36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2"/>
    </row>
    <row r="997" spans="1:26" x14ac:dyDescent="0.15">
      <c r="A997" s="36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2"/>
    </row>
    <row r="998" spans="1:26" x14ac:dyDescent="0.15">
      <c r="A998" s="36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2"/>
    </row>
    <row r="999" spans="1:26" x14ac:dyDescent="0.15">
      <c r="A999" s="36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2"/>
    </row>
    <row r="1000" spans="1:26" x14ac:dyDescent="0.15">
      <c r="A1000" s="48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42"/>
    </row>
  </sheetData>
  <mergeCells count="2">
    <mergeCell ref="B1:Q1"/>
    <mergeCell ref="B30:C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zoomScale="89" workbookViewId="0">
      <selection activeCell="A29" sqref="A29:XFD29"/>
    </sheetView>
  </sheetViews>
  <sheetFormatPr baseColWidth="10" defaultColWidth="9.1640625" defaultRowHeight="12" x14ac:dyDescent="0.15"/>
  <cols>
    <col min="1" max="1" width="9.1640625" style="17"/>
    <col min="2" max="2" width="40.83203125" style="17" bestFit="1" customWidth="1"/>
    <col min="3" max="3" width="21.5" style="17" customWidth="1"/>
    <col min="4" max="6" width="14.33203125" style="17" bestFit="1" customWidth="1"/>
    <col min="7" max="7" width="15.6640625" style="17" bestFit="1" customWidth="1"/>
    <col min="8" max="8" width="17.33203125" style="17" customWidth="1"/>
    <col min="9" max="9" width="19" style="17" customWidth="1"/>
    <col min="10" max="10" width="18.33203125" style="17" customWidth="1"/>
    <col min="11" max="12" width="18.5" style="17" customWidth="1"/>
    <col min="13" max="15" width="18.1640625" style="17" customWidth="1"/>
    <col min="16" max="17" width="18.33203125" style="17" customWidth="1"/>
    <col min="18" max="18" width="18.5" style="17" customWidth="1"/>
    <col min="19" max="16384" width="9.1640625" style="17"/>
  </cols>
  <sheetData>
    <row r="1" spans="1:26" x14ac:dyDescent="0.15">
      <c r="A1" s="13"/>
      <c r="B1" s="248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50"/>
      <c r="R1" s="14"/>
      <c r="S1" s="15"/>
      <c r="T1" s="15"/>
      <c r="U1" s="15"/>
      <c r="V1" s="15"/>
      <c r="W1" s="15"/>
      <c r="X1" s="15"/>
      <c r="Y1" s="15"/>
      <c r="Z1" s="16"/>
    </row>
    <row r="2" spans="1:26" x14ac:dyDescent="0.15">
      <c r="A2" s="18"/>
      <c r="B2" s="19"/>
      <c r="C2" s="20">
        <v>0</v>
      </c>
      <c r="D2" s="20">
        <v>1</v>
      </c>
      <c r="E2" s="20">
        <v>2</v>
      </c>
      <c r="F2" s="20">
        <v>3</v>
      </c>
      <c r="G2" s="20">
        <v>4</v>
      </c>
      <c r="H2" s="20">
        <v>5</v>
      </c>
      <c r="I2" s="20">
        <v>6</v>
      </c>
      <c r="J2" s="20">
        <v>7</v>
      </c>
      <c r="K2" s="20">
        <v>8</v>
      </c>
      <c r="L2" s="20">
        <v>9</v>
      </c>
      <c r="M2" s="20">
        <v>10</v>
      </c>
      <c r="N2" s="20">
        <v>11</v>
      </c>
      <c r="O2" s="20">
        <v>12</v>
      </c>
      <c r="P2" s="20">
        <v>13</v>
      </c>
      <c r="Q2" s="20">
        <v>14</v>
      </c>
      <c r="R2" s="20">
        <v>15</v>
      </c>
      <c r="S2" s="21"/>
      <c r="T2" s="21"/>
      <c r="U2" s="21"/>
      <c r="V2" s="21"/>
      <c r="W2" s="21"/>
      <c r="X2" s="21"/>
      <c r="Y2" s="21"/>
      <c r="Z2" s="22"/>
    </row>
    <row r="3" spans="1:26" x14ac:dyDescent="0.15">
      <c r="A3" s="18"/>
      <c r="B3" s="23"/>
      <c r="C3" s="24">
        <v>45658</v>
      </c>
      <c r="D3" s="20">
        <v>2025</v>
      </c>
      <c r="E3" s="20">
        <v>2026</v>
      </c>
      <c r="F3" s="20">
        <v>2027</v>
      </c>
      <c r="G3" s="20">
        <v>2028</v>
      </c>
      <c r="H3" s="20">
        <v>2029</v>
      </c>
      <c r="I3" s="20">
        <v>2030</v>
      </c>
      <c r="J3" s="20">
        <v>2031</v>
      </c>
      <c r="K3" s="20">
        <v>2032</v>
      </c>
      <c r="L3" s="20">
        <v>2033</v>
      </c>
      <c r="M3" s="20">
        <v>2034</v>
      </c>
      <c r="N3" s="20">
        <v>2035</v>
      </c>
      <c r="O3" s="20">
        <v>2036</v>
      </c>
      <c r="P3" s="20">
        <v>2037</v>
      </c>
      <c r="Q3" s="20">
        <v>2038</v>
      </c>
      <c r="R3" s="20">
        <v>2039</v>
      </c>
      <c r="S3" s="21"/>
      <c r="T3" s="21"/>
      <c r="U3" s="21"/>
      <c r="V3" s="21"/>
      <c r="W3" s="21"/>
      <c r="X3" s="21"/>
      <c r="Y3" s="21"/>
      <c r="Z3" s="22"/>
    </row>
    <row r="4" spans="1:26" x14ac:dyDescent="0.15">
      <c r="A4" s="18"/>
      <c r="B4" s="25"/>
      <c r="C4" s="4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50"/>
      <c r="S4" s="51"/>
      <c r="T4" s="21"/>
      <c r="U4" s="21"/>
      <c r="V4" s="21"/>
      <c r="W4" s="21"/>
      <c r="X4" s="21"/>
      <c r="Y4" s="21"/>
      <c r="Z4" s="22"/>
    </row>
    <row r="5" spans="1:26" x14ac:dyDescent="0.15">
      <c r="A5" s="18"/>
      <c r="B5" s="25" t="s">
        <v>0</v>
      </c>
      <c r="C5" s="26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f>C33</f>
        <v>15000</v>
      </c>
      <c r="J5" s="27">
        <f t="shared" ref="J5:R5" si="0">I5*(1+$C$34)</f>
        <v>18000</v>
      </c>
      <c r="K5" s="27">
        <f t="shared" si="0"/>
        <v>21600</v>
      </c>
      <c r="L5" s="27">
        <f t="shared" si="0"/>
        <v>25920</v>
      </c>
      <c r="M5" s="27">
        <f t="shared" si="0"/>
        <v>31104</v>
      </c>
      <c r="N5" s="27">
        <f t="shared" si="0"/>
        <v>37324.799999999996</v>
      </c>
      <c r="O5" s="27">
        <f t="shared" si="0"/>
        <v>44789.759999999995</v>
      </c>
      <c r="P5" s="27">
        <f t="shared" si="0"/>
        <v>53747.711999999992</v>
      </c>
      <c r="Q5" s="27">
        <f t="shared" si="0"/>
        <v>64497.254399999991</v>
      </c>
      <c r="R5" s="98">
        <f t="shared" si="0"/>
        <v>77396.70527999998</v>
      </c>
      <c r="S5" s="51"/>
      <c r="T5" s="21"/>
      <c r="U5" s="21"/>
      <c r="V5" s="21"/>
      <c r="W5" s="21"/>
      <c r="X5" s="21"/>
      <c r="Y5" s="21"/>
      <c r="Z5" s="22"/>
    </row>
    <row r="6" spans="1:26" x14ac:dyDescent="0.15">
      <c r="A6" s="18"/>
      <c r="B6" s="25"/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98"/>
      <c r="S6" s="51"/>
      <c r="T6" s="21"/>
      <c r="U6" s="21"/>
      <c r="V6" s="21"/>
      <c r="W6" s="21"/>
      <c r="X6" s="21"/>
      <c r="Y6" s="21"/>
      <c r="Z6" s="22"/>
    </row>
    <row r="7" spans="1:26" x14ac:dyDescent="0.15">
      <c r="A7" s="18"/>
      <c r="B7" s="25" t="s">
        <v>1</v>
      </c>
      <c r="C7" s="26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f t="shared" ref="I7:R7" si="1">I5*($C$35)</f>
        <v>1500000000</v>
      </c>
      <c r="J7" s="27">
        <f t="shared" si="1"/>
        <v>1800000000</v>
      </c>
      <c r="K7" s="27">
        <f t="shared" si="1"/>
        <v>2160000000</v>
      </c>
      <c r="L7" s="27">
        <f t="shared" si="1"/>
        <v>2592000000</v>
      </c>
      <c r="M7" s="27">
        <f t="shared" si="1"/>
        <v>3110400000</v>
      </c>
      <c r="N7" s="27">
        <f t="shared" si="1"/>
        <v>3732479999.9999995</v>
      </c>
      <c r="O7" s="27">
        <f t="shared" si="1"/>
        <v>4478975999.999999</v>
      </c>
      <c r="P7" s="27">
        <f t="shared" si="1"/>
        <v>5374771199.999999</v>
      </c>
      <c r="Q7" s="27">
        <f t="shared" si="1"/>
        <v>6449725439.999999</v>
      </c>
      <c r="R7" s="98">
        <f t="shared" si="1"/>
        <v>7739670527.9999981</v>
      </c>
      <c r="S7" s="51"/>
      <c r="T7" s="21"/>
      <c r="U7" s="21"/>
      <c r="V7" s="21"/>
      <c r="W7" s="21"/>
      <c r="X7" s="21"/>
      <c r="Y7" s="21"/>
      <c r="Z7" s="22"/>
    </row>
    <row r="8" spans="1:26" x14ac:dyDescent="0.15">
      <c r="A8" s="18"/>
      <c r="B8" s="25"/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98"/>
      <c r="S8" s="51"/>
      <c r="T8" s="21"/>
      <c r="U8" s="21"/>
      <c r="V8" s="21"/>
      <c r="W8" s="21"/>
      <c r="X8" s="21"/>
      <c r="Y8" s="21"/>
      <c r="Z8" s="22"/>
    </row>
    <row r="9" spans="1:26" x14ac:dyDescent="0.15">
      <c r="A9" s="18"/>
      <c r="B9" s="25" t="s">
        <v>2</v>
      </c>
      <c r="C9" s="26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f>I5*(I36)</f>
        <v>1200000000</v>
      </c>
      <c r="J9" s="27">
        <f t="shared" ref="J9:R9" si="2">J5*(J36)</f>
        <v>1440000000</v>
      </c>
      <c r="K9" s="27">
        <f t="shared" si="2"/>
        <v>1728000000</v>
      </c>
      <c r="L9" s="27">
        <f t="shared" si="2"/>
        <v>2073600000</v>
      </c>
      <c r="M9" s="27">
        <f t="shared" si="2"/>
        <v>2426112000</v>
      </c>
      <c r="N9" s="27">
        <f t="shared" si="2"/>
        <v>2911334399.9999995</v>
      </c>
      <c r="O9" s="27">
        <f t="shared" si="2"/>
        <v>3404021759.9999995</v>
      </c>
      <c r="P9" s="27">
        <f t="shared" si="2"/>
        <v>4084826111.9999995</v>
      </c>
      <c r="Q9" s="27">
        <f t="shared" si="2"/>
        <v>4837294079.999999</v>
      </c>
      <c r="R9" s="98">
        <f t="shared" si="2"/>
        <v>5727356190.7199984</v>
      </c>
      <c r="S9" s="51"/>
      <c r="T9" s="21"/>
      <c r="U9" s="21"/>
      <c r="V9" s="21"/>
      <c r="W9" s="21"/>
      <c r="X9" s="21"/>
      <c r="Y9" s="21"/>
      <c r="Z9" s="22"/>
    </row>
    <row r="10" spans="1:26" x14ac:dyDescent="0.15">
      <c r="A10" s="18"/>
      <c r="B10" s="25" t="s">
        <v>3</v>
      </c>
      <c r="C10" s="26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f>I5*($C$37)</f>
        <v>15000000</v>
      </c>
      <c r="J10" s="27">
        <f t="shared" ref="J10:Q10" si="3">J5*($C$37)</f>
        <v>18000000</v>
      </c>
      <c r="K10" s="27">
        <f t="shared" si="3"/>
        <v>21600000</v>
      </c>
      <c r="L10" s="27">
        <f t="shared" si="3"/>
        <v>25920000</v>
      </c>
      <c r="M10" s="27">
        <f t="shared" si="3"/>
        <v>31104000</v>
      </c>
      <c r="N10" s="27">
        <f t="shared" si="3"/>
        <v>37324799.999999993</v>
      </c>
      <c r="O10" s="27">
        <f t="shared" si="3"/>
        <v>44789759.999999993</v>
      </c>
      <c r="P10" s="27">
        <f t="shared" si="3"/>
        <v>53747711.999999993</v>
      </c>
      <c r="Q10" s="27">
        <f t="shared" si="3"/>
        <v>64497254.399999991</v>
      </c>
      <c r="R10" s="98">
        <f>R5*($C$37)</f>
        <v>77396705.279999986</v>
      </c>
      <c r="S10" s="51"/>
      <c r="T10" s="21"/>
      <c r="U10" s="21"/>
      <c r="V10" s="21"/>
      <c r="W10" s="21"/>
      <c r="X10" s="21"/>
      <c r="Y10" s="21"/>
      <c r="Z10" s="22"/>
    </row>
    <row r="11" spans="1:26" x14ac:dyDescent="0.15">
      <c r="A11" s="18"/>
      <c r="B11" s="25" t="s">
        <v>4</v>
      </c>
      <c r="C11" s="26">
        <v>0</v>
      </c>
      <c r="D11" s="107">
        <v>0</v>
      </c>
      <c r="E11" s="107">
        <v>0</v>
      </c>
      <c r="F11" s="107">
        <v>0</v>
      </c>
      <c r="G11" s="107">
        <v>0</v>
      </c>
      <c r="H11" s="107">
        <v>0</v>
      </c>
      <c r="I11" s="107">
        <f t="shared" ref="I11:R11" si="4">I9+I10</f>
        <v>1215000000</v>
      </c>
      <c r="J11" s="107">
        <f t="shared" si="4"/>
        <v>1458000000</v>
      </c>
      <c r="K11" s="107">
        <f t="shared" si="4"/>
        <v>1749600000</v>
      </c>
      <c r="L11" s="107">
        <f t="shared" si="4"/>
        <v>2099520000</v>
      </c>
      <c r="M11" s="107">
        <f t="shared" si="4"/>
        <v>2457216000</v>
      </c>
      <c r="N11" s="107">
        <f t="shared" si="4"/>
        <v>2948659199.9999995</v>
      </c>
      <c r="O11" s="107">
        <f t="shared" si="4"/>
        <v>3448811519.9999995</v>
      </c>
      <c r="P11" s="107">
        <f t="shared" si="4"/>
        <v>4138573823.9999995</v>
      </c>
      <c r="Q11" s="107">
        <f t="shared" si="4"/>
        <v>4901791334.3999987</v>
      </c>
      <c r="R11" s="108">
        <f t="shared" si="4"/>
        <v>5804752895.9999981</v>
      </c>
      <c r="S11" s="51"/>
      <c r="T11" s="21"/>
      <c r="U11" s="21"/>
      <c r="V11" s="21"/>
      <c r="W11" s="21"/>
      <c r="X11" s="21"/>
      <c r="Y11" s="21"/>
      <c r="Z11" s="22"/>
    </row>
    <row r="12" spans="1:26" x14ac:dyDescent="0.15">
      <c r="A12" s="18"/>
      <c r="B12" s="25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98"/>
      <c r="S12" s="51"/>
      <c r="T12" s="21"/>
      <c r="U12" s="21"/>
      <c r="V12" s="21"/>
      <c r="W12" s="21"/>
      <c r="X12" s="21"/>
      <c r="Y12" s="21"/>
      <c r="Z12" s="22"/>
    </row>
    <row r="13" spans="1:26" x14ac:dyDescent="0.15">
      <c r="A13" s="18"/>
      <c r="B13" s="29" t="s">
        <v>5</v>
      </c>
      <c r="C13" s="30">
        <v>0</v>
      </c>
      <c r="D13" s="107">
        <v>0</v>
      </c>
      <c r="E13" s="107">
        <v>0</v>
      </c>
      <c r="F13" s="107">
        <v>0</v>
      </c>
      <c r="G13" s="107">
        <v>0</v>
      </c>
      <c r="H13" s="107">
        <v>0</v>
      </c>
      <c r="I13" s="27">
        <f t="shared" ref="I13:P13" si="5">I7-I11</f>
        <v>285000000</v>
      </c>
      <c r="J13" s="107">
        <f t="shared" si="5"/>
        <v>342000000</v>
      </c>
      <c r="K13" s="107">
        <f t="shared" si="5"/>
        <v>410400000</v>
      </c>
      <c r="L13" s="107">
        <f t="shared" si="5"/>
        <v>492480000</v>
      </c>
      <c r="M13" s="107">
        <f t="shared" si="5"/>
        <v>653184000</v>
      </c>
      <c r="N13" s="107">
        <f t="shared" si="5"/>
        <v>783820800</v>
      </c>
      <c r="O13" s="107">
        <f>O7-O11</f>
        <v>1030164479.9999995</v>
      </c>
      <c r="P13" s="107">
        <f t="shared" si="5"/>
        <v>1236197375.9999995</v>
      </c>
      <c r="Q13" s="27">
        <f>Q7-Q11</f>
        <v>1547934105.6000004</v>
      </c>
      <c r="R13" s="98">
        <f>R7-R11</f>
        <v>1934917632</v>
      </c>
      <c r="S13" s="51"/>
      <c r="T13" s="21"/>
      <c r="U13" s="21"/>
      <c r="V13" s="21"/>
      <c r="W13" s="21"/>
      <c r="X13" s="21"/>
      <c r="Y13" s="21"/>
      <c r="Z13" s="22"/>
    </row>
    <row r="14" spans="1:26" x14ac:dyDescent="0.15">
      <c r="A14" s="18"/>
      <c r="B14" s="25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98"/>
      <c r="S14" s="51"/>
      <c r="T14" s="21"/>
      <c r="U14" s="21"/>
      <c r="V14" s="21"/>
      <c r="W14" s="21"/>
      <c r="X14" s="21"/>
      <c r="Y14" s="21"/>
      <c r="Z14" s="22"/>
    </row>
    <row r="15" spans="1:26" x14ac:dyDescent="0.15">
      <c r="A15" s="18"/>
      <c r="B15" s="25" t="s">
        <v>6</v>
      </c>
      <c r="C15" s="26">
        <v>0</v>
      </c>
      <c r="D15" s="27">
        <v>160000000</v>
      </c>
      <c r="E15" s="27">
        <f t="shared" ref="E15:R15" si="6">D15*(1+$C$39)</f>
        <v>168000000</v>
      </c>
      <c r="F15" s="27">
        <f t="shared" si="6"/>
        <v>176400000</v>
      </c>
      <c r="G15" s="27">
        <f t="shared" si="6"/>
        <v>185220000</v>
      </c>
      <c r="H15" s="27">
        <f t="shared" si="6"/>
        <v>194481000</v>
      </c>
      <c r="I15" s="27">
        <f t="shared" si="6"/>
        <v>204205050</v>
      </c>
      <c r="J15" s="27">
        <f t="shared" si="6"/>
        <v>214415302.5</v>
      </c>
      <c r="K15" s="27">
        <f t="shared" si="6"/>
        <v>225136067.625</v>
      </c>
      <c r="L15" s="27">
        <f t="shared" si="6"/>
        <v>236392871.00625002</v>
      </c>
      <c r="M15" s="27">
        <f t="shared" si="6"/>
        <v>248212514.55656254</v>
      </c>
      <c r="N15" s="27">
        <f t="shared" si="6"/>
        <v>260623140.28439069</v>
      </c>
      <c r="O15" s="27">
        <f t="shared" si="6"/>
        <v>273654297.29861021</v>
      </c>
      <c r="P15" s="27">
        <f t="shared" si="6"/>
        <v>287337012.16354072</v>
      </c>
      <c r="Q15" s="27">
        <f t="shared" si="6"/>
        <v>301703862.77171779</v>
      </c>
      <c r="R15" s="98">
        <f t="shared" si="6"/>
        <v>316789055.91030371</v>
      </c>
      <c r="S15" s="51"/>
      <c r="T15" s="21"/>
      <c r="U15" s="21"/>
      <c r="V15" s="21"/>
      <c r="W15" s="21"/>
      <c r="X15" s="21"/>
      <c r="Y15" s="21"/>
      <c r="Z15" s="22"/>
    </row>
    <row r="16" spans="1:26" x14ac:dyDescent="0.15">
      <c r="A16" s="18"/>
      <c r="B16" s="25" t="s">
        <v>7</v>
      </c>
      <c r="C16" s="204">
        <v>0</v>
      </c>
      <c r="D16" s="31">
        <v>120000000</v>
      </c>
      <c r="E16" s="31">
        <v>120000000</v>
      </c>
      <c r="F16" s="31">
        <v>120000000</v>
      </c>
      <c r="G16" s="31">
        <v>120000000</v>
      </c>
      <c r="H16" s="31">
        <v>120000000</v>
      </c>
      <c r="I16" s="31">
        <v>120000000</v>
      </c>
      <c r="J16" s="31">
        <v>120000000</v>
      </c>
      <c r="K16" s="31">
        <v>120000000</v>
      </c>
      <c r="L16" s="31">
        <v>120000000</v>
      </c>
      <c r="M16" s="31">
        <v>120000000</v>
      </c>
      <c r="N16" s="31">
        <v>120000000</v>
      </c>
      <c r="O16" s="31">
        <v>120000000</v>
      </c>
      <c r="P16" s="31">
        <v>120000000</v>
      </c>
      <c r="Q16" s="31">
        <v>120000000</v>
      </c>
      <c r="R16" s="99">
        <v>120000000</v>
      </c>
      <c r="S16" s="51"/>
      <c r="T16" s="21"/>
      <c r="U16" s="21"/>
      <c r="V16" s="21"/>
      <c r="W16" s="21"/>
      <c r="X16" s="21"/>
      <c r="Y16" s="21"/>
      <c r="Z16" s="22"/>
    </row>
    <row r="17" spans="1:26" x14ac:dyDescent="0.15">
      <c r="A17" s="18"/>
      <c r="B17" s="56"/>
      <c r="C17" s="205"/>
      <c r="D17" s="206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4"/>
      <c r="S17" s="51"/>
      <c r="T17" s="21"/>
      <c r="U17" s="21"/>
      <c r="V17" s="21"/>
      <c r="W17" s="21"/>
      <c r="X17" s="21"/>
      <c r="Y17" s="21"/>
      <c r="Z17" s="22"/>
    </row>
    <row r="18" spans="1:26" x14ac:dyDescent="0.15">
      <c r="A18" s="18"/>
      <c r="B18" s="57" t="s">
        <v>8</v>
      </c>
      <c r="C18" s="207">
        <f t="shared" ref="C18:P18" si="7">C13-C15-C16</f>
        <v>0</v>
      </c>
      <c r="D18" s="103">
        <f t="shared" si="7"/>
        <v>-280000000</v>
      </c>
      <c r="E18" s="103">
        <f t="shared" si="7"/>
        <v>-288000000</v>
      </c>
      <c r="F18" s="103">
        <f t="shared" si="7"/>
        <v>-296400000</v>
      </c>
      <c r="G18" s="103">
        <f t="shared" si="7"/>
        <v>-305220000</v>
      </c>
      <c r="H18" s="103">
        <f t="shared" si="7"/>
        <v>-314481000</v>
      </c>
      <c r="I18" s="103">
        <f>I13-I15-I16</f>
        <v>-39205050</v>
      </c>
      <c r="J18" s="103">
        <f t="shared" si="7"/>
        <v>7584697.5</v>
      </c>
      <c r="K18" s="103">
        <f>K13-K15-K16</f>
        <v>65263932.375</v>
      </c>
      <c r="L18" s="103">
        <f t="shared" si="7"/>
        <v>136087128.99374998</v>
      </c>
      <c r="M18" s="103">
        <f t="shared" si="7"/>
        <v>284971485.44343746</v>
      </c>
      <c r="N18" s="103">
        <f t="shared" si="7"/>
        <v>403197659.71560931</v>
      </c>
      <c r="O18" s="103">
        <f>O13-O15-O16</f>
        <v>636510182.70138931</v>
      </c>
      <c r="P18" s="103">
        <f t="shared" si="7"/>
        <v>828860363.8364588</v>
      </c>
      <c r="Q18" s="103">
        <f>Q13-Q15-Q16</f>
        <v>1126230242.8282826</v>
      </c>
      <c r="R18" s="104">
        <f>R13-R15-R16</f>
        <v>1498128576.0896964</v>
      </c>
      <c r="S18" s="51"/>
      <c r="T18" s="21"/>
      <c r="U18" s="21"/>
      <c r="V18" s="21"/>
      <c r="W18" s="21"/>
      <c r="X18" s="21"/>
      <c r="Y18" s="21"/>
      <c r="Z18" s="22"/>
    </row>
    <row r="19" spans="1:26" x14ac:dyDescent="0.15">
      <c r="A19" s="18"/>
      <c r="B19" s="57" t="s">
        <v>9</v>
      </c>
      <c r="C19" s="208">
        <v>0</v>
      </c>
      <c r="D19" s="31">
        <v>5000000</v>
      </c>
      <c r="E19" s="31">
        <v>5000000</v>
      </c>
      <c r="F19" s="31">
        <v>5000000</v>
      </c>
      <c r="G19" s="31">
        <v>5000000</v>
      </c>
      <c r="H19" s="31">
        <v>5000000</v>
      </c>
      <c r="I19" s="31">
        <v>5000000</v>
      </c>
      <c r="J19" s="31">
        <v>5000000</v>
      </c>
      <c r="K19" s="31">
        <v>5000000</v>
      </c>
      <c r="L19" s="31">
        <v>5000000</v>
      </c>
      <c r="M19" s="31">
        <v>5000000</v>
      </c>
      <c r="N19" s="31">
        <v>5000000</v>
      </c>
      <c r="O19" s="31">
        <v>5000000</v>
      </c>
      <c r="P19" s="31">
        <v>5000000</v>
      </c>
      <c r="Q19" s="31">
        <v>5000000</v>
      </c>
      <c r="R19" s="99">
        <v>5000000</v>
      </c>
      <c r="S19" s="51"/>
      <c r="T19" s="21"/>
      <c r="U19" s="21"/>
      <c r="V19" s="21"/>
      <c r="W19" s="21"/>
      <c r="X19" s="21"/>
      <c r="Y19" s="21"/>
      <c r="Z19" s="22"/>
    </row>
    <row r="20" spans="1:26" x14ac:dyDescent="0.15">
      <c r="A20" s="18"/>
      <c r="B20" s="57" t="s">
        <v>10</v>
      </c>
      <c r="C20" s="208">
        <v>0</v>
      </c>
      <c r="D20" s="109">
        <f t="shared" ref="D20" si="8">MAX(0,(D18-D19)*$C$44)</f>
        <v>0</v>
      </c>
      <c r="E20" s="109">
        <f t="shared" ref="E20" si="9">MAX(0,(E18-E19)*$C$44)</f>
        <v>0</v>
      </c>
      <c r="F20" s="109">
        <f t="shared" ref="F20" si="10">MAX(0,(F18-F19)*$C$44)</f>
        <v>0</v>
      </c>
      <c r="G20" s="109">
        <f t="shared" ref="G20" si="11">MAX(0,(G18-G19)*$C$44)</f>
        <v>0</v>
      </c>
      <c r="H20" s="109">
        <f t="shared" ref="H20" si="12">MAX(0,(H18-H19)*$C$44)</f>
        <v>0</v>
      </c>
      <c r="I20" s="109">
        <f t="shared" ref="I20" si="13">MAX(0,(I18-I19)*$C$44)</f>
        <v>0</v>
      </c>
      <c r="J20" s="109">
        <f t="shared" ref="J20:R20" si="14">MAX(0,(J18-J19)*$C$44)</f>
        <v>646174.375</v>
      </c>
      <c r="K20" s="109">
        <f t="shared" si="14"/>
        <v>15065983.09375</v>
      </c>
      <c r="L20" s="109">
        <f t="shared" si="14"/>
        <v>32771782.248437494</v>
      </c>
      <c r="M20" s="109">
        <f t="shared" si="14"/>
        <v>69992871.360859364</v>
      </c>
      <c r="N20" s="109">
        <f t="shared" si="14"/>
        <v>99549414.928902328</v>
      </c>
      <c r="O20" s="109">
        <f t="shared" si="14"/>
        <v>157877545.67534733</v>
      </c>
      <c r="P20" s="109">
        <f t="shared" si="14"/>
        <v>205965090.9591147</v>
      </c>
      <c r="Q20" s="109">
        <f t="shared" si="14"/>
        <v>280307560.70707065</v>
      </c>
      <c r="R20" s="209">
        <f t="shared" si="14"/>
        <v>373282144.0224241</v>
      </c>
      <c r="S20" s="51"/>
      <c r="T20" s="21"/>
      <c r="U20" s="21"/>
      <c r="V20" s="21"/>
      <c r="W20" s="21"/>
      <c r="X20" s="21"/>
      <c r="Y20" s="21"/>
      <c r="Z20" s="22"/>
    </row>
    <row r="21" spans="1:26" x14ac:dyDescent="0.15">
      <c r="A21" s="18"/>
      <c r="B21" s="56"/>
      <c r="C21" s="205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4"/>
      <c r="S21" s="51"/>
      <c r="T21" s="21"/>
      <c r="U21" s="21"/>
      <c r="V21" s="21"/>
      <c r="W21" s="21"/>
      <c r="X21" s="21"/>
      <c r="Y21" s="21"/>
      <c r="Z21" s="22"/>
    </row>
    <row r="22" spans="1:26" x14ac:dyDescent="0.15">
      <c r="A22" s="18"/>
      <c r="B22" s="57" t="s">
        <v>11</v>
      </c>
      <c r="C22" s="208">
        <v>0</v>
      </c>
      <c r="D22" s="103">
        <v>0</v>
      </c>
      <c r="E22" s="103">
        <v>0</v>
      </c>
      <c r="F22" s="103">
        <v>0</v>
      </c>
      <c r="G22" s="103">
        <v>0</v>
      </c>
      <c r="H22" s="103">
        <v>0</v>
      </c>
      <c r="I22" s="103">
        <f>I7*($C$42)</f>
        <v>75000000</v>
      </c>
      <c r="J22" s="103">
        <f>J7*($C$42)</f>
        <v>90000000</v>
      </c>
      <c r="K22" s="103">
        <f t="shared" ref="K22:Q22" si="15">K7*($C$42)</f>
        <v>108000000</v>
      </c>
      <c r="L22" s="103">
        <f t="shared" si="15"/>
        <v>129600000</v>
      </c>
      <c r="M22" s="103">
        <f t="shared" si="15"/>
        <v>155520000</v>
      </c>
      <c r="N22" s="103">
        <f t="shared" si="15"/>
        <v>186624000</v>
      </c>
      <c r="O22" s="103">
        <f t="shared" si="15"/>
        <v>223948799.99999997</v>
      </c>
      <c r="P22" s="103">
        <f t="shared" si="15"/>
        <v>268738559.99999994</v>
      </c>
      <c r="Q22" s="103">
        <f t="shared" si="15"/>
        <v>322486272</v>
      </c>
      <c r="R22" s="104">
        <f>R7*($C$42)</f>
        <v>386983526.39999992</v>
      </c>
      <c r="S22" s="51"/>
      <c r="T22" s="21"/>
      <c r="U22" s="21"/>
      <c r="V22" s="21"/>
      <c r="W22" s="21"/>
      <c r="X22" s="21"/>
      <c r="Y22" s="21"/>
      <c r="Z22" s="22"/>
    </row>
    <row r="23" spans="1:26" x14ac:dyDescent="0.15">
      <c r="A23" s="18"/>
      <c r="B23" s="57" t="s">
        <v>12</v>
      </c>
      <c r="C23" s="208">
        <v>0</v>
      </c>
      <c r="D23" s="103">
        <v>0</v>
      </c>
      <c r="E23" s="109">
        <v>0</v>
      </c>
      <c r="F23" s="109">
        <v>0</v>
      </c>
      <c r="G23" s="109">
        <v>0</v>
      </c>
      <c r="H23" s="109">
        <v>0</v>
      </c>
      <c r="I23" s="109">
        <f>I22-H22</f>
        <v>75000000</v>
      </c>
      <c r="J23" s="109">
        <f t="shared" ref="J23:R23" si="16">J22-I22</f>
        <v>15000000</v>
      </c>
      <c r="K23" s="109">
        <f t="shared" si="16"/>
        <v>18000000</v>
      </c>
      <c r="L23" s="109">
        <f t="shared" si="16"/>
        <v>21600000</v>
      </c>
      <c r="M23" s="109">
        <f t="shared" si="16"/>
        <v>25920000</v>
      </c>
      <c r="N23" s="109">
        <f t="shared" si="16"/>
        <v>31104000</v>
      </c>
      <c r="O23" s="109">
        <f t="shared" si="16"/>
        <v>37324799.99999997</v>
      </c>
      <c r="P23" s="109">
        <f t="shared" si="16"/>
        <v>44789759.99999997</v>
      </c>
      <c r="Q23" s="109">
        <f t="shared" si="16"/>
        <v>53747712.00000006</v>
      </c>
      <c r="R23" s="209">
        <f t="shared" si="16"/>
        <v>64497254.399999917</v>
      </c>
      <c r="S23" s="51"/>
      <c r="T23" s="21"/>
      <c r="U23" s="21"/>
      <c r="V23" s="21"/>
      <c r="W23" s="21"/>
      <c r="X23" s="21"/>
      <c r="Y23" s="21"/>
      <c r="Z23" s="22"/>
    </row>
    <row r="24" spans="1:26" x14ac:dyDescent="0.15">
      <c r="A24" s="18"/>
      <c r="B24" s="57" t="s">
        <v>13</v>
      </c>
      <c r="C24" s="210">
        <v>0</v>
      </c>
      <c r="D24" s="211">
        <v>20000000</v>
      </c>
      <c r="E24" s="31">
        <v>20000000</v>
      </c>
      <c r="F24" s="31">
        <v>20000000</v>
      </c>
      <c r="G24" s="31">
        <v>20000000</v>
      </c>
      <c r="H24" s="31">
        <v>20000000</v>
      </c>
      <c r="I24" s="31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4">
        <v>0</v>
      </c>
      <c r="S24" s="51"/>
      <c r="T24" s="21"/>
      <c r="U24" s="21"/>
      <c r="V24" s="21"/>
      <c r="W24" s="21"/>
      <c r="X24" s="21"/>
      <c r="Y24" s="21"/>
      <c r="Z24" s="22"/>
    </row>
    <row r="25" spans="1:26" x14ac:dyDescent="0.15">
      <c r="A25" s="18"/>
      <c r="B25" s="56"/>
      <c r="C25" s="205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4"/>
      <c r="S25" s="51"/>
      <c r="T25" s="21"/>
      <c r="U25" s="21"/>
      <c r="V25" s="21"/>
      <c r="W25" s="21"/>
      <c r="X25" s="21"/>
      <c r="Y25" s="21"/>
      <c r="Z25" s="22"/>
    </row>
    <row r="26" spans="1:26" x14ac:dyDescent="0.15">
      <c r="A26" s="18"/>
      <c r="B26" s="57" t="s">
        <v>14</v>
      </c>
      <c r="C26" s="208">
        <v>0</v>
      </c>
      <c r="D26" s="212">
        <f>D18+D19-D20-D23-D24</f>
        <v>-295000000</v>
      </c>
      <c r="E26" s="212">
        <f t="shared" ref="E26:R26" si="17">E18+E19-E20-E23-E24</f>
        <v>-303000000</v>
      </c>
      <c r="F26" s="212">
        <f t="shared" si="17"/>
        <v>-311400000</v>
      </c>
      <c r="G26" s="212">
        <f t="shared" si="17"/>
        <v>-320220000</v>
      </c>
      <c r="H26" s="212">
        <f t="shared" si="17"/>
        <v>-329481000</v>
      </c>
      <c r="I26" s="212">
        <f t="shared" si="17"/>
        <v>-109205050</v>
      </c>
      <c r="J26" s="212">
        <f t="shared" si="17"/>
        <v>-3061476.875</v>
      </c>
      <c r="K26" s="212">
        <f t="shared" si="17"/>
        <v>37197949.28125</v>
      </c>
      <c r="L26" s="212">
        <f t="shared" si="17"/>
        <v>86715346.745312482</v>
      </c>
      <c r="M26" s="212">
        <f t="shared" si="17"/>
        <v>194058614.08257809</v>
      </c>
      <c r="N26" s="212">
        <f t="shared" si="17"/>
        <v>277544244.78670698</v>
      </c>
      <c r="O26" s="212">
        <f t="shared" si="17"/>
        <v>446307837.02604198</v>
      </c>
      <c r="P26" s="212">
        <f t="shared" si="17"/>
        <v>583105512.87734413</v>
      </c>
      <c r="Q26" s="212">
        <f t="shared" si="17"/>
        <v>797174970.12121201</v>
      </c>
      <c r="R26" s="217">
        <f t="shared" si="17"/>
        <v>1065349177.6672723</v>
      </c>
      <c r="S26" s="51"/>
      <c r="T26" s="21"/>
      <c r="U26" s="21"/>
      <c r="V26" s="21"/>
      <c r="W26" s="21"/>
      <c r="X26" s="21"/>
      <c r="Y26" s="21"/>
      <c r="Z26" s="22"/>
    </row>
    <row r="27" spans="1:26" x14ac:dyDescent="0.15">
      <c r="A27" s="18"/>
      <c r="B27" s="58" t="s">
        <v>15</v>
      </c>
      <c r="C27" s="213">
        <v>0</v>
      </c>
      <c r="D27" s="214">
        <f t="shared" ref="D27:Q27" si="18">C27+D26</f>
        <v>-295000000</v>
      </c>
      <c r="E27" s="214">
        <f t="shared" si="18"/>
        <v>-598000000</v>
      </c>
      <c r="F27" s="214">
        <f t="shared" si="18"/>
        <v>-909400000</v>
      </c>
      <c r="G27" s="214">
        <f t="shared" si="18"/>
        <v>-1229620000</v>
      </c>
      <c r="H27" s="214">
        <f t="shared" si="18"/>
        <v>-1559101000</v>
      </c>
      <c r="I27" s="214">
        <f t="shared" si="18"/>
        <v>-1668306050</v>
      </c>
      <c r="J27" s="215">
        <f t="shared" si="18"/>
        <v>-1671367526.875</v>
      </c>
      <c r="K27" s="214">
        <f t="shared" si="18"/>
        <v>-1634169577.59375</v>
      </c>
      <c r="L27" s="214">
        <f t="shared" si="18"/>
        <v>-1547454230.8484375</v>
      </c>
      <c r="M27" s="214">
        <f t="shared" si="18"/>
        <v>-1353395616.7658594</v>
      </c>
      <c r="N27" s="215">
        <f t="shared" si="18"/>
        <v>-1075851371.9791524</v>
      </c>
      <c r="O27" s="214">
        <f t="shared" si="18"/>
        <v>-629543534.95311046</v>
      </c>
      <c r="P27" s="214">
        <f t="shared" si="18"/>
        <v>-46438022.075766325</v>
      </c>
      <c r="Q27" s="214">
        <f t="shared" si="18"/>
        <v>750736948.04544568</v>
      </c>
      <c r="R27" s="216">
        <f>Q27+R26</f>
        <v>1816086125.712718</v>
      </c>
      <c r="S27" s="51"/>
      <c r="T27" s="21"/>
      <c r="U27" s="21"/>
      <c r="V27" s="21"/>
      <c r="W27" s="21"/>
      <c r="X27" s="21"/>
      <c r="Y27" s="21"/>
      <c r="Z27" s="22"/>
    </row>
    <row r="28" spans="1:26" x14ac:dyDescent="0.15">
      <c r="A28" s="36"/>
      <c r="B28" s="37"/>
      <c r="C28" s="59"/>
      <c r="D28" s="59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21"/>
      <c r="T28" s="21"/>
      <c r="U28" s="21"/>
      <c r="V28" s="21"/>
      <c r="W28" s="21"/>
      <c r="X28" s="21"/>
      <c r="Y28" s="21"/>
      <c r="Z28" s="22"/>
    </row>
    <row r="29" spans="1:26" ht="18" customHeight="1" x14ac:dyDescent="0.15">
      <c r="A29" s="138"/>
      <c r="B29" s="143" t="s">
        <v>37</v>
      </c>
      <c r="C29" s="140"/>
      <c r="D29" s="85"/>
      <c r="E29" s="142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21"/>
      <c r="T29" s="21"/>
      <c r="U29" s="21"/>
      <c r="V29" s="21"/>
      <c r="W29" s="21"/>
      <c r="X29" s="21"/>
      <c r="Y29" s="21"/>
      <c r="Z29" s="22"/>
    </row>
    <row r="30" spans="1:26" x14ac:dyDescent="0.15">
      <c r="A30" s="18"/>
      <c r="B30" s="21" t="s">
        <v>16</v>
      </c>
      <c r="C30" s="21"/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2"/>
    </row>
    <row r="31" spans="1:26" x14ac:dyDescent="0.15">
      <c r="A31" s="18"/>
      <c r="B31" s="251" t="s">
        <v>17</v>
      </c>
      <c r="C31" s="252"/>
      <c r="D31" s="4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2"/>
    </row>
    <row r="32" spans="1:26" x14ac:dyDescent="0.15">
      <c r="A32" s="18"/>
      <c r="B32" s="37" t="s">
        <v>18</v>
      </c>
      <c r="C32" s="37"/>
      <c r="D32" s="42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2"/>
    </row>
    <row r="33" spans="1:26" x14ac:dyDescent="0.15">
      <c r="A33" s="18"/>
      <c r="B33" s="21" t="s">
        <v>19</v>
      </c>
      <c r="C33" s="43">
        <f>20000*75%</f>
        <v>15000</v>
      </c>
      <c r="D33" s="22" t="s">
        <v>20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2"/>
    </row>
    <row r="34" spans="1:26" x14ac:dyDescent="0.15">
      <c r="A34" s="18"/>
      <c r="B34" s="21" t="s">
        <v>21</v>
      </c>
      <c r="C34" s="44">
        <v>0.2</v>
      </c>
      <c r="D34" s="22"/>
      <c r="E34" s="21"/>
      <c r="F34" s="21"/>
      <c r="G34" s="21"/>
      <c r="H34" s="21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21"/>
      <c r="T34" s="21"/>
      <c r="U34" s="21"/>
      <c r="V34" s="21"/>
      <c r="W34" s="21"/>
      <c r="X34" s="21"/>
      <c r="Y34" s="21"/>
      <c r="Z34" s="22"/>
    </row>
    <row r="35" spans="1:26" x14ac:dyDescent="0.15">
      <c r="A35" s="18"/>
      <c r="B35" s="21" t="s">
        <v>22</v>
      </c>
      <c r="C35" s="45">
        <v>100000</v>
      </c>
      <c r="D35" s="22"/>
      <c r="E35" s="21"/>
      <c r="F35" s="21"/>
      <c r="G35" s="21"/>
      <c r="H35" s="22"/>
      <c r="I35" s="37">
        <v>2030</v>
      </c>
      <c r="J35" s="37">
        <v>2031</v>
      </c>
      <c r="K35" s="37">
        <v>2032</v>
      </c>
      <c r="L35" s="37">
        <v>2033</v>
      </c>
      <c r="M35" s="37">
        <v>2034</v>
      </c>
      <c r="N35" s="37">
        <v>2035</v>
      </c>
      <c r="O35" s="37">
        <v>2036</v>
      </c>
      <c r="P35" s="37">
        <v>2037</v>
      </c>
      <c r="Q35" s="37">
        <v>2038</v>
      </c>
      <c r="R35" s="42">
        <v>2039</v>
      </c>
      <c r="S35" s="21"/>
      <c r="T35" s="21"/>
      <c r="U35" s="21"/>
      <c r="V35" s="21"/>
      <c r="W35" s="21"/>
      <c r="X35" s="21"/>
      <c r="Y35" s="21"/>
      <c r="Z35" s="22"/>
    </row>
    <row r="36" spans="1:26" x14ac:dyDescent="0.15">
      <c r="A36" s="18"/>
      <c r="B36" s="21" t="s">
        <v>23</v>
      </c>
      <c r="C36" s="21"/>
      <c r="D36" s="22"/>
      <c r="E36" s="21"/>
      <c r="F36" s="21"/>
      <c r="G36" s="21"/>
      <c r="H36" s="22"/>
      <c r="I36" s="34">
        <v>80000</v>
      </c>
      <c r="J36" s="34">
        <v>80000</v>
      </c>
      <c r="K36" s="34">
        <v>80000</v>
      </c>
      <c r="L36" s="34">
        <v>80000</v>
      </c>
      <c r="M36" s="34">
        <v>78000</v>
      </c>
      <c r="N36" s="34">
        <v>78000</v>
      </c>
      <c r="O36" s="34">
        <v>76000</v>
      </c>
      <c r="P36" s="34">
        <v>76000</v>
      </c>
      <c r="Q36" s="34">
        <v>75000</v>
      </c>
      <c r="R36" s="35">
        <v>74000</v>
      </c>
      <c r="S36" s="21"/>
      <c r="T36" s="21"/>
      <c r="U36" s="21"/>
      <c r="V36" s="21"/>
      <c r="W36" s="21"/>
      <c r="X36" s="21"/>
      <c r="Y36" s="21"/>
      <c r="Z36" s="22"/>
    </row>
    <row r="37" spans="1:26" x14ac:dyDescent="0.15">
      <c r="A37" s="18"/>
      <c r="B37" s="21" t="s">
        <v>24</v>
      </c>
      <c r="C37" s="45">
        <v>1000</v>
      </c>
      <c r="D37" s="22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2"/>
    </row>
    <row r="38" spans="1:26" x14ac:dyDescent="0.15">
      <c r="A38" s="18"/>
      <c r="B38" s="21" t="s">
        <v>25</v>
      </c>
      <c r="C38" s="45">
        <v>160000000</v>
      </c>
      <c r="D38" s="22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2"/>
    </row>
    <row r="39" spans="1:26" x14ac:dyDescent="0.15">
      <c r="A39" s="18"/>
      <c r="B39" s="21" t="s">
        <v>26</v>
      </c>
      <c r="C39" s="44">
        <v>0.05</v>
      </c>
      <c r="D39" s="22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2"/>
    </row>
    <row r="40" spans="1:26" x14ac:dyDescent="0.15">
      <c r="A40" s="18"/>
      <c r="B40" s="21" t="s">
        <v>9</v>
      </c>
      <c r="C40" s="45">
        <v>5000000</v>
      </c>
      <c r="D40" s="22" t="s">
        <v>27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2"/>
    </row>
    <row r="41" spans="1:26" x14ac:dyDescent="0.15">
      <c r="A41" s="18"/>
      <c r="B41" s="21" t="s">
        <v>7</v>
      </c>
      <c r="C41" s="45">
        <v>120000000</v>
      </c>
      <c r="D41" s="22" t="s">
        <v>27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2"/>
    </row>
    <row r="42" spans="1:26" x14ac:dyDescent="0.15">
      <c r="A42" s="18"/>
      <c r="B42" s="21" t="s">
        <v>28</v>
      </c>
      <c r="C42" s="44">
        <v>0.05</v>
      </c>
      <c r="D42" s="22" t="s">
        <v>29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2"/>
    </row>
    <row r="43" spans="1:26" x14ac:dyDescent="0.15">
      <c r="A43" s="18"/>
      <c r="B43" s="21" t="s">
        <v>13</v>
      </c>
      <c r="C43" s="45">
        <v>20000000</v>
      </c>
      <c r="D43" s="22" t="s">
        <v>27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2"/>
    </row>
    <row r="44" spans="1:26" x14ac:dyDescent="0.15">
      <c r="A44" s="18"/>
      <c r="B44" s="21" t="s">
        <v>30</v>
      </c>
      <c r="C44" s="44">
        <v>0.25</v>
      </c>
      <c r="D44" s="22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2"/>
    </row>
    <row r="45" spans="1:26" x14ac:dyDescent="0.15">
      <c r="A45" s="18"/>
      <c r="B45" s="37" t="s">
        <v>31</v>
      </c>
      <c r="C45" s="46">
        <v>0.15</v>
      </c>
      <c r="D45" s="42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2"/>
    </row>
    <row r="46" spans="1:26" x14ac:dyDescent="0.15">
      <c r="A46" s="36"/>
      <c r="B46" s="37"/>
      <c r="C46" s="37"/>
      <c r="D46" s="37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2"/>
    </row>
    <row r="47" spans="1:26" x14ac:dyDescent="0.15">
      <c r="A47" s="18"/>
      <c r="B47" s="37" t="s">
        <v>32</v>
      </c>
      <c r="C47" s="47">
        <f>NPV($C$45,D26:R26)+C26</f>
        <v>-519431370.54200464</v>
      </c>
      <c r="D47" s="42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2"/>
    </row>
    <row r="48" spans="1:26" x14ac:dyDescent="0.15">
      <c r="A48" s="36"/>
      <c r="B48" s="21"/>
      <c r="C48" s="45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2"/>
    </row>
    <row r="49" spans="1:26" x14ac:dyDescent="0.15">
      <c r="A49" s="36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2"/>
    </row>
    <row r="50" spans="1:26" x14ac:dyDescent="0.15">
      <c r="A50" s="36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2"/>
    </row>
    <row r="51" spans="1:26" x14ac:dyDescent="0.15">
      <c r="A51" s="36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2"/>
    </row>
    <row r="52" spans="1:26" x14ac:dyDescent="0.15">
      <c r="A52" s="36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2"/>
    </row>
    <row r="53" spans="1:26" x14ac:dyDescent="0.15">
      <c r="A53" s="36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2"/>
    </row>
    <row r="54" spans="1:26" x14ac:dyDescent="0.15">
      <c r="A54" s="36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2"/>
    </row>
    <row r="55" spans="1:26" x14ac:dyDescent="0.15">
      <c r="A55" s="36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2"/>
    </row>
    <row r="56" spans="1:26" x14ac:dyDescent="0.15">
      <c r="A56" s="36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2"/>
    </row>
    <row r="57" spans="1:26" x14ac:dyDescent="0.15">
      <c r="A57" s="36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2"/>
    </row>
    <row r="58" spans="1:26" x14ac:dyDescent="0.15">
      <c r="A58" s="36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2"/>
    </row>
    <row r="59" spans="1:26" x14ac:dyDescent="0.15">
      <c r="A59" s="36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2"/>
    </row>
    <row r="60" spans="1:26" x14ac:dyDescent="0.15">
      <c r="A60" s="36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2"/>
    </row>
    <row r="61" spans="1:26" x14ac:dyDescent="0.15">
      <c r="A61" s="36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2"/>
    </row>
    <row r="62" spans="1:26" x14ac:dyDescent="0.15">
      <c r="A62" s="36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2"/>
    </row>
    <row r="63" spans="1:26" x14ac:dyDescent="0.15">
      <c r="A63" s="36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2"/>
    </row>
    <row r="64" spans="1:26" x14ac:dyDescent="0.15">
      <c r="A64" s="36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2"/>
    </row>
    <row r="65" spans="1:26" x14ac:dyDescent="0.15">
      <c r="A65" s="36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2"/>
    </row>
    <row r="66" spans="1:26" x14ac:dyDescent="0.15">
      <c r="A66" s="36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2"/>
    </row>
    <row r="67" spans="1:26" x14ac:dyDescent="0.15">
      <c r="A67" s="36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2"/>
    </row>
    <row r="68" spans="1:26" x14ac:dyDescent="0.15">
      <c r="A68" s="36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2"/>
    </row>
    <row r="69" spans="1:26" x14ac:dyDescent="0.15">
      <c r="A69" s="36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2"/>
    </row>
    <row r="70" spans="1:26" x14ac:dyDescent="0.15">
      <c r="A70" s="36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2"/>
    </row>
    <row r="71" spans="1:26" x14ac:dyDescent="0.15">
      <c r="A71" s="36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2"/>
    </row>
    <row r="72" spans="1:26" x14ac:dyDescent="0.15">
      <c r="A72" s="36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2"/>
    </row>
    <row r="73" spans="1:26" x14ac:dyDescent="0.15">
      <c r="A73" s="36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2"/>
    </row>
    <row r="74" spans="1:26" x14ac:dyDescent="0.15">
      <c r="A74" s="36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2"/>
    </row>
    <row r="75" spans="1:26" x14ac:dyDescent="0.15">
      <c r="A75" s="36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2"/>
    </row>
    <row r="76" spans="1:26" x14ac:dyDescent="0.15">
      <c r="A76" s="36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2"/>
    </row>
    <row r="77" spans="1:26" x14ac:dyDescent="0.15">
      <c r="A77" s="36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2"/>
    </row>
    <row r="78" spans="1:26" x14ac:dyDescent="0.15">
      <c r="A78" s="36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2"/>
    </row>
    <row r="79" spans="1:26" x14ac:dyDescent="0.15">
      <c r="A79" s="36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2"/>
    </row>
    <row r="80" spans="1:26" x14ac:dyDescent="0.15">
      <c r="A80" s="36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2"/>
    </row>
    <row r="81" spans="1:26" x14ac:dyDescent="0.15">
      <c r="A81" s="36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2"/>
    </row>
    <row r="82" spans="1:26" x14ac:dyDescent="0.15">
      <c r="A82" s="36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2"/>
    </row>
    <row r="83" spans="1:26" x14ac:dyDescent="0.15">
      <c r="A83" s="36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2"/>
    </row>
    <row r="84" spans="1:26" x14ac:dyDescent="0.15">
      <c r="A84" s="36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2"/>
    </row>
    <row r="85" spans="1:26" x14ac:dyDescent="0.15">
      <c r="A85" s="36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2"/>
    </row>
    <row r="86" spans="1:26" x14ac:dyDescent="0.15">
      <c r="A86" s="36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2"/>
    </row>
    <row r="87" spans="1:26" x14ac:dyDescent="0.15">
      <c r="A87" s="36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2"/>
    </row>
    <row r="88" spans="1:26" x14ac:dyDescent="0.15">
      <c r="A88" s="36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2"/>
    </row>
    <row r="89" spans="1:26" x14ac:dyDescent="0.15">
      <c r="A89" s="36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2"/>
    </row>
    <row r="90" spans="1:26" x14ac:dyDescent="0.15">
      <c r="A90" s="36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2"/>
    </row>
    <row r="91" spans="1:26" x14ac:dyDescent="0.15">
      <c r="A91" s="36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2"/>
    </row>
    <row r="92" spans="1:26" x14ac:dyDescent="0.15">
      <c r="A92" s="36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2"/>
    </row>
    <row r="93" spans="1:26" x14ac:dyDescent="0.15">
      <c r="A93" s="36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2"/>
    </row>
    <row r="94" spans="1:26" x14ac:dyDescent="0.15">
      <c r="A94" s="36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2"/>
    </row>
    <row r="95" spans="1:26" x14ac:dyDescent="0.15">
      <c r="A95" s="36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2"/>
    </row>
    <row r="96" spans="1:26" x14ac:dyDescent="0.15">
      <c r="A96" s="36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2"/>
    </row>
    <row r="97" spans="1:26" x14ac:dyDescent="0.15">
      <c r="A97" s="36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2"/>
    </row>
    <row r="98" spans="1:26" x14ac:dyDescent="0.15">
      <c r="A98" s="36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2"/>
    </row>
    <row r="99" spans="1:26" x14ac:dyDescent="0.15">
      <c r="A99" s="36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2"/>
    </row>
    <row r="100" spans="1:26" x14ac:dyDescent="0.15">
      <c r="A100" s="36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2"/>
    </row>
    <row r="101" spans="1:26" x14ac:dyDescent="0.15">
      <c r="A101" s="36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2"/>
    </row>
    <row r="102" spans="1:26" x14ac:dyDescent="0.15">
      <c r="A102" s="36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2"/>
    </row>
    <row r="103" spans="1:26" x14ac:dyDescent="0.15">
      <c r="A103" s="36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2"/>
    </row>
    <row r="104" spans="1:26" x14ac:dyDescent="0.15">
      <c r="A104" s="36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2"/>
    </row>
    <row r="105" spans="1:26" x14ac:dyDescent="0.15">
      <c r="A105" s="36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2"/>
    </row>
    <row r="106" spans="1:26" x14ac:dyDescent="0.15">
      <c r="A106" s="36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2"/>
    </row>
    <row r="107" spans="1:26" x14ac:dyDescent="0.15">
      <c r="A107" s="36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2"/>
    </row>
    <row r="108" spans="1:26" x14ac:dyDescent="0.15">
      <c r="A108" s="36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2"/>
    </row>
    <row r="109" spans="1:26" x14ac:dyDescent="0.15">
      <c r="A109" s="36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2"/>
    </row>
    <row r="110" spans="1:26" x14ac:dyDescent="0.15">
      <c r="A110" s="36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2"/>
    </row>
    <row r="111" spans="1:26" x14ac:dyDescent="0.15">
      <c r="A111" s="36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2"/>
    </row>
    <row r="112" spans="1:26" x14ac:dyDescent="0.15">
      <c r="A112" s="36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2"/>
    </row>
    <row r="113" spans="1:26" x14ac:dyDescent="0.15">
      <c r="A113" s="36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2"/>
    </row>
    <row r="114" spans="1:26" x14ac:dyDescent="0.15">
      <c r="A114" s="36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2"/>
    </row>
    <row r="115" spans="1:26" x14ac:dyDescent="0.15">
      <c r="A115" s="36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2"/>
    </row>
    <row r="116" spans="1:26" x14ac:dyDescent="0.15">
      <c r="A116" s="36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2"/>
    </row>
    <row r="117" spans="1:26" x14ac:dyDescent="0.15">
      <c r="A117" s="36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2"/>
    </row>
    <row r="118" spans="1:26" x14ac:dyDescent="0.15">
      <c r="A118" s="36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2"/>
    </row>
    <row r="119" spans="1:26" x14ac:dyDescent="0.15">
      <c r="A119" s="36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2"/>
    </row>
    <row r="120" spans="1:26" x14ac:dyDescent="0.15">
      <c r="A120" s="36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2"/>
    </row>
    <row r="121" spans="1:26" x14ac:dyDescent="0.15">
      <c r="A121" s="36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2"/>
    </row>
    <row r="122" spans="1:26" x14ac:dyDescent="0.15">
      <c r="A122" s="36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2"/>
    </row>
    <row r="123" spans="1:26" x14ac:dyDescent="0.15">
      <c r="A123" s="36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2"/>
    </row>
    <row r="124" spans="1:26" x14ac:dyDescent="0.15">
      <c r="A124" s="36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2"/>
    </row>
    <row r="125" spans="1:26" x14ac:dyDescent="0.15">
      <c r="A125" s="36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2"/>
    </row>
    <row r="126" spans="1:26" x14ac:dyDescent="0.15">
      <c r="A126" s="36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2"/>
    </row>
    <row r="127" spans="1:26" x14ac:dyDescent="0.15">
      <c r="A127" s="36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2"/>
    </row>
    <row r="128" spans="1:26" x14ac:dyDescent="0.15">
      <c r="A128" s="36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2"/>
    </row>
    <row r="129" spans="1:26" x14ac:dyDescent="0.15">
      <c r="A129" s="36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2"/>
    </row>
    <row r="130" spans="1:26" x14ac:dyDescent="0.15">
      <c r="A130" s="36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2"/>
    </row>
    <row r="131" spans="1:26" x14ac:dyDescent="0.15">
      <c r="A131" s="36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2"/>
    </row>
    <row r="132" spans="1:26" x14ac:dyDescent="0.15">
      <c r="A132" s="36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2"/>
    </row>
    <row r="133" spans="1:26" x14ac:dyDescent="0.15">
      <c r="A133" s="36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2"/>
    </row>
    <row r="134" spans="1:26" x14ac:dyDescent="0.15">
      <c r="A134" s="36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2"/>
    </row>
    <row r="135" spans="1:26" x14ac:dyDescent="0.15">
      <c r="A135" s="36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2"/>
    </row>
    <row r="136" spans="1:26" x14ac:dyDescent="0.15">
      <c r="A136" s="36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2"/>
    </row>
    <row r="137" spans="1:26" x14ac:dyDescent="0.15">
      <c r="A137" s="36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2"/>
    </row>
    <row r="138" spans="1:26" x14ac:dyDescent="0.15">
      <c r="A138" s="36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2"/>
    </row>
    <row r="139" spans="1:26" x14ac:dyDescent="0.15">
      <c r="A139" s="36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2"/>
    </row>
    <row r="140" spans="1:26" x14ac:dyDescent="0.15">
      <c r="A140" s="36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2"/>
    </row>
    <row r="141" spans="1:26" x14ac:dyDescent="0.15">
      <c r="A141" s="36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2"/>
    </row>
    <row r="142" spans="1:26" x14ac:dyDescent="0.15">
      <c r="A142" s="36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2"/>
    </row>
    <row r="143" spans="1:26" x14ac:dyDescent="0.15">
      <c r="A143" s="36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2"/>
    </row>
    <row r="144" spans="1:26" x14ac:dyDescent="0.15">
      <c r="A144" s="36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2"/>
    </row>
    <row r="145" spans="1:26" x14ac:dyDescent="0.15">
      <c r="A145" s="36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2"/>
    </row>
    <row r="146" spans="1:26" x14ac:dyDescent="0.15">
      <c r="A146" s="36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2"/>
    </row>
    <row r="147" spans="1:26" x14ac:dyDescent="0.15">
      <c r="A147" s="36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2"/>
    </row>
    <row r="148" spans="1:26" x14ac:dyDescent="0.15">
      <c r="A148" s="36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2"/>
    </row>
    <row r="149" spans="1:26" x14ac:dyDescent="0.15">
      <c r="A149" s="36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2"/>
    </row>
    <row r="150" spans="1:26" x14ac:dyDescent="0.15">
      <c r="A150" s="36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2"/>
    </row>
    <row r="151" spans="1:26" x14ac:dyDescent="0.15">
      <c r="A151" s="36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2"/>
    </row>
    <row r="152" spans="1:26" x14ac:dyDescent="0.15">
      <c r="A152" s="36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2"/>
    </row>
    <row r="153" spans="1:26" x14ac:dyDescent="0.15">
      <c r="A153" s="36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2"/>
    </row>
    <row r="154" spans="1:26" x14ac:dyDescent="0.15">
      <c r="A154" s="36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2"/>
    </row>
    <row r="155" spans="1:26" x14ac:dyDescent="0.15">
      <c r="A155" s="36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2"/>
    </row>
    <row r="156" spans="1:26" x14ac:dyDescent="0.15">
      <c r="A156" s="36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2"/>
    </row>
    <row r="157" spans="1:26" x14ac:dyDescent="0.15">
      <c r="A157" s="36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2"/>
    </row>
    <row r="158" spans="1:26" x14ac:dyDescent="0.15">
      <c r="A158" s="36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2"/>
    </row>
    <row r="159" spans="1:26" x14ac:dyDescent="0.15">
      <c r="A159" s="36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2"/>
    </row>
    <row r="160" spans="1:26" x14ac:dyDescent="0.15">
      <c r="A160" s="36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2"/>
    </row>
    <row r="161" spans="1:26" x14ac:dyDescent="0.15">
      <c r="A161" s="36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2"/>
    </row>
    <row r="162" spans="1:26" x14ac:dyDescent="0.15">
      <c r="A162" s="36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2"/>
    </row>
    <row r="163" spans="1:26" x14ac:dyDescent="0.15">
      <c r="A163" s="36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2"/>
    </row>
    <row r="164" spans="1:26" x14ac:dyDescent="0.15">
      <c r="A164" s="36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2"/>
    </row>
    <row r="165" spans="1:26" x14ac:dyDescent="0.15">
      <c r="A165" s="36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2"/>
    </row>
    <row r="166" spans="1:26" x14ac:dyDescent="0.15">
      <c r="A166" s="36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2"/>
    </row>
    <row r="167" spans="1:26" x14ac:dyDescent="0.15">
      <c r="A167" s="36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2"/>
    </row>
    <row r="168" spans="1:26" x14ac:dyDescent="0.15">
      <c r="A168" s="36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2"/>
    </row>
    <row r="169" spans="1:26" x14ac:dyDescent="0.15">
      <c r="A169" s="36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2"/>
    </row>
    <row r="170" spans="1:26" x14ac:dyDescent="0.15">
      <c r="A170" s="36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2"/>
    </row>
    <row r="171" spans="1:26" x14ac:dyDescent="0.15">
      <c r="A171" s="36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2"/>
    </row>
    <row r="172" spans="1:26" x14ac:dyDescent="0.15">
      <c r="A172" s="36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2"/>
    </row>
    <row r="173" spans="1:26" x14ac:dyDescent="0.15">
      <c r="A173" s="36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2"/>
    </row>
    <row r="174" spans="1:26" x14ac:dyDescent="0.15">
      <c r="A174" s="36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2"/>
    </row>
    <row r="175" spans="1:26" x14ac:dyDescent="0.15">
      <c r="A175" s="36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2"/>
    </row>
    <row r="176" spans="1:26" x14ac:dyDescent="0.15">
      <c r="A176" s="36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2"/>
    </row>
    <row r="177" spans="1:26" x14ac:dyDescent="0.15">
      <c r="A177" s="36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2"/>
    </row>
    <row r="178" spans="1:26" x14ac:dyDescent="0.15">
      <c r="A178" s="36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2"/>
    </row>
    <row r="179" spans="1:26" x14ac:dyDescent="0.15">
      <c r="A179" s="36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2"/>
    </row>
    <row r="180" spans="1:26" x14ac:dyDescent="0.15">
      <c r="A180" s="36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2"/>
    </row>
    <row r="181" spans="1:26" x14ac:dyDescent="0.15">
      <c r="A181" s="36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2"/>
    </row>
    <row r="182" spans="1:26" x14ac:dyDescent="0.15">
      <c r="A182" s="36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2"/>
    </row>
    <row r="183" spans="1:26" x14ac:dyDescent="0.15">
      <c r="A183" s="36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2"/>
    </row>
    <row r="184" spans="1:26" x14ac:dyDescent="0.15">
      <c r="A184" s="36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2"/>
    </row>
    <row r="185" spans="1:26" x14ac:dyDescent="0.15">
      <c r="A185" s="36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2"/>
    </row>
    <row r="186" spans="1:26" x14ac:dyDescent="0.15">
      <c r="A186" s="36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2"/>
    </row>
    <row r="187" spans="1:26" x14ac:dyDescent="0.15">
      <c r="A187" s="36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2"/>
    </row>
    <row r="188" spans="1:26" x14ac:dyDescent="0.15">
      <c r="A188" s="36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2"/>
    </row>
    <row r="189" spans="1:26" x14ac:dyDescent="0.15">
      <c r="A189" s="36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2"/>
    </row>
    <row r="190" spans="1:26" x14ac:dyDescent="0.15">
      <c r="A190" s="36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2"/>
    </row>
    <row r="191" spans="1:26" x14ac:dyDescent="0.15">
      <c r="A191" s="36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2"/>
    </row>
    <row r="192" spans="1:26" x14ac:dyDescent="0.15">
      <c r="A192" s="36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2"/>
    </row>
    <row r="193" spans="1:26" x14ac:dyDescent="0.15">
      <c r="A193" s="36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2"/>
    </row>
    <row r="194" spans="1:26" x14ac:dyDescent="0.15">
      <c r="A194" s="36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2"/>
    </row>
    <row r="195" spans="1:26" x14ac:dyDescent="0.15">
      <c r="A195" s="36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2"/>
    </row>
    <row r="196" spans="1:26" x14ac:dyDescent="0.15">
      <c r="A196" s="36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2"/>
    </row>
    <row r="197" spans="1:26" x14ac:dyDescent="0.15">
      <c r="A197" s="36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2"/>
    </row>
    <row r="198" spans="1:26" x14ac:dyDescent="0.15">
      <c r="A198" s="36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2"/>
    </row>
    <row r="199" spans="1:26" x14ac:dyDescent="0.15">
      <c r="A199" s="36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2"/>
    </row>
    <row r="200" spans="1:26" x14ac:dyDescent="0.15">
      <c r="A200" s="36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2"/>
    </row>
    <row r="201" spans="1:26" x14ac:dyDescent="0.15">
      <c r="A201" s="36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2"/>
    </row>
    <row r="202" spans="1:26" x14ac:dyDescent="0.15">
      <c r="A202" s="36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2"/>
    </row>
    <row r="203" spans="1:26" x14ac:dyDescent="0.15">
      <c r="A203" s="36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2"/>
    </row>
    <row r="204" spans="1:26" x14ac:dyDescent="0.15">
      <c r="A204" s="36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2"/>
    </row>
    <row r="205" spans="1:26" x14ac:dyDescent="0.15">
      <c r="A205" s="36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2"/>
    </row>
    <row r="206" spans="1:26" x14ac:dyDescent="0.15">
      <c r="A206" s="36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2"/>
    </row>
    <row r="207" spans="1:26" x14ac:dyDescent="0.15">
      <c r="A207" s="36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2"/>
    </row>
    <row r="208" spans="1:26" x14ac:dyDescent="0.15">
      <c r="A208" s="36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2"/>
    </row>
    <row r="209" spans="1:26" x14ac:dyDescent="0.15">
      <c r="A209" s="36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2"/>
    </row>
    <row r="210" spans="1:26" x14ac:dyDescent="0.15">
      <c r="A210" s="36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2"/>
    </row>
    <row r="211" spans="1:26" x14ac:dyDescent="0.15">
      <c r="A211" s="36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2"/>
    </row>
    <row r="212" spans="1:26" x14ac:dyDescent="0.15">
      <c r="A212" s="36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2"/>
    </row>
    <row r="213" spans="1:26" x14ac:dyDescent="0.15">
      <c r="A213" s="36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2"/>
    </row>
    <row r="214" spans="1:26" x14ac:dyDescent="0.15">
      <c r="A214" s="36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2"/>
    </row>
    <row r="215" spans="1:26" x14ac:dyDescent="0.15">
      <c r="A215" s="36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2"/>
    </row>
    <row r="216" spans="1:26" x14ac:dyDescent="0.15">
      <c r="A216" s="36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2"/>
    </row>
    <row r="217" spans="1:26" x14ac:dyDescent="0.15">
      <c r="A217" s="36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2"/>
    </row>
    <row r="218" spans="1:26" x14ac:dyDescent="0.15">
      <c r="A218" s="36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2"/>
    </row>
    <row r="219" spans="1:26" x14ac:dyDescent="0.15">
      <c r="A219" s="36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2"/>
    </row>
    <row r="220" spans="1:26" x14ac:dyDescent="0.15">
      <c r="A220" s="36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2"/>
    </row>
    <row r="221" spans="1:26" x14ac:dyDescent="0.15">
      <c r="A221" s="36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2"/>
    </row>
    <row r="222" spans="1:26" x14ac:dyDescent="0.15">
      <c r="A222" s="36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2"/>
    </row>
    <row r="223" spans="1:26" x14ac:dyDescent="0.15">
      <c r="A223" s="36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2"/>
    </row>
    <row r="224" spans="1:26" x14ac:dyDescent="0.15">
      <c r="A224" s="36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2"/>
    </row>
    <row r="225" spans="1:26" x14ac:dyDescent="0.15">
      <c r="A225" s="36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2"/>
    </row>
    <row r="226" spans="1:26" x14ac:dyDescent="0.15">
      <c r="A226" s="36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2"/>
    </row>
    <row r="227" spans="1:26" x14ac:dyDescent="0.15">
      <c r="A227" s="36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2"/>
    </row>
    <row r="228" spans="1:26" x14ac:dyDescent="0.15">
      <c r="A228" s="36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2"/>
    </row>
    <row r="229" spans="1:26" x14ac:dyDescent="0.15">
      <c r="A229" s="36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2"/>
    </row>
    <row r="230" spans="1:26" x14ac:dyDescent="0.15">
      <c r="A230" s="36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2"/>
    </row>
    <row r="231" spans="1:26" x14ac:dyDescent="0.15">
      <c r="A231" s="36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2"/>
    </row>
    <row r="232" spans="1:26" x14ac:dyDescent="0.15">
      <c r="A232" s="36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2"/>
    </row>
    <row r="233" spans="1:26" x14ac:dyDescent="0.15">
      <c r="A233" s="36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2"/>
    </row>
    <row r="234" spans="1:26" x14ac:dyDescent="0.15">
      <c r="A234" s="36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2"/>
    </row>
    <row r="235" spans="1:26" x14ac:dyDescent="0.15">
      <c r="A235" s="36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2"/>
    </row>
    <row r="236" spans="1:26" x14ac:dyDescent="0.15">
      <c r="A236" s="36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2"/>
    </row>
    <row r="237" spans="1:26" x14ac:dyDescent="0.15">
      <c r="A237" s="36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2"/>
    </row>
    <row r="238" spans="1:26" x14ac:dyDescent="0.15">
      <c r="A238" s="36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2"/>
    </row>
    <row r="239" spans="1:26" x14ac:dyDescent="0.15">
      <c r="A239" s="36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2"/>
    </row>
    <row r="240" spans="1:26" x14ac:dyDescent="0.15">
      <c r="A240" s="36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2"/>
    </row>
    <row r="241" spans="1:26" x14ac:dyDescent="0.15">
      <c r="A241" s="36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2"/>
    </row>
    <row r="242" spans="1:26" x14ac:dyDescent="0.15">
      <c r="A242" s="36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2"/>
    </row>
    <row r="243" spans="1:26" x14ac:dyDescent="0.15">
      <c r="A243" s="36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2"/>
    </row>
    <row r="244" spans="1:26" x14ac:dyDescent="0.15">
      <c r="A244" s="36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2"/>
    </row>
    <row r="245" spans="1:26" x14ac:dyDescent="0.15">
      <c r="A245" s="36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2"/>
    </row>
    <row r="246" spans="1:26" x14ac:dyDescent="0.15">
      <c r="A246" s="36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2"/>
    </row>
    <row r="247" spans="1:26" x14ac:dyDescent="0.15">
      <c r="A247" s="36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2"/>
    </row>
    <row r="248" spans="1:26" x14ac:dyDescent="0.15">
      <c r="A248" s="36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2"/>
    </row>
    <row r="249" spans="1:26" x14ac:dyDescent="0.15">
      <c r="A249" s="36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2"/>
    </row>
    <row r="250" spans="1:26" x14ac:dyDescent="0.15">
      <c r="A250" s="36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2"/>
    </row>
    <row r="251" spans="1:26" x14ac:dyDescent="0.15">
      <c r="A251" s="36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2"/>
    </row>
    <row r="252" spans="1:26" x14ac:dyDescent="0.15">
      <c r="A252" s="36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2"/>
    </row>
    <row r="253" spans="1:26" x14ac:dyDescent="0.15">
      <c r="A253" s="36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2"/>
    </row>
    <row r="254" spans="1:26" x14ac:dyDescent="0.15">
      <c r="A254" s="36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2"/>
    </row>
    <row r="255" spans="1:26" x14ac:dyDescent="0.15">
      <c r="A255" s="36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2"/>
    </row>
    <row r="256" spans="1:26" x14ac:dyDescent="0.15">
      <c r="A256" s="36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2"/>
    </row>
    <row r="257" spans="1:26" x14ac:dyDescent="0.15">
      <c r="A257" s="36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2"/>
    </row>
    <row r="258" spans="1:26" x14ac:dyDescent="0.15">
      <c r="A258" s="36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2"/>
    </row>
    <row r="259" spans="1:26" x14ac:dyDescent="0.15">
      <c r="A259" s="36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2"/>
    </row>
    <row r="260" spans="1:26" x14ac:dyDescent="0.15">
      <c r="A260" s="36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2"/>
    </row>
    <row r="261" spans="1:26" x14ac:dyDescent="0.15">
      <c r="A261" s="36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2"/>
    </row>
    <row r="262" spans="1:26" x14ac:dyDescent="0.15">
      <c r="A262" s="36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2"/>
    </row>
    <row r="263" spans="1:26" x14ac:dyDescent="0.15">
      <c r="A263" s="36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2"/>
    </row>
    <row r="264" spans="1:26" x14ac:dyDescent="0.15">
      <c r="A264" s="36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2"/>
    </row>
    <row r="265" spans="1:26" x14ac:dyDescent="0.15">
      <c r="A265" s="36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2"/>
    </row>
    <row r="266" spans="1:26" x14ac:dyDescent="0.15">
      <c r="A266" s="36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2"/>
    </row>
    <row r="267" spans="1:26" x14ac:dyDescent="0.15">
      <c r="A267" s="36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2"/>
    </row>
    <row r="268" spans="1:26" x14ac:dyDescent="0.15">
      <c r="A268" s="36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2"/>
    </row>
    <row r="269" spans="1:26" x14ac:dyDescent="0.15">
      <c r="A269" s="36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2"/>
    </row>
    <row r="270" spans="1:26" x14ac:dyDescent="0.15">
      <c r="A270" s="36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2"/>
    </row>
    <row r="271" spans="1:26" x14ac:dyDescent="0.15">
      <c r="A271" s="36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2"/>
    </row>
    <row r="272" spans="1:26" x14ac:dyDescent="0.15">
      <c r="A272" s="36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2"/>
    </row>
    <row r="273" spans="1:26" x14ac:dyDescent="0.15">
      <c r="A273" s="36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2"/>
    </row>
    <row r="274" spans="1:26" x14ac:dyDescent="0.15">
      <c r="A274" s="36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2"/>
    </row>
    <row r="275" spans="1:26" x14ac:dyDescent="0.15">
      <c r="A275" s="36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2"/>
    </row>
    <row r="276" spans="1:26" x14ac:dyDescent="0.15">
      <c r="A276" s="36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2"/>
    </row>
    <row r="277" spans="1:26" x14ac:dyDescent="0.15">
      <c r="A277" s="36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2"/>
    </row>
    <row r="278" spans="1:26" x14ac:dyDescent="0.15">
      <c r="A278" s="36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2"/>
    </row>
    <row r="279" spans="1:26" x14ac:dyDescent="0.15">
      <c r="A279" s="36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2"/>
    </row>
    <row r="280" spans="1:26" x14ac:dyDescent="0.15">
      <c r="A280" s="36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2"/>
    </row>
    <row r="281" spans="1:26" x14ac:dyDescent="0.15">
      <c r="A281" s="36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2"/>
    </row>
    <row r="282" spans="1:26" x14ac:dyDescent="0.15">
      <c r="A282" s="36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2"/>
    </row>
    <row r="283" spans="1:26" x14ac:dyDescent="0.15">
      <c r="A283" s="36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2"/>
    </row>
    <row r="284" spans="1:26" x14ac:dyDescent="0.15">
      <c r="A284" s="36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2"/>
    </row>
    <row r="285" spans="1:26" x14ac:dyDescent="0.15">
      <c r="A285" s="36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2"/>
    </row>
    <row r="286" spans="1:26" x14ac:dyDescent="0.15">
      <c r="A286" s="36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2"/>
    </row>
    <row r="287" spans="1:26" x14ac:dyDescent="0.15">
      <c r="A287" s="36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2"/>
    </row>
    <row r="288" spans="1:26" x14ac:dyDescent="0.15">
      <c r="A288" s="36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2"/>
    </row>
    <row r="289" spans="1:26" x14ac:dyDescent="0.15">
      <c r="A289" s="36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2"/>
    </row>
    <row r="290" spans="1:26" x14ac:dyDescent="0.15">
      <c r="A290" s="36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2"/>
    </row>
    <row r="291" spans="1:26" x14ac:dyDescent="0.15">
      <c r="A291" s="36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2"/>
    </row>
    <row r="292" spans="1:26" x14ac:dyDescent="0.15">
      <c r="A292" s="36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2"/>
    </row>
    <row r="293" spans="1:26" x14ac:dyDescent="0.15">
      <c r="A293" s="36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2"/>
    </row>
    <row r="294" spans="1:26" x14ac:dyDescent="0.15">
      <c r="A294" s="36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2"/>
    </row>
    <row r="295" spans="1:26" x14ac:dyDescent="0.15">
      <c r="A295" s="36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2"/>
    </row>
    <row r="296" spans="1:26" x14ac:dyDescent="0.15">
      <c r="A296" s="36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2"/>
    </row>
    <row r="297" spans="1:26" x14ac:dyDescent="0.15">
      <c r="A297" s="36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2"/>
    </row>
    <row r="298" spans="1:26" x14ac:dyDescent="0.15">
      <c r="A298" s="36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2"/>
    </row>
    <row r="299" spans="1:26" x14ac:dyDescent="0.15">
      <c r="A299" s="36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2"/>
    </row>
    <row r="300" spans="1:26" x14ac:dyDescent="0.15">
      <c r="A300" s="36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2"/>
    </row>
    <row r="301" spans="1:26" x14ac:dyDescent="0.15">
      <c r="A301" s="36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2"/>
    </row>
    <row r="302" spans="1:26" x14ac:dyDescent="0.15">
      <c r="A302" s="36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2"/>
    </row>
    <row r="303" spans="1:26" x14ac:dyDescent="0.15">
      <c r="A303" s="36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2"/>
    </row>
    <row r="304" spans="1:26" x14ac:dyDescent="0.15">
      <c r="A304" s="36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2"/>
    </row>
    <row r="305" spans="1:26" x14ac:dyDescent="0.15">
      <c r="A305" s="36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2"/>
    </row>
    <row r="306" spans="1:26" x14ac:dyDescent="0.15">
      <c r="A306" s="36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2"/>
    </row>
    <row r="307" spans="1:26" x14ac:dyDescent="0.15">
      <c r="A307" s="36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2"/>
    </row>
    <row r="308" spans="1:26" x14ac:dyDescent="0.15">
      <c r="A308" s="36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2"/>
    </row>
    <row r="309" spans="1:26" x14ac:dyDescent="0.15">
      <c r="A309" s="36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2"/>
    </row>
    <row r="310" spans="1:26" x14ac:dyDescent="0.15">
      <c r="A310" s="36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2"/>
    </row>
    <row r="311" spans="1:26" x14ac:dyDescent="0.15">
      <c r="A311" s="36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2"/>
    </row>
    <row r="312" spans="1:26" x14ac:dyDescent="0.15">
      <c r="A312" s="36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2"/>
    </row>
    <row r="313" spans="1:26" x14ac:dyDescent="0.15">
      <c r="A313" s="36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2"/>
    </row>
    <row r="314" spans="1:26" x14ac:dyDescent="0.15">
      <c r="A314" s="36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2"/>
    </row>
    <row r="315" spans="1:26" x14ac:dyDescent="0.15">
      <c r="A315" s="36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2"/>
    </row>
    <row r="316" spans="1:26" x14ac:dyDescent="0.15">
      <c r="A316" s="36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2"/>
    </row>
    <row r="317" spans="1:26" x14ac:dyDescent="0.15">
      <c r="A317" s="36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2"/>
    </row>
    <row r="318" spans="1:26" x14ac:dyDescent="0.15">
      <c r="A318" s="36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2"/>
    </row>
    <row r="319" spans="1:26" x14ac:dyDescent="0.15">
      <c r="A319" s="36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2"/>
    </row>
    <row r="320" spans="1:26" x14ac:dyDescent="0.15">
      <c r="A320" s="36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2"/>
    </row>
    <row r="321" spans="1:26" x14ac:dyDescent="0.15">
      <c r="A321" s="36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2"/>
    </row>
    <row r="322" spans="1:26" x14ac:dyDescent="0.15">
      <c r="A322" s="36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2"/>
    </row>
    <row r="323" spans="1:26" x14ac:dyDescent="0.15">
      <c r="A323" s="36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2"/>
    </row>
    <row r="324" spans="1:26" x14ac:dyDescent="0.15">
      <c r="A324" s="36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2"/>
    </row>
    <row r="325" spans="1:26" x14ac:dyDescent="0.15">
      <c r="A325" s="36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2"/>
    </row>
    <row r="326" spans="1:26" x14ac:dyDescent="0.15">
      <c r="A326" s="36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2"/>
    </row>
    <row r="327" spans="1:26" x14ac:dyDescent="0.15">
      <c r="A327" s="36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2"/>
    </row>
    <row r="328" spans="1:26" x14ac:dyDescent="0.15">
      <c r="A328" s="36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2"/>
    </row>
    <row r="329" spans="1:26" x14ac:dyDescent="0.15">
      <c r="A329" s="36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2"/>
    </row>
    <row r="330" spans="1:26" x14ac:dyDescent="0.15">
      <c r="A330" s="36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2"/>
    </row>
    <row r="331" spans="1:26" x14ac:dyDescent="0.15">
      <c r="A331" s="36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2"/>
    </row>
    <row r="332" spans="1:26" x14ac:dyDescent="0.15">
      <c r="A332" s="36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2"/>
    </row>
    <row r="333" spans="1:26" x14ac:dyDescent="0.15">
      <c r="A333" s="36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2"/>
    </row>
    <row r="334" spans="1:26" x14ac:dyDescent="0.15">
      <c r="A334" s="36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2"/>
    </row>
    <row r="335" spans="1:26" x14ac:dyDescent="0.15">
      <c r="A335" s="36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2"/>
    </row>
    <row r="336" spans="1:26" x14ac:dyDescent="0.15">
      <c r="A336" s="36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2"/>
    </row>
    <row r="337" spans="1:26" x14ac:dyDescent="0.15">
      <c r="A337" s="36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2"/>
    </row>
    <row r="338" spans="1:26" x14ac:dyDescent="0.15">
      <c r="A338" s="36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2"/>
    </row>
    <row r="339" spans="1:26" x14ac:dyDescent="0.15">
      <c r="A339" s="36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2"/>
    </row>
    <row r="340" spans="1:26" x14ac:dyDescent="0.15">
      <c r="A340" s="36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2"/>
    </row>
    <row r="341" spans="1:26" x14ac:dyDescent="0.15">
      <c r="A341" s="36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2"/>
    </row>
    <row r="342" spans="1:26" x14ac:dyDescent="0.15">
      <c r="A342" s="36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2"/>
    </row>
    <row r="343" spans="1:26" x14ac:dyDescent="0.15">
      <c r="A343" s="36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2"/>
    </row>
    <row r="344" spans="1:26" x14ac:dyDescent="0.15">
      <c r="A344" s="36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2"/>
    </row>
    <row r="345" spans="1:26" x14ac:dyDescent="0.15">
      <c r="A345" s="36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2"/>
    </row>
    <row r="346" spans="1:26" x14ac:dyDescent="0.15">
      <c r="A346" s="36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2"/>
    </row>
    <row r="347" spans="1:26" x14ac:dyDescent="0.15">
      <c r="A347" s="36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2"/>
    </row>
    <row r="348" spans="1:26" x14ac:dyDescent="0.15">
      <c r="A348" s="36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2"/>
    </row>
    <row r="349" spans="1:26" x14ac:dyDescent="0.15">
      <c r="A349" s="36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2"/>
    </row>
    <row r="350" spans="1:26" x14ac:dyDescent="0.15">
      <c r="A350" s="36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2"/>
    </row>
    <row r="351" spans="1:26" x14ac:dyDescent="0.15">
      <c r="A351" s="36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2"/>
    </row>
    <row r="352" spans="1:26" x14ac:dyDescent="0.15">
      <c r="A352" s="36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2"/>
    </row>
    <row r="353" spans="1:26" x14ac:dyDescent="0.15">
      <c r="A353" s="36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2"/>
    </row>
    <row r="354" spans="1:26" x14ac:dyDescent="0.15">
      <c r="A354" s="36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2"/>
    </row>
    <row r="355" spans="1:26" x14ac:dyDescent="0.15">
      <c r="A355" s="36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2"/>
    </row>
    <row r="356" spans="1:26" x14ac:dyDescent="0.15">
      <c r="A356" s="36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2"/>
    </row>
    <row r="357" spans="1:26" x14ac:dyDescent="0.15">
      <c r="A357" s="36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2"/>
    </row>
    <row r="358" spans="1:26" x14ac:dyDescent="0.15">
      <c r="A358" s="36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2"/>
    </row>
    <row r="359" spans="1:26" x14ac:dyDescent="0.15">
      <c r="A359" s="36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2"/>
    </row>
    <row r="360" spans="1:26" x14ac:dyDescent="0.15">
      <c r="A360" s="36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2"/>
    </row>
    <row r="361" spans="1:26" x14ac:dyDescent="0.15">
      <c r="A361" s="36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2"/>
    </row>
    <row r="362" spans="1:26" x14ac:dyDescent="0.15">
      <c r="A362" s="36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2"/>
    </row>
    <row r="363" spans="1:26" x14ac:dyDescent="0.15">
      <c r="A363" s="36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2"/>
    </row>
    <row r="364" spans="1:26" x14ac:dyDescent="0.15">
      <c r="A364" s="36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2"/>
    </row>
    <row r="365" spans="1:26" x14ac:dyDescent="0.15">
      <c r="A365" s="36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2"/>
    </row>
    <row r="366" spans="1:26" x14ac:dyDescent="0.15">
      <c r="A366" s="36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2"/>
    </row>
    <row r="367" spans="1:26" x14ac:dyDescent="0.15">
      <c r="A367" s="36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2"/>
    </row>
    <row r="368" spans="1:26" x14ac:dyDescent="0.15">
      <c r="A368" s="36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2"/>
    </row>
    <row r="369" spans="1:26" x14ac:dyDescent="0.15">
      <c r="A369" s="36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2"/>
    </row>
    <row r="370" spans="1:26" x14ac:dyDescent="0.15">
      <c r="A370" s="36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2"/>
    </row>
    <row r="371" spans="1:26" x14ac:dyDescent="0.15">
      <c r="A371" s="36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2"/>
    </row>
    <row r="372" spans="1:26" x14ac:dyDescent="0.15">
      <c r="A372" s="36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2"/>
    </row>
    <row r="373" spans="1:26" x14ac:dyDescent="0.15">
      <c r="A373" s="36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2"/>
    </row>
    <row r="374" spans="1:26" x14ac:dyDescent="0.15">
      <c r="A374" s="36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2"/>
    </row>
    <row r="375" spans="1:26" x14ac:dyDescent="0.15">
      <c r="A375" s="36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2"/>
    </row>
    <row r="376" spans="1:26" x14ac:dyDescent="0.15">
      <c r="A376" s="36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2"/>
    </row>
    <row r="377" spans="1:26" x14ac:dyDescent="0.15">
      <c r="A377" s="36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2"/>
    </row>
    <row r="378" spans="1:26" x14ac:dyDescent="0.15">
      <c r="A378" s="36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2"/>
    </row>
    <row r="379" spans="1:26" x14ac:dyDescent="0.15">
      <c r="A379" s="36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2"/>
    </row>
    <row r="380" spans="1:26" x14ac:dyDescent="0.15">
      <c r="A380" s="36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2"/>
    </row>
    <row r="381" spans="1:26" x14ac:dyDescent="0.15">
      <c r="A381" s="36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2"/>
    </row>
    <row r="382" spans="1:26" x14ac:dyDescent="0.15">
      <c r="A382" s="36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2"/>
    </row>
    <row r="383" spans="1:26" x14ac:dyDescent="0.15">
      <c r="A383" s="36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2"/>
    </row>
    <row r="384" spans="1:26" x14ac:dyDescent="0.15">
      <c r="A384" s="36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2"/>
    </row>
    <row r="385" spans="1:26" x14ac:dyDescent="0.15">
      <c r="A385" s="36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2"/>
    </row>
    <row r="386" spans="1:26" x14ac:dyDescent="0.15">
      <c r="A386" s="36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2"/>
    </row>
    <row r="387" spans="1:26" x14ac:dyDescent="0.15">
      <c r="A387" s="36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2"/>
    </row>
    <row r="388" spans="1:26" x14ac:dyDescent="0.15">
      <c r="A388" s="36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2"/>
    </row>
    <row r="389" spans="1:26" x14ac:dyDescent="0.15">
      <c r="A389" s="36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2"/>
    </row>
    <row r="390" spans="1:26" x14ac:dyDescent="0.15">
      <c r="A390" s="36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2"/>
    </row>
    <row r="391" spans="1:26" x14ac:dyDescent="0.15">
      <c r="A391" s="36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2"/>
    </row>
    <row r="392" spans="1:26" x14ac:dyDescent="0.15">
      <c r="A392" s="36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2"/>
    </row>
    <row r="393" spans="1:26" x14ac:dyDescent="0.15">
      <c r="A393" s="36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2"/>
    </row>
    <row r="394" spans="1:26" x14ac:dyDescent="0.15">
      <c r="A394" s="36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2"/>
    </row>
    <row r="395" spans="1:26" x14ac:dyDescent="0.15">
      <c r="A395" s="36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2"/>
    </row>
    <row r="396" spans="1:26" x14ac:dyDescent="0.15">
      <c r="A396" s="36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2"/>
    </row>
    <row r="397" spans="1:26" x14ac:dyDescent="0.15">
      <c r="A397" s="36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2"/>
    </row>
    <row r="398" spans="1:26" x14ac:dyDescent="0.15">
      <c r="A398" s="36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2"/>
    </row>
    <row r="399" spans="1:26" x14ac:dyDescent="0.15">
      <c r="A399" s="36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2"/>
    </row>
    <row r="400" spans="1:26" x14ac:dyDescent="0.15">
      <c r="A400" s="36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2"/>
    </row>
    <row r="401" spans="1:26" x14ac:dyDescent="0.15">
      <c r="A401" s="36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2"/>
    </row>
    <row r="402" spans="1:26" x14ac:dyDescent="0.15">
      <c r="A402" s="36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2"/>
    </row>
    <row r="403" spans="1:26" x14ac:dyDescent="0.15">
      <c r="A403" s="36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2"/>
    </row>
    <row r="404" spans="1:26" x14ac:dyDescent="0.15">
      <c r="A404" s="36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2"/>
    </row>
    <row r="405" spans="1:26" x14ac:dyDescent="0.15">
      <c r="A405" s="36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2"/>
    </row>
    <row r="406" spans="1:26" x14ac:dyDescent="0.15">
      <c r="A406" s="36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2"/>
    </row>
    <row r="407" spans="1:26" x14ac:dyDescent="0.15">
      <c r="A407" s="36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2"/>
    </row>
    <row r="408" spans="1:26" x14ac:dyDescent="0.15">
      <c r="A408" s="36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2"/>
    </row>
    <row r="409" spans="1:26" x14ac:dyDescent="0.15">
      <c r="A409" s="36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2"/>
    </row>
    <row r="410" spans="1:26" x14ac:dyDescent="0.15">
      <c r="A410" s="36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2"/>
    </row>
    <row r="411" spans="1:26" x14ac:dyDescent="0.15">
      <c r="A411" s="36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2"/>
    </row>
    <row r="412" spans="1:26" x14ac:dyDescent="0.15">
      <c r="A412" s="36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2"/>
    </row>
    <row r="413" spans="1:26" x14ac:dyDescent="0.15">
      <c r="A413" s="36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2"/>
    </row>
    <row r="414" spans="1:26" x14ac:dyDescent="0.15">
      <c r="A414" s="36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2"/>
    </row>
    <row r="415" spans="1:26" x14ac:dyDescent="0.15">
      <c r="A415" s="36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2"/>
    </row>
    <row r="416" spans="1:26" x14ac:dyDescent="0.15">
      <c r="A416" s="36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2"/>
    </row>
    <row r="417" spans="1:26" x14ac:dyDescent="0.15">
      <c r="A417" s="36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2"/>
    </row>
    <row r="418" spans="1:26" x14ac:dyDescent="0.15">
      <c r="A418" s="36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2"/>
    </row>
    <row r="419" spans="1:26" x14ac:dyDescent="0.15">
      <c r="A419" s="36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2"/>
    </row>
    <row r="420" spans="1:26" x14ac:dyDescent="0.15">
      <c r="A420" s="36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2"/>
    </row>
    <row r="421" spans="1:26" x14ac:dyDescent="0.15">
      <c r="A421" s="36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2"/>
    </row>
    <row r="422" spans="1:26" x14ac:dyDescent="0.15">
      <c r="A422" s="36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2"/>
    </row>
    <row r="423" spans="1:26" x14ac:dyDescent="0.15">
      <c r="A423" s="36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2"/>
    </row>
    <row r="424" spans="1:26" x14ac:dyDescent="0.15">
      <c r="A424" s="36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2"/>
    </row>
    <row r="425" spans="1:26" x14ac:dyDescent="0.15">
      <c r="A425" s="36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2"/>
    </row>
    <row r="426" spans="1:26" x14ac:dyDescent="0.15">
      <c r="A426" s="36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2"/>
    </row>
    <row r="427" spans="1:26" x14ac:dyDescent="0.15">
      <c r="A427" s="36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2"/>
    </row>
    <row r="428" spans="1:26" x14ac:dyDescent="0.15">
      <c r="A428" s="36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2"/>
    </row>
    <row r="429" spans="1:26" x14ac:dyDescent="0.15">
      <c r="A429" s="36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2"/>
    </row>
    <row r="430" spans="1:26" x14ac:dyDescent="0.15">
      <c r="A430" s="36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2"/>
    </row>
    <row r="431" spans="1:26" x14ac:dyDescent="0.15">
      <c r="A431" s="36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2"/>
    </row>
    <row r="432" spans="1:26" x14ac:dyDescent="0.15">
      <c r="A432" s="36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2"/>
    </row>
    <row r="433" spans="1:26" x14ac:dyDescent="0.15">
      <c r="A433" s="36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2"/>
    </row>
    <row r="434" spans="1:26" x14ac:dyDescent="0.15">
      <c r="A434" s="36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2"/>
    </row>
    <row r="435" spans="1:26" x14ac:dyDescent="0.15">
      <c r="A435" s="36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2"/>
    </row>
    <row r="436" spans="1:26" x14ac:dyDescent="0.15">
      <c r="A436" s="36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2"/>
    </row>
    <row r="437" spans="1:26" x14ac:dyDescent="0.15">
      <c r="A437" s="36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2"/>
    </row>
    <row r="438" spans="1:26" x14ac:dyDescent="0.15">
      <c r="A438" s="36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2"/>
    </row>
    <row r="439" spans="1:26" x14ac:dyDescent="0.15">
      <c r="A439" s="36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2"/>
    </row>
    <row r="440" spans="1:26" x14ac:dyDescent="0.15">
      <c r="A440" s="36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2"/>
    </row>
    <row r="441" spans="1:26" x14ac:dyDescent="0.15">
      <c r="A441" s="36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2"/>
    </row>
    <row r="442" spans="1:26" x14ac:dyDescent="0.15">
      <c r="A442" s="36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2"/>
    </row>
    <row r="443" spans="1:26" x14ac:dyDescent="0.15">
      <c r="A443" s="36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2"/>
    </row>
    <row r="444" spans="1:26" x14ac:dyDescent="0.15">
      <c r="A444" s="36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2"/>
    </row>
    <row r="445" spans="1:26" x14ac:dyDescent="0.15">
      <c r="A445" s="36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2"/>
    </row>
    <row r="446" spans="1:26" x14ac:dyDescent="0.15">
      <c r="A446" s="36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2"/>
    </row>
    <row r="447" spans="1:26" x14ac:dyDescent="0.15">
      <c r="A447" s="36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2"/>
    </row>
    <row r="448" spans="1:26" x14ac:dyDescent="0.15">
      <c r="A448" s="36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2"/>
    </row>
    <row r="449" spans="1:26" x14ac:dyDescent="0.15">
      <c r="A449" s="36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2"/>
    </row>
    <row r="450" spans="1:26" x14ac:dyDescent="0.15">
      <c r="A450" s="36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2"/>
    </row>
    <row r="451" spans="1:26" x14ac:dyDescent="0.15">
      <c r="A451" s="36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2"/>
    </row>
    <row r="452" spans="1:26" x14ac:dyDescent="0.15">
      <c r="A452" s="36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2"/>
    </row>
    <row r="453" spans="1:26" x14ac:dyDescent="0.15">
      <c r="A453" s="36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2"/>
    </row>
    <row r="454" spans="1:26" x14ac:dyDescent="0.15">
      <c r="A454" s="36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2"/>
    </row>
    <row r="455" spans="1:26" x14ac:dyDescent="0.15">
      <c r="A455" s="36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2"/>
    </row>
    <row r="456" spans="1:26" x14ac:dyDescent="0.15">
      <c r="A456" s="36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2"/>
    </row>
    <row r="457" spans="1:26" x14ac:dyDescent="0.15">
      <c r="A457" s="36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2"/>
    </row>
    <row r="458" spans="1:26" x14ac:dyDescent="0.15">
      <c r="A458" s="36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2"/>
    </row>
    <row r="459" spans="1:26" x14ac:dyDescent="0.15">
      <c r="A459" s="36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2"/>
    </row>
    <row r="460" spans="1:26" x14ac:dyDescent="0.15">
      <c r="A460" s="36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2"/>
    </row>
    <row r="461" spans="1:26" x14ac:dyDescent="0.15">
      <c r="A461" s="36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2"/>
    </row>
    <row r="462" spans="1:26" x14ac:dyDescent="0.15">
      <c r="A462" s="36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2"/>
    </row>
    <row r="463" spans="1:26" x14ac:dyDescent="0.15">
      <c r="A463" s="36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2"/>
    </row>
    <row r="464" spans="1:26" x14ac:dyDescent="0.15">
      <c r="A464" s="36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2"/>
    </row>
    <row r="465" spans="1:26" x14ac:dyDescent="0.15">
      <c r="A465" s="36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2"/>
    </row>
    <row r="466" spans="1:26" x14ac:dyDescent="0.15">
      <c r="A466" s="36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2"/>
    </row>
    <row r="467" spans="1:26" x14ac:dyDescent="0.15">
      <c r="A467" s="36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2"/>
    </row>
    <row r="468" spans="1:26" x14ac:dyDescent="0.15">
      <c r="A468" s="36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2"/>
    </row>
    <row r="469" spans="1:26" x14ac:dyDescent="0.15">
      <c r="A469" s="36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2"/>
    </row>
    <row r="470" spans="1:26" x14ac:dyDescent="0.15">
      <c r="A470" s="36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2"/>
    </row>
    <row r="471" spans="1:26" x14ac:dyDescent="0.15">
      <c r="A471" s="36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2"/>
    </row>
    <row r="472" spans="1:26" x14ac:dyDescent="0.15">
      <c r="A472" s="36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2"/>
    </row>
    <row r="473" spans="1:26" x14ac:dyDescent="0.15">
      <c r="A473" s="36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2"/>
    </row>
    <row r="474" spans="1:26" x14ac:dyDescent="0.15">
      <c r="A474" s="36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2"/>
    </row>
    <row r="475" spans="1:26" x14ac:dyDescent="0.15">
      <c r="A475" s="36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2"/>
    </row>
    <row r="476" spans="1:26" x14ac:dyDescent="0.15">
      <c r="A476" s="36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2"/>
    </row>
    <row r="477" spans="1:26" x14ac:dyDescent="0.15">
      <c r="A477" s="36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2"/>
    </row>
    <row r="478" spans="1:26" x14ac:dyDescent="0.15">
      <c r="A478" s="36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2"/>
    </row>
    <row r="479" spans="1:26" x14ac:dyDescent="0.15">
      <c r="A479" s="36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2"/>
    </row>
    <row r="480" spans="1:26" x14ac:dyDescent="0.15">
      <c r="A480" s="36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2"/>
    </row>
    <row r="481" spans="1:26" x14ac:dyDescent="0.15">
      <c r="A481" s="36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2"/>
    </row>
    <row r="482" spans="1:26" x14ac:dyDescent="0.15">
      <c r="A482" s="36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2"/>
    </row>
    <row r="483" spans="1:26" x14ac:dyDescent="0.15">
      <c r="A483" s="36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2"/>
    </row>
    <row r="484" spans="1:26" x14ac:dyDescent="0.15">
      <c r="A484" s="36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2"/>
    </row>
    <row r="485" spans="1:26" x14ac:dyDescent="0.15">
      <c r="A485" s="36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2"/>
    </row>
    <row r="486" spans="1:26" x14ac:dyDescent="0.15">
      <c r="A486" s="36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2"/>
    </row>
    <row r="487" spans="1:26" x14ac:dyDescent="0.15">
      <c r="A487" s="36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2"/>
    </row>
    <row r="488" spans="1:26" x14ac:dyDescent="0.15">
      <c r="A488" s="36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2"/>
    </row>
    <row r="489" spans="1:26" x14ac:dyDescent="0.15">
      <c r="A489" s="36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2"/>
    </row>
    <row r="490" spans="1:26" x14ac:dyDescent="0.15">
      <c r="A490" s="36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2"/>
    </row>
    <row r="491" spans="1:26" x14ac:dyDescent="0.15">
      <c r="A491" s="36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2"/>
    </row>
    <row r="492" spans="1:26" x14ac:dyDescent="0.15">
      <c r="A492" s="36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2"/>
    </row>
    <row r="493" spans="1:26" x14ac:dyDescent="0.15">
      <c r="A493" s="36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2"/>
    </row>
    <row r="494" spans="1:26" x14ac:dyDescent="0.15">
      <c r="A494" s="36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2"/>
    </row>
    <row r="495" spans="1:26" x14ac:dyDescent="0.15">
      <c r="A495" s="36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2"/>
    </row>
    <row r="496" spans="1:26" x14ac:dyDescent="0.15">
      <c r="A496" s="36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2"/>
    </row>
    <row r="497" spans="1:26" x14ac:dyDescent="0.15">
      <c r="A497" s="36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2"/>
    </row>
    <row r="498" spans="1:26" x14ac:dyDescent="0.15">
      <c r="A498" s="36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2"/>
    </row>
    <row r="499" spans="1:26" x14ac:dyDescent="0.15">
      <c r="A499" s="36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2"/>
    </row>
    <row r="500" spans="1:26" x14ac:dyDescent="0.15">
      <c r="A500" s="36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2"/>
    </row>
    <row r="501" spans="1:26" x14ac:dyDescent="0.15">
      <c r="A501" s="36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2"/>
    </row>
    <row r="502" spans="1:26" x14ac:dyDescent="0.15">
      <c r="A502" s="36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2"/>
    </row>
    <row r="503" spans="1:26" x14ac:dyDescent="0.15">
      <c r="A503" s="36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2"/>
    </row>
    <row r="504" spans="1:26" x14ac:dyDescent="0.15">
      <c r="A504" s="36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2"/>
    </row>
    <row r="505" spans="1:26" x14ac:dyDescent="0.15">
      <c r="A505" s="36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2"/>
    </row>
    <row r="506" spans="1:26" x14ac:dyDescent="0.15">
      <c r="A506" s="36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2"/>
    </row>
    <row r="507" spans="1:26" x14ac:dyDescent="0.15">
      <c r="A507" s="36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2"/>
    </row>
    <row r="508" spans="1:26" x14ac:dyDescent="0.15">
      <c r="A508" s="36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2"/>
    </row>
    <row r="509" spans="1:26" x14ac:dyDescent="0.15">
      <c r="A509" s="36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2"/>
    </row>
    <row r="510" spans="1:26" x14ac:dyDescent="0.15">
      <c r="A510" s="36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2"/>
    </row>
    <row r="511" spans="1:26" x14ac:dyDescent="0.15">
      <c r="A511" s="36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2"/>
    </row>
    <row r="512" spans="1:26" x14ac:dyDescent="0.15">
      <c r="A512" s="36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2"/>
    </row>
    <row r="513" spans="1:26" x14ac:dyDescent="0.15">
      <c r="A513" s="36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2"/>
    </row>
    <row r="514" spans="1:26" x14ac:dyDescent="0.15">
      <c r="A514" s="36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2"/>
    </row>
    <row r="515" spans="1:26" x14ac:dyDescent="0.15">
      <c r="A515" s="36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2"/>
    </row>
    <row r="516" spans="1:26" x14ac:dyDescent="0.15">
      <c r="A516" s="36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2"/>
    </row>
    <row r="517" spans="1:26" x14ac:dyDescent="0.15">
      <c r="A517" s="36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2"/>
    </row>
    <row r="518" spans="1:26" x14ac:dyDescent="0.15">
      <c r="A518" s="36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2"/>
    </row>
    <row r="519" spans="1:26" x14ac:dyDescent="0.15">
      <c r="A519" s="36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2"/>
    </row>
    <row r="520" spans="1:26" x14ac:dyDescent="0.15">
      <c r="A520" s="36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2"/>
    </row>
    <row r="521" spans="1:26" x14ac:dyDescent="0.15">
      <c r="A521" s="36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2"/>
    </row>
    <row r="522" spans="1:26" x14ac:dyDescent="0.15">
      <c r="A522" s="36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2"/>
    </row>
    <row r="523" spans="1:26" x14ac:dyDescent="0.15">
      <c r="A523" s="36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2"/>
    </row>
    <row r="524" spans="1:26" x14ac:dyDescent="0.15">
      <c r="A524" s="36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2"/>
    </row>
    <row r="525" spans="1:26" x14ac:dyDescent="0.15">
      <c r="A525" s="36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2"/>
    </row>
    <row r="526" spans="1:26" x14ac:dyDescent="0.15">
      <c r="A526" s="36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2"/>
    </row>
    <row r="527" spans="1:26" x14ac:dyDescent="0.15">
      <c r="A527" s="36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2"/>
    </row>
    <row r="528" spans="1:26" x14ac:dyDescent="0.15">
      <c r="A528" s="36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2"/>
    </row>
    <row r="529" spans="1:26" x14ac:dyDescent="0.15">
      <c r="A529" s="36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2"/>
    </row>
    <row r="530" spans="1:26" x14ac:dyDescent="0.15">
      <c r="A530" s="36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2"/>
    </row>
    <row r="531" spans="1:26" x14ac:dyDescent="0.15">
      <c r="A531" s="36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2"/>
    </row>
    <row r="532" spans="1:26" x14ac:dyDescent="0.15">
      <c r="A532" s="36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2"/>
    </row>
    <row r="533" spans="1:26" x14ac:dyDescent="0.15">
      <c r="A533" s="36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2"/>
    </row>
    <row r="534" spans="1:26" x14ac:dyDescent="0.15">
      <c r="A534" s="36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2"/>
    </row>
    <row r="535" spans="1:26" x14ac:dyDescent="0.15">
      <c r="A535" s="36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2"/>
    </row>
    <row r="536" spans="1:26" x14ac:dyDescent="0.15">
      <c r="A536" s="36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2"/>
    </row>
    <row r="537" spans="1:26" x14ac:dyDescent="0.15">
      <c r="A537" s="36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2"/>
    </row>
    <row r="538" spans="1:26" x14ac:dyDescent="0.15">
      <c r="A538" s="36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2"/>
    </row>
    <row r="539" spans="1:26" x14ac:dyDescent="0.15">
      <c r="A539" s="36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2"/>
    </row>
    <row r="540" spans="1:26" x14ac:dyDescent="0.15">
      <c r="A540" s="36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2"/>
    </row>
    <row r="541" spans="1:26" x14ac:dyDescent="0.15">
      <c r="A541" s="36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2"/>
    </row>
    <row r="542" spans="1:26" x14ac:dyDescent="0.15">
      <c r="A542" s="36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2"/>
    </row>
    <row r="543" spans="1:26" x14ac:dyDescent="0.15">
      <c r="A543" s="36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2"/>
    </row>
    <row r="544" spans="1:26" x14ac:dyDescent="0.15">
      <c r="A544" s="36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2"/>
    </row>
    <row r="545" spans="1:26" x14ac:dyDescent="0.15">
      <c r="A545" s="36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2"/>
    </row>
    <row r="546" spans="1:26" x14ac:dyDescent="0.15">
      <c r="A546" s="36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2"/>
    </row>
    <row r="547" spans="1:26" x14ac:dyDescent="0.15">
      <c r="A547" s="36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2"/>
    </row>
    <row r="548" spans="1:26" x14ac:dyDescent="0.15">
      <c r="A548" s="36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2"/>
    </row>
    <row r="549" spans="1:26" x14ac:dyDescent="0.15">
      <c r="A549" s="36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2"/>
    </row>
    <row r="550" spans="1:26" x14ac:dyDescent="0.15">
      <c r="A550" s="36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2"/>
    </row>
    <row r="551" spans="1:26" x14ac:dyDescent="0.15">
      <c r="A551" s="36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2"/>
    </row>
    <row r="552" spans="1:26" x14ac:dyDescent="0.15">
      <c r="A552" s="36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2"/>
    </row>
    <row r="553" spans="1:26" x14ac:dyDescent="0.15">
      <c r="A553" s="36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2"/>
    </row>
    <row r="554" spans="1:26" x14ac:dyDescent="0.15">
      <c r="A554" s="36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2"/>
    </row>
    <row r="555" spans="1:26" x14ac:dyDescent="0.15">
      <c r="A555" s="36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2"/>
    </row>
    <row r="556" spans="1:26" x14ac:dyDescent="0.15">
      <c r="A556" s="36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2"/>
    </row>
    <row r="557" spans="1:26" x14ac:dyDescent="0.15">
      <c r="A557" s="36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2"/>
    </row>
    <row r="558" spans="1:26" x14ac:dyDescent="0.15">
      <c r="A558" s="36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2"/>
    </row>
    <row r="559" spans="1:26" x14ac:dyDescent="0.15">
      <c r="A559" s="36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2"/>
    </row>
    <row r="560" spans="1:26" x14ac:dyDescent="0.15">
      <c r="A560" s="36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2"/>
    </row>
    <row r="561" spans="1:26" x14ac:dyDescent="0.15">
      <c r="A561" s="36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2"/>
    </row>
    <row r="562" spans="1:26" x14ac:dyDescent="0.15">
      <c r="A562" s="36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2"/>
    </row>
    <row r="563" spans="1:26" x14ac:dyDescent="0.15">
      <c r="A563" s="36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2"/>
    </row>
    <row r="564" spans="1:26" x14ac:dyDescent="0.15">
      <c r="A564" s="36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2"/>
    </row>
    <row r="565" spans="1:26" x14ac:dyDescent="0.15">
      <c r="A565" s="36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2"/>
    </row>
    <row r="566" spans="1:26" x14ac:dyDescent="0.15">
      <c r="A566" s="36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2"/>
    </row>
    <row r="567" spans="1:26" x14ac:dyDescent="0.15">
      <c r="A567" s="36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2"/>
    </row>
    <row r="568" spans="1:26" x14ac:dyDescent="0.15">
      <c r="A568" s="36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2"/>
    </row>
    <row r="569" spans="1:26" x14ac:dyDescent="0.15">
      <c r="A569" s="36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2"/>
    </row>
    <row r="570" spans="1:26" x14ac:dyDescent="0.15">
      <c r="A570" s="36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2"/>
    </row>
    <row r="571" spans="1:26" x14ac:dyDescent="0.15">
      <c r="A571" s="36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2"/>
    </row>
    <row r="572" spans="1:26" x14ac:dyDescent="0.15">
      <c r="A572" s="36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2"/>
    </row>
    <row r="573" spans="1:26" x14ac:dyDescent="0.15">
      <c r="A573" s="36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2"/>
    </row>
    <row r="574" spans="1:26" x14ac:dyDescent="0.15">
      <c r="A574" s="36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2"/>
    </row>
    <row r="575" spans="1:26" x14ac:dyDescent="0.15">
      <c r="A575" s="36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2"/>
    </row>
    <row r="576" spans="1:26" x14ac:dyDescent="0.15">
      <c r="A576" s="36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2"/>
    </row>
    <row r="577" spans="1:26" x14ac:dyDescent="0.15">
      <c r="A577" s="36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2"/>
    </row>
    <row r="578" spans="1:26" x14ac:dyDescent="0.15">
      <c r="A578" s="36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2"/>
    </row>
    <row r="579" spans="1:26" x14ac:dyDescent="0.15">
      <c r="A579" s="36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2"/>
    </row>
    <row r="580" spans="1:26" x14ac:dyDescent="0.15">
      <c r="A580" s="36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2"/>
    </row>
    <row r="581" spans="1:26" x14ac:dyDescent="0.15">
      <c r="A581" s="36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2"/>
    </row>
    <row r="582" spans="1:26" x14ac:dyDescent="0.15">
      <c r="A582" s="36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2"/>
    </row>
    <row r="583" spans="1:26" x14ac:dyDescent="0.15">
      <c r="A583" s="36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2"/>
    </row>
    <row r="584" spans="1:26" x14ac:dyDescent="0.15">
      <c r="A584" s="36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2"/>
    </row>
    <row r="585" spans="1:26" x14ac:dyDescent="0.15">
      <c r="A585" s="36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2"/>
    </row>
    <row r="586" spans="1:26" x14ac:dyDescent="0.15">
      <c r="A586" s="36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2"/>
    </row>
    <row r="587" spans="1:26" x14ac:dyDescent="0.15">
      <c r="A587" s="36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2"/>
    </row>
    <row r="588" spans="1:26" x14ac:dyDescent="0.15">
      <c r="A588" s="36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2"/>
    </row>
    <row r="589" spans="1:26" x14ac:dyDescent="0.15">
      <c r="A589" s="36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2"/>
    </row>
    <row r="590" spans="1:26" x14ac:dyDescent="0.15">
      <c r="A590" s="36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2"/>
    </row>
    <row r="591" spans="1:26" x14ac:dyDescent="0.15">
      <c r="A591" s="36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2"/>
    </row>
    <row r="592" spans="1:26" x14ac:dyDescent="0.15">
      <c r="A592" s="36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2"/>
    </row>
    <row r="593" spans="1:26" x14ac:dyDescent="0.15">
      <c r="A593" s="36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2"/>
    </row>
    <row r="594" spans="1:26" x14ac:dyDescent="0.15">
      <c r="A594" s="36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2"/>
    </row>
    <row r="595" spans="1:26" x14ac:dyDescent="0.15">
      <c r="A595" s="36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2"/>
    </row>
    <row r="596" spans="1:26" x14ac:dyDescent="0.15">
      <c r="A596" s="36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2"/>
    </row>
    <row r="597" spans="1:26" x14ac:dyDescent="0.15">
      <c r="A597" s="36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2"/>
    </row>
    <row r="598" spans="1:26" x14ac:dyDescent="0.15">
      <c r="A598" s="36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2"/>
    </row>
    <row r="599" spans="1:26" x14ac:dyDescent="0.15">
      <c r="A599" s="36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2"/>
    </row>
    <row r="600" spans="1:26" x14ac:dyDescent="0.15">
      <c r="A600" s="36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2"/>
    </row>
    <row r="601" spans="1:26" x14ac:dyDescent="0.15">
      <c r="A601" s="36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2"/>
    </row>
    <row r="602" spans="1:26" x14ac:dyDescent="0.15">
      <c r="A602" s="36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2"/>
    </row>
    <row r="603" spans="1:26" x14ac:dyDescent="0.15">
      <c r="A603" s="36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2"/>
    </row>
    <row r="604" spans="1:26" x14ac:dyDescent="0.15">
      <c r="A604" s="36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2"/>
    </row>
    <row r="605" spans="1:26" x14ac:dyDescent="0.15">
      <c r="A605" s="36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2"/>
    </row>
    <row r="606" spans="1:26" x14ac:dyDescent="0.15">
      <c r="A606" s="36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2"/>
    </row>
    <row r="607" spans="1:26" x14ac:dyDescent="0.15">
      <c r="A607" s="36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2"/>
    </row>
    <row r="608" spans="1:26" x14ac:dyDescent="0.15">
      <c r="A608" s="36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2"/>
    </row>
    <row r="609" spans="1:26" x14ac:dyDescent="0.15">
      <c r="A609" s="36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2"/>
    </row>
    <row r="610" spans="1:26" x14ac:dyDescent="0.15">
      <c r="A610" s="36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2"/>
    </row>
    <row r="611" spans="1:26" x14ac:dyDescent="0.15">
      <c r="A611" s="36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2"/>
    </row>
    <row r="612" spans="1:26" x14ac:dyDescent="0.15">
      <c r="A612" s="36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2"/>
    </row>
    <row r="613" spans="1:26" x14ac:dyDescent="0.15">
      <c r="A613" s="36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2"/>
    </row>
    <row r="614" spans="1:26" x14ac:dyDescent="0.15">
      <c r="A614" s="36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2"/>
    </row>
    <row r="615" spans="1:26" x14ac:dyDescent="0.15">
      <c r="A615" s="36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2"/>
    </row>
    <row r="616" spans="1:26" x14ac:dyDescent="0.15">
      <c r="A616" s="36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2"/>
    </row>
    <row r="617" spans="1:26" x14ac:dyDescent="0.15">
      <c r="A617" s="36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2"/>
    </row>
    <row r="618" spans="1:26" x14ac:dyDescent="0.15">
      <c r="A618" s="36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2"/>
    </row>
    <row r="619" spans="1:26" x14ac:dyDescent="0.15">
      <c r="A619" s="36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2"/>
    </row>
    <row r="620" spans="1:26" x14ac:dyDescent="0.15">
      <c r="A620" s="36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2"/>
    </row>
    <row r="621" spans="1:26" x14ac:dyDescent="0.15">
      <c r="A621" s="36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2"/>
    </row>
    <row r="622" spans="1:26" x14ac:dyDescent="0.15">
      <c r="A622" s="36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2"/>
    </row>
    <row r="623" spans="1:26" x14ac:dyDescent="0.15">
      <c r="A623" s="36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2"/>
    </row>
    <row r="624" spans="1:26" x14ac:dyDescent="0.15">
      <c r="A624" s="36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2"/>
    </row>
    <row r="625" spans="1:26" x14ac:dyDescent="0.15">
      <c r="A625" s="36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2"/>
    </row>
    <row r="626" spans="1:26" x14ac:dyDescent="0.15">
      <c r="A626" s="36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2"/>
    </row>
    <row r="627" spans="1:26" x14ac:dyDescent="0.15">
      <c r="A627" s="36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2"/>
    </row>
    <row r="628" spans="1:26" x14ac:dyDescent="0.15">
      <c r="A628" s="36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2"/>
    </row>
    <row r="629" spans="1:26" x14ac:dyDescent="0.15">
      <c r="A629" s="36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2"/>
    </row>
    <row r="630" spans="1:26" x14ac:dyDescent="0.15">
      <c r="A630" s="36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2"/>
    </row>
    <row r="631" spans="1:26" x14ac:dyDescent="0.15">
      <c r="A631" s="36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2"/>
    </row>
    <row r="632" spans="1:26" x14ac:dyDescent="0.15">
      <c r="A632" s="36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2"/>
    </row>
    <row r="633" spans="1:26" x14ac:dyDescent="0.15">
      <c r="A633" s="36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2"/>
    </row>
    <row r="634" spans="1:26" x14ac:dyDescent="0.15">
      <c r="A634" s="36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2"/>
    </row>
    <row r="635" spans="1:26" x14ac:dyDescent="0.15">
      <c r="A635" s="36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2"/>
    </row>
    <row r="636" spans="1:26" x14ac:dyDescent="0.15">
      <c r="A636" s="36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2"/>
    </row>
    <row r="637" spans="1:26" x14ac:dyDescent="0.15">
      <c r="A637" s="36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2"/>
    </row>
    <row r="638" spans="1:26" x14ac:dyDescent="0.15">
      <c r="A638" s="36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2"/>
    </row>
    <row r="639" spans="1:26" x14ac:dyDescent="0.15">
      <c r="A639" s="36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2"/>
    </row>
    <row r="640" spans="1:26" x14ac:dyDescent="0.15">
      <c r="A640" s="36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2"/>
    </row>
    <row r="641" spans="1:26" x14ac:dyDescent="0.15">
      <c r="A641" s="36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2"/>
    </row>
    <row r="642" spans="1:26" x14ac:dyDescent="0.15">
      <c r="A642" s="36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2"/>
    </row>
    <row r="643" spans="1:26" x14ac:dyDescent="0.15">
      <c r="A643" s="36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2"/>
    </row>
    <row r="644" spans="1:26" x14ac:dyDescent="0.15">
      <c r="A644" s="36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2"/>
    </row>
    <row r="645" spans="1:26" x14ac:dyDescent="0.15">
      <c r="A645" s="36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2"/>
    </row>
    <row r="646" spans="1:26" x14ac:dyDescent="0.15">
      <c r="A646" s="36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2"/>
    </row>
    <row r="647" spans="1:26" x14ac:dyDescent="0.15">
      <c r="A647" s="36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2"/>
    </row>
    <row r="648" spans="1:26" x14ac:dyDescent="0.15">
      <c r="A648" s="36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2"/>
    </row>
    <row r="649" spans="1:26" x14ac:dyDescent="0.15">
      <c r="A649" s="36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2"/>
    </row>
    <row r="650" spans="1:26" x14ac:dyDescent="0.15">
      <c r="A650" s="36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2"/>
    </row>
    <row r="651" spans="1:26" x14ac:dyDescent="0.15">
      <c r="A651" s="36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2"/>
    </row>
    <row r="652" spans="1:26" x14ac:dyDescent="0.15">
      <c r="A652" s="36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2"/>
    </row>
    <row r="653" spans="1:26" x14ac:dyDescent="0.15">
      <c r="A653" s="36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2"/>
    </row>
    <row r="654" spans="1:26" x14ac:dyDescent="0.15">
      <c r="A654" s="36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2"/>
    </row>
    <row r="655" spans="1:26" x14ac:dyDescent="0.15">
      <c r="A655" s="36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2"/>
    </row>
    <row r="656" spans="1:26" x14ac:dyDescent="0.15">
      <c r="A656" s="36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2"/>
    </row>
    <row r="657" spans="1:26" x14ac:dyDescent="0.15">
      <c r="A657" s="36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2"/>
    </row>
    <row r="658" spans="1:26" x14ac:dyDescent="0.15">
      <c r="A658" s="36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2"/>
    </row>
    <row r="659" spans="1:26" x14ac:dyDescent="0.15">
      <c r="A659" s="36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2"/>
    </row>
    <row r="660" spans="1:26" x14ac:dyDescent="0.15">
      <c r="A660" s="36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2"/>
    </row>
    <row r="661" spans="1:26" x14ac:dyDescent="0.15">
      <c r="A661" s="36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2"/>
    </row>
    <row r="662" spans="1:26" x14ac:dyDescent="0.15">
      <c r="A662" s="36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2"/>
    </row>
    <row r="663" spans="1:26" x14ac:dyDescent="0.15">
      <c r="A663" s="36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2"/>
    </row>
    <row r="664" spans="1:26" x14ac:dyDescent="0.15">
      <c r="A664" s="36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2"/>
    </row>
    <row r="665" spans="1:26" x14ac:dyDescent="0.15">
      <c r="A665" s="36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2"/>
    </row>
    <row r="666" spans="1:26" x14ac:dyDescent="0.15">
      <c r="A666" s="36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2"/>
    </row>
    <row r="667" spans="1:26" x14ac:dyDescent="0.15">
      <c r="A667" s="36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2"/>
    </row>
    <row r="668" spans="1:26" x14ac:dyDescent="0.15">
      <c r="A668" s="36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2"/>
    </row>
    <row r="669" spans="1:26" x14ac:dyDescent="0.15">
      <c r="A669" s="36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2"/>
    </row>
    <row r="670" spans="1:26" x14ac:dyDescent="0.15">
      <c r="A670" s="36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2"/>
    </row>
    <row r="671" spans="1:26" x14ac:dyDescent="0.15">
      <c r="A671" s="36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2"/>
    </row>
    <row r="672" spans="1:26" x14ac:dyDescent="0.15">
      <c r="A672" s="36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2"/>
    </row>
    <row r="673" spans="1:26" x14ac:dyDescent="0.15">
      <c r="A673" s="36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2"/>
    </row>
    <row r="674" spans="1:26" x14ac:dyDescent="0.15">
      <c r="A674" s="36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2"/>
    </row>
    <row r="675" spans="1:26" x14ac:dyDescent="0.15">
      <c r="A675" s="36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2"/>
    </row>
    <row r="676" spans="1:26" x14ac:dyDescent="0.15">
      <c r="A676" s="36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2"/>
    </row>
    <row r="677" spans="1:26" x14ac:dyDescent="0.15">
      <c r="A677" s="36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2"/>
    </row>
    <row r="678" spans="1:26" x14ac:dyDescent="0.15">
      <c r="A678" s="36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2"/>
    </row>
    <row r="679" spans="1:26" x14ac:dyDescent="0.15">
      <c r="A679" s="36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2"/>
    </row>
    <row r="680" spans="1:26" x14ac:dyDescent="0.15">
      <c r="A680" s="36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2"/>
    </row>
    <row r="681" spans="1:26" x14ac:dyDescent="0.15">
      <c r="A681" s="36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2"/>
    </row>
    <row r="682" spans="1:26" x14ac:dyDescent="0.15">
      <c r="A682" s="36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2"/>
    </row>
    <row r="683" spans="1:26" x14ac:dyDescent="0.15">
      <c r="A683" s="36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2"/>
    </row>
    <row r="684" spans="1:26" x14ac:dyDescent="0.15">
      <c r="A684" s="36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2"/>
    </row>
    <row r="685" spans="1:26" x14ac:dyDescent="0.15">
      <c r="A685" s="36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2"/>
    </row>
    <row r="686" spans="1:26" x14ac:dyDescent="0.15">
      <c r="A686" s="36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2"/>
    </row>
    <row r="687" spans="1:26" x14ac:dyDescent="0.15">
      <c r="A687" s="36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2"/>
    </row>
    <row r="688" spans="1:26" x14ac:dyDescent="0.15">
      <c r="A688" s="36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2"/>
    </row>
    <row r="689" spans="1:26" x14ac:dyDescent="0.15">
      <c r="A689" s="36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2"/>
    </row>
    <row r="690" spans="1:26" x14ac:dyDescent="0.15">
      <c r="A690" s="36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2"/>
    </row>
    <row r="691" spans="1:26" x14ac:dyDescent="0.15">
      <c r="A691" s="36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2"/>
    </row>
    <row r="692" spans="1:26" x14ac:dyDescent="0.15">
      <c r="A692" s="36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2"/>
    </row>
    <row r="693" spans="1:26" x14ac:dyDescent="0.15">
      <c r="A693" s="36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2"/>
    </row>
    <row r="694" spans="1:26" x14ac:dyDescent="0.15">
      <c r="A694" s="36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2"/>
    </row>
    <row r="695" spans="1:26" x14ac:dyDescent="0.15">
      <c r="A695" s="36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2"/>
    </row>
    <row r="696" spans="1:26" x14ac:dyDescent="0.15">
      <c r="A696" s="36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2"/>
    </row>
    <row r="697" spans="1:26" x14ac:dyDescent="0.15">
      <c r="A697" s="36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2"/>
    </row>
    <row r="698" spans="1:26" x14ac:dyDescent="0.15">
      <c r="A698" s="36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2"/>
    </row>
    <row r="699" spans="1:26" x14ac:dyDescent="0.15">
      <c r="A699" s="36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2"/>
    </row>
    <row r="700" spans="1:26" x14ac:dyDescent="0.15">
      <c r="A700" s="36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2"/>
    </row>
    <row r="701" spans="1:26" x14ac:dyDescent="0.15">
      <c r="A701" s="36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2"/>
    </row>
    <row r="702" spans="1:26" x14ac:dyDescent="0.15">
      <c r="A702" s="36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2"/>
    </row>
    <row r="703" spans="1:26" x14ac:dyDescent="0.15">
      <c r="A703" s="36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2"/>
    </row>
    <row r="704" spans="1:26" x14ac:dyDescent="0.15">
      <c r="A704" s="36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2"/>
    </row>
    <row r="705" spans="1:26" x14ac:dyDescent="0.15">
      <c r="A705" s="36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2"/>
    </row>
    <row r="706" spans="1:26" x14ac:dyDescent="0.15">
      <c r="A706" s="36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2"/>
    </row>
    <row r="707" spans="1:26" x14ac:dyDescent="0.15">
      <c r="A707" s="36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2"/>
    </row>
    <row r="708" spans="1:26" x14ac:dyDescent="0.15">
      <c r="A708" s="36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2"/>
    </row>
    <row r="709" spans="1:26" x14ac:dyDescent="0.15">
      <c r="A709" s="36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2"/>
    </row>
    <row r="710" spans="1:26" x14ac:dyDescent="0.15">
      <c r="A710" s="36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2"/>
    </row>
    <row r="711" spans="1:26" x14ac:dyDescent="0.15">
      <c r="A711" s="36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2"/>
    </row>
    <row r="712" spans="1:26" x14ac:dyDescent="0.15">
      <c r="A712" s="36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2"/>
    </row>
    <row r="713" spans="1:26" x14ac:dyDescent="0.15">
      <c r="A713" s="36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2"/>
    </row>
    <row r="714" spans="1:26" x14ac:dyDescent="0.15">
      <c r="A714" s="36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2"/>
    </row>
    <row r="715" spans="1:26" x14ac:dyDescent="0.15">
      <c r="A715" s="36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2"/>
    </row>
    <row r="716" spans="1:26" x14ac:dyDescent="0.15">
      <c r="A716" s="36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2"/>
    </row>
    <row r="717" spans="1:26" x14ac:dyDescent="0.15">
      <c r="A717" s="36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2"/>
    </row>
    <row r="718" spans="1:26" x14ac:dyDescent="0.15">
      <c r="A718" s="36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2"/>
    </row>
    <row r="719" spans="1:26" x14ac:dyDescent="0.15">
      <c r="A719" s="36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2"/>
    </row>
    <row r="720" spans="1:26" x14ac:dyDescent="0.15">
      <c r="A720" s="36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2"/>
    </row>
    <row r="721" spans="1:26" x14ac:dyDescent="0.15">
      <c r="A721" s="36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2"/>
    </row>
    <row r="722" spans="1:26" x14ac:dyDescent="0.15">
      <c r="A722" s="36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2"/>
    </row>
    <row r="723" spans="1:26" x14ac:dyDescent="0.15">
      <c r="A723" s="36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2"/>
    </row>
    <row r="724" spans="1:26" x14ac:dyDescent="0.15">
      <c r="A724" s="36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2"/>
    </row>
    <row r="725" spans="1:26" x14ac:dyDescent="0.15">
      <c r="A725" s="36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2"/>
    </row>
    <row r="726" spans="1:26" x14ac:dyDescent="0.15">
      <c r="A726" s="36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2"/>
    </row>
    <row r="727" spans="1:26" x14ac:dyDescent="0.15">
      <c r="A727" s="36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2"/>
    </row>
    <row r="728" spans="1:26" x14ac:dyDescent="0.15">
      <c r="A728" s="36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2"/>
    </row>
    <row r="729" spans="1:26" x14ac:dyDescent="0.15">
      <c r="A729" s="36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2"/>
    </row>
    <row r="730" spans="1:26" x14ac:dyDescent="0.15">
      <c r="A730" s="36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2"/>
    </row>
    <row r="731" spans="1:26" x14ac:dyDescent="0.15">
      <c r="A731" s="36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2"/>
    </row>
    <row r="732" spans="1:26" x14ac:dyDescent="0.15">
      <c r="A732" s="36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2"/>
    </row>
    <row r="733" spans="1:26" x14ac:dyDescent="0.15">
      <c r="A733" s="36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2"/>
    </row>
    <row r="734" spans="1:26" x14ac:dyDescent="0.15">
      <c r="A734" s="36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2"/>
    </row>
    <row r="735" spans="1:26" x14ac:dyDescent="0.15">
      <c r="A735" s="36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2"/>
    </row>
    <row r="736" spans="1:26" x14ac:dyDescent="0.15">
      <c r="A736" s="36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2"/>
    </row>
    <row r="737" spans="1:26" x14ac:dyDescent="0.15">
      <c r="A737" s="36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2"/>
    </row>
    <row r="738" spans="1:26" x14ac:dyDescent="0.15">
      <c r="A738" s="36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2"/>
    </row>
    <row r="739" spans="1:26" x14ac:dyDescent="0.15">
      <c r="A739" s="36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2"/>
    </row>
    <row r="740" spans="1:26" x14ac:dyDescent="0.15">
      <c r="A740" s="36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2"/>
    </row>
    <row r="741" spans="1:26" x14ac:dyDescent="0.15">
      <c r="A741" s="36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2"/>
    </row>
    <row r="742" spans="1:26" x14ac:dyDescent="0.15">
      <c r="A742" s="36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2"/>
    </row>
    <row r="743" spans="1:26" x14ac:dyDescent="0.15">
      <c r="A743" s="36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2"/>
    </row>
    <row r="744" spans="1:26" x14ac:dyDescent="0.15">
      <c r="A744" s="36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2"/>
    </row>
    <row r="745" spans="1:26" x14ac:dyDescent="0.15">
      <c r="A745" s="36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2"/>
    </row>
    <row r="746" spans="1:26" x14ac:dyDescent="0.15">
      <c r="A746" s="36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2"/>
    </row>
    <row r="747" spans="1:26" x14ac:dyDescent="0.15">
      <c r="A747" s="36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2"/>
    </row>
    <row r="748" spans="1:26" x14ac:dyDescent="0.15">
      <c r="A748" s="36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2"/>
    </row>
    <row r="749" spans="1:26" x14ac:dyDescent="0.15">
      <c r="A749" s="36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2"/>
    </row>
    <row r="750" spans="1:26" x14ac:dyDescent="0.15">
      <c r="A750" s="36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2"/>
    </row>
    <row r="751" spans="1:26" x14ac:dyDescent="0.15">
      <c r="A751" s="36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2"/>
    </row>
    <row r="752" spans="1:26" x14ac:dyDescent="0.15">
      <c r="A752" s="36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2"/>
    </row>
    <row r="753" spans="1:26" x14ac:dyDescent="0.15">
      <c r="A753" s="36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2"/>
    </row>
    <row r="754" spans="1:26" x14ac:dyDescent="0.15">
      <c r="A754" s="36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2"/>
    </row>
    <row r="755" spans="1:26" x14ac:dyDescent="0.15">
      <c r="A755" s="36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2"/>
    </row>
    <row r="756" spans="1:26" x14ac:dyDescent="0.15">
      <c r="A756" s="36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2"/>
    </row>
    <row r="757" spans="1:26" x14ac:dyDescent="0.15">
      <c r="A757" s="36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2"/>
    </row>
    <row r="758" spans="1:26" x14ac:dyDescent="0.15">
      <c r="A758" s="36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2"/>
    </row>
    <row r="759" spans="1:26" x14ac:dyDescent="0.15">
      <c r="A759" s="36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2"/>
    </row>
    <row r="760" spans="1:26" x14ac:dyDescent="0.15">
      <c r="A760" s="36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2"/>
    </row>
    <row r="761" spans="1:26" x14ac:dyDescent="0.15">
      <c r="A761" s="36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2"/>
    </row>
    <row r="762" spans="1:26" x14ac:dyDescent="0.15">
      <c r="A762" s="36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2"/>
    </row>
    <row r="763" spans="1:26" x14ac:dyDescent="0.15">
      <c r="A763" s="36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2"/>
    </row>
    <row r="764" spans="1:26" x14ac:dyDescent="0.15">
      <c r="A764" s="36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2"/>
    </row>
    <row r="765" spans="1:26" x14ac:dyDescent="0.15">
      <c r="A765" s="36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2"/>
    </row>
    <row r="766" spans="1:26" x14ac:dyDescent="0.15">
      <c r="A766" s="36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2"/>
    </row>
    <row r="767" spans="1:26" x14ac:dyDescent="0.15">
      <c r="A767" s="36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2"/>
    </row>
    <row r="768" spans="1:26" x14ac:dyDescent="0.15">
      <c r="A768" s="36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2"/>
    </row>
    <row r="769" spans="1:26" x14ac:dyDescent="0.15">
      <c r="A769" s="36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2"/>
    </row>
    <row r="770" spans="1:26" x14ac:dyDescent="0.15">
      <c r="A770" s="36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2"/>
    </row>
    <row r="771" spans="1:26" x14ac:dyDescent="0.15">
      <c r="A771" s="36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2"/>
    </row>
    <row r="772" spans="1:26" x14ac:dyDescent="0.15">
      <c r="A772" s="36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2"/>
    </row>
    <row r="773" spans="1:26" x14ac:dyDescent="0.15">
      <c r="A773" s="36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2"/>
    </row>
    <row r="774" spans="1:26" x14ac:dyDescent="0.15">
      <c r="A774" s="36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2"/>
    </row>
    <row r="775" spans="1:26" x14ac:dyDescent="0.15">
      <c r="A775" s="36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2"/>
    </row>
    <row r="776" spans="1:26" x14ac:dyDescent="0.15">
      <c r="A776" s="36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2"/>
    </row>
    <row r="777" spans="1:26" x14ac:dyDescent="0.15">
      <c r="A777" s="36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2"/>
    </row>
    <row r="778" spans="1:26" x14ac:dyDescent="0.15">
      <c r="A778" s="36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2"/>
    </row>
    <row r="779" spans="1:26" x14ac:dyDescent="0.15">
      <c r="A779" s="36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2"/>
    </row>
    <row r="780" spans="1:26" x14ac:dyDescent="0.15">
      <c r="A780" s="36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2"/>
    </row>
    <row r="781" spans="1:26" x14ac:dyDescent="0.15">
      <c r="A781" s="36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2"/>
    </row>
    <row r="782" spans="1:26" x14ac:dyDescent="0.15">
      <c r="A782" s="36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2"/>
    </row>
    <row r="783" spans="1:26" x14ac:dyDescent="0.15">
      <c r="A783" s="36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2"/>
    </row>
    <row r="784" spans="1:26" x14ac:dyDescent="0.15">
      <c r="A784" s="36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2"/>
    </row>
    <row r="785" spans="1:26" x14ac:dyDescent="0.15">
      <c r="A785" s="36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2"/>
    </row>
    <row r="786" spans="1:26" x14ac:dyDescent="0.15">
      <c r="A786" s="36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2"/>
    </row>
    <row r="787" spans="1:26" x14ac:dyDescent="0.15">
      <c r="A787" s="36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2"/>
    </row>
    <row r="788" spans="1:26" x14ac:dyDescent="0.15">
      <c r="A788" s="36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2"/>
    </row>
    <row r="789" spans="1:26" x14ac:dyDescent="0.15">
      <c r="A789" s="36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2"/>
    </row>
    <row r="790" spans="1:26" x14ac:dyDescent="0.15">
      <c r="A790" s="36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2"/>
    </row>
    <row r="791" spans="1:26" x14ac:dyDescent="0.15">
      <c r="A791" s="36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2"/>
    </row>
    <row r="792" spans="1:26" x14ac:dyDescent="0.15">
      <c r="A792" s="36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2"/>
    </row>
    <row r="793" spans="1:26" x14ac:dyDescent="0.15">
      <c r="A793" s="36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2"/>
    </row>
    <row r="794" spans="1:26" x14ac:dyDescent="0.15">
      <c r="A794" s="36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2"/>
    </row>
    <row r="795" spans="1:26" x14ac:dyDescent="0.15">
      <c r="A795" s="36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2"/>
    </row>
    <row r="796" spans="1:26" x14ac:dyDescent="0.15">
      <c r="A796" s="36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2"/>
    </row>
    <row r="797" spans="1:26" x14ac:dyDescent="0.15">
      <c r="A797" s="36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2"/>
    </row>
    <row r="798" spans="1:26" x14ac:dyDescent="0.15">
      <c r="A798" s="36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2"/>
    </row>
    <row r="799" spans="1:26" x14ac:dyDescent="0.15">
      <c r="A799" s="36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2"/>
    </row>
    <row r="800" spans="1:26" x14ac:dyDescent="0.15">
      <c r="A800" s="36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2"/>
    </row>
    <row r="801" spans="1:26" x14ac:dyDescent="0.15">
      <c r="A801" s="36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2"/>
    </row>
    <row r="802" spans="1:26" x14ac:dyDescent="0.15">
      <c r="A802" s="36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2"/>
    </row>
    <row r="803" spans="1:26" x14ac:dyDescent="0.15">
      <c r="A803" s="36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2"/>
    </row>
    <row r="804" spans="1:26" x14ac:dyDescent="0.15">
      <c r="A804" s="36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2"/>
    </row>
    <row r="805" spans="1:26" x14ac:dyDescent="0.15">
      <c r="A805" s="36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2"/>
    </row>
    <row r="806" spans="1:26" x14ac:dyDescent="0.15">
      <c r="A806" s="36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2"/>
    </row>
    <row r="807" spans="1:26" x14ac:dyDescent="0.15">
      <c r="A807" s="36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2"/>
    </row>
    <row r="808" spans="1:26" x14ac:dyDescent="0.15">
      <c r="A808" s="36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2"/>
    </row>
    <row r="809" spans="1:26" x14ac:dyDescent="0.15">
      <c r="A809" s="36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2"/>
    </row>
    <row r="810" spans="1:26" x14ac:dyDescent="0.15">
      <c r="A810" s="36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2"/>
    </row>
    <row r="811" spans="1:26" x14ac:dyDescent="0.15">
      <c r="A811" s="36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2"/>
    </row>
    <row r="812" spans="1:26" x14ac:dyDescent="0.15">
      <c r="A812" s="36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2"/>
    </row>
    <row r="813" spans="1:26" x14ac:dyDescent="0.15">
      <c r="A813" s="36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2"/>
    </row>
    <row r="814" spans="1:26" x14ac:dyDescent="0.15">
      <c r="A814" s="36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2"/>
    </row>
    <row r="815" spans="1:26" x14ac:dyDescent="0.15">
      <c r="A815" s="36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2"/>
    </row>
    <row r="816" spans="1:26" x14ac:dyDescent="0.15">
      <c r="A816" s="36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2"/>
    </row>
    <row r="817" spans="1:26" x14ac:dyDescent="0.15">
      <c r="A817" s="36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2"/>
    </row>
    <row r="818" spans="1:26" x14ac:dyDescent="0.15">
      <c r="A818" s="36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2"/>
    </row>
    <row r="819" spans="1:26" x14ac:dyDescent="0.15">
      <c r="A819" s="36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2"/>
    </row>
    <row r="820" spans="1:26" x14ac:dyDescent="0.15">
      <c r="A820" s="36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2"/>
    </row>
    <row r="821" spans="1:26" x14ac:dyDescent="0.15">
      <c r="A821" s="36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2"/>
    </row>
    <row r="822" spans="1:26" x14ac:dyDescent="0.15">
      <c r="A822" s="36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2"/>
    </row>
    <row r="823" spans="1:26" x14ac:dyDescent="0.15">
      <c r="A823" s="36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2"/>
    </row>
    <row r="824" spans="1:26" x14ac:dyDescent="0.15">
      <c r="A824" s="36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2"/>
    </row>
    <row r="825" spans="1:26" x14ac:dyDescent="0.15">
      <c r="A825" s="36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2"/>
    </row>
    <row r="826" spans="1:26" x14ac:dyDescent="0.15">
      <c r="A826" s="36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2"/>
    </row>
    <row r="827" spans="1:26" x14ac:dyDescent="0.15">
      <c r="A827" s="36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2"/>
    </row>
    <row r="828" spans="1:26" x14ac:dyDescent="0.15">
      <c r="A828" s="36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2"/>
    </row>
    <row r="829" spans="1:26" x14ac:dyDescent="0.15">
      <c r="A829" s="36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2"/>
    </row>
    <row r="830" spans="1:26" x14ac:dyDescent="0.15">
      <c r="A830" s="36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2"/>
    </row>
    <row r="831" spans="1:26" x14ac:dyDescent="0.15">
      <c r="A831" s="36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2"/>
    </row>
    <row r="832" spans="1:26" x14ac:dyDescent="0.15">
      <c r="A832" s="36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2"/>
    </row>
    <row r="833" spans="1:26" x14ac:dyDescent="0.15">
      <c r="A833" s="36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2"/>
    </row>
    <row r="834" spans="1:26" x14ac:dyDescent="0.15">
      <c r="A834" s="36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2"/>
    </row>
    <row r="835" spans="1:26" x14ac:dyDescent="0.15">
      <c r="A835" s="36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2"/>
    </row>
    <row r="836" spans="1:26" x14ac:dyDescent="0.15">
      <c r="A836" s="36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2"/>
    </row>
    <row r="837" spans="1:26" x14ac:dyDescent="0.15">
      <c r="A837" s="36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2"/>
    </row>
    <row r="838" spans="1:26" x14ac:dyDescent="0.15">
      <c r="A838" s="36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2"/>
    </row>
    <row r="839" spans="1:26" x14ac:dyDescent="0.15">
      <c r="A839" s="36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2"/>
    </row>
    <row r="840" spans="1:26" x14ac:dyDescent="0.15">
      <c r="A840" s="36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2"/>
    </row>
    <row r="841" spans="1:26" x14ac:dyDescent="0.15">
      <c r="A841" s="36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2"/>
    </row>
    <row r="842" spans="1:26" x14ac:dyDescent="0.15">
      <c r="A842" s="36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2"/>
    </row>
    <row r="843" spans="1:26" x14ac:dyDescent="0.15">
      <c r="A843" s="36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2"/>
    </row>
    <row r="844" spans="1:26" x14ac:dyDescent="0.15">
      <c r="A844" s="36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2"/>
    </row>
    <row r="845" spans="1:26" x14ac:dyDescent="0.15">
      <c r="A845" s="36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2"/>
    </row>
    <row r="846" spans="1:26" x14ac:dyDescent="0.15">
      <c r="A846" s="36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2"/>
    </row>
    <row r="847" spans="1:26" x14ac:dyDescent="0.15">
      <c r="A847" s="36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2"/>
    </row>
    <row r="848" spans="1:26" x14ac:dyDescent="0.15">
      <c r="A848" s="36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2"/>
    </row>
    <row r="849" spans="1:26" x14ac:dyDescent="0.15">
      <c r="A849" s="36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2"/>
    </row>
    <row r="850" spans="1:26" x14ac:dyDescent="0.15">
      <c r="A850" s="36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2"/>
    </row>
    <row r="851" spans="1:26" x14ac:dyDescent="0.15">
      <c r="A851" s="36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2"/>
    </row>
    <row r="852" spans="1:26" x14ac:dyDescent="0.15">
      <c r="A852" s="36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2"/>
    </row>
    <row r="853" spans="1:26" x14ac:dyDescent="0.15">
      <c r="A853" s="36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2"/>
    </row>
    <row r="854" spans="1:26" x14ac:dyDescent="0.15">
      <c r="A854" s="36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2"/>
    </row>
    <row r="855" spans="1:26" x14ac:dyDescent="0.15">
      <c r="A855" s="36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2"/>
    </row>
    <row r="856" spans="1:26" x14ac:dyDescent="0.15">
      <c r="A856" s="36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2"/>
    </row>
    <row r="857" spans="1:26" x14ac:dyDescent="0.15">
      <c r="A857" s="36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2"/>
    </row>
    <row r="858" spans="1:26" x14ac:dyDescent="0.15">
      <c r="A858" s="36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2"/>
    </row>
    <row r="859" spans="1:26" x14ac:dyDescent="0.15">
      <c r="A859" s="36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2"/>
    </row>
    <row r="860" spans="1:26" x14ac:dyDescent="0.15">
      <c r="A860" s="36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2"/>
    </row>
    <row r="861" spans="1:26" x14ac:dyDescent="0.15">
      <c r="A861" s="36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2"/>
    </row>
    <row r="862" spans="1:26" x14ac:dyDescent="0.15">
      <c r="A862" s="36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2"/>
    </row>
    <row r="863" spans="1:26" x14ac:dyDescent="0.15">
      <c r="A863" s="36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2"/>
    </row>
    <row r="864" spans="1:26" x14ac:dyDescent="0.15">
      <c r="A864" s="36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2"/>
    </row>
    <row r="865" spans="1:26" x14ac:dyDescent="0.15">
      <c r="A865" s="36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2"/>
    </row>
    <row r="866" spans="1:26" x14ac:dyDescent="0.15">
      <c r="A866" s="36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2"/>
    </row>
    <row r="867" spans="1:26" x14ac:dyDescent="0.15">
      <c r="A867" s="36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2"/>
    </row>
    <row r="868" spans="1:26" x14ac:dyDescent="0.15">
      <c r="A868" s="36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2"/>
    </row>
    <row r="869" spans="1:26" x14ac:dyDescent="0.15">
      <c r="A869" s="36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2"/>
    </row>
    <row r="870" spans="1:26" x14ac:dyDescent="0.15">
      <c r="A870" s="36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2"/>
    </row>
    <row r="871" spans="1:26" x14ac:dyDescent="0.15">
      <c r="A871" s="36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2"/>
    </row>
    <row r="872" spans="1:26" x14ac:dyDescent="0.15">
      <c r="A872" s="36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2"/>
    </row>
    <row r="873" spans="1:26" x14ac:dyDescent="0.15">
      <c r="A873" s="36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2"/>
    </row>
    <row r="874" spans="1:26" x14ac:dyDescent="0.15">
      <c r="A874" s="36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2"/>
    </row>
    <row r="875" spans="1:26" x14ac:dyDescent="0.15">
      <c r="A875" s="36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2"/>
    </row>
    <row r="876" spans="1:26" x14ac:dyDescent="0.15">
      <c r="A876" s="36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2"/>
    </row>
    <row r="877" spans="1:26" x14ac:dyDescent="0.15">
      <c r="A877" s="36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2"/>
    </row>
    <row r="878" spans="1:26" x14ac:dyDescent="0.15">
      <c r="A878" s="36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2"/>
    </row>
    <row r="879" spans="1:26" x14ac:dyDescent="0.15">
      <c r="A879" s="36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2"/>
    </row>
    <row r="880" spans="1:26" x14ac:dyDescent="0.15">
      <c r="A880" s="36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2"/>
    </row>
    <row r="881" spans="1:26" x14ac:dyDescent="0.15">
      <c r="A881" s="36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2"/>
    </row>
    <row r="882" spans="1:26" x14ac:dyDescent="0.15">
      <c r="A882" s="36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2"/>
    </row>
    <row r="883" spans="1:26" x14ac:dyDescent="0.15">
      <c r="A883" s="36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2"/>
    </row>
    <row r="884" spans="1:26" x14ac:dyDescent="0.15">
      <c r="A884" s="36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2"/>
    </row>
    <row r="885" spans="1:26" x14ac:dyDescent="0.15">
      <c r="A885" s="36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2"/>
    </row>
    <row r="886" spans="1:26" x14ac:dyDescent="0.15">
      <c r="A886" s="36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2"/>
    </row>
    <row r="887" spans="1:26" x14ac:dyDescent="0.15">
      <c r="A887" s="36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2"/>
    </row>
    <row r="888" spans="1:26" x14ac:dyDescent="0.15">
      <c r="A888" s="36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2"/>
    </row>
    <row r="889" spans="1:26" x14ac:dyDescent="0.15">
      <c r="A889" s="36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2"/>
    </row>
    <row r="890" spans="1:26" x14ac:dyDescent="0.15">
      <c r="A890" s="36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2"/>
    </row>
    <row r="891" spans="1:26" x14ac:dyDescent="0.15">
      <c r="A891" s="36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2"/>
    </row>
    <row r="892" spans="1:26" x14ac:dyDescent="0.15">
      <c r="A892" s="36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2"/>
    </row>
    <row r="893" spans="1:26" x14ac:dyDescent="0.15">
      <c r="A893" s="36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2"/>
    </row>
    <row r="894" spans="1:26" x14ac:dyDescent="0.15">
      <c r="A894" s="36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2"/>
    </row>
    <row r="895" spans="1:26" x14ac:dyDescent="0.15">
      <c r="A895" s="36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2"/>
    </row>
    <row r="896" spans="1:26" x14ac:dyDescent="0.15">
      <c r="A896" s="36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2"/>
    </row>
    <row r="897" spans="1:26" x14ac:dyDescent="0.15">
      <c r="A897" s="36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2"/>
    </row>
    <row r="898" spans="1:26" x14ac:dyDescent="0.15">
      <c r="A898" s="36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2"/>
    </row>
    <row r="899" spans="1:26" x14ac:dyDescent="0.15">
      <c r="A899" s="36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2"/>
    </row>
    <row r="900" spans="1:26" x14ac:dyDescent="0.15">
      <c r="A900" s="36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2"/>
    </row>
    <row r="901" spans="1:26" x14ac:dyDescent="0.15">
      <c r="A901" s="36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2"/>
    </row>
    <row r="902" spans="1:26" x14ac:dyDescent="0.15">
      <c r="A902" s="36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2"/>
    </row>
    <row r="903" spans="1:26" x14ac:dyDescent="0.15">
      <c r="A903" s="36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2"/>
    </row>
    <row r="904" spans="1:26" x14ac:dyDescent="0.15">
      <c r="A904" s="36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2"/>
    </row>
    <row r="905" spans="1:26" x14ac:dyDescent="0.15">
      <c r="A905" s="36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2"/>
    </row>
    <row r="906" spans="1:26" x14ac:dyDescent="0.15">
      <c r="A906" s="36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2"/>
    </row>
    <row r="907" spans="1:26" x14ac:dyDescent="0.15">
      <c r="A907" s="36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2"/>
    </row>
    <row r="908" spans="1:26" x14ac:dyDescent="0.15">
      <c r="A908" s="36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2"/>
    </row>
    <row r="909" spans="1:26" x14ac:dyDescent="0.15">
      <c r="A909" s="36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2"/>
    </row>
    <row r="910" spans="1:26" x14ac:dyDescent="0.15">
      <c r="A910" s="36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2"/>
    </row>
    <row r="911" spans="1:26" x14ac:dyDescent="0.15">
      <c r="A911" s="36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2"/>
    </row>
    <row r="912" spans="1:26" x14ac:dyDescent="0.15">
      <c r="A912" s="36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2"/>
    </row>
    <row r="913" spans="1:26" x14ac:dyDescent="0.15">
      <c r="A913" s="36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2"/>
    </row>
    <row r="914" spans="1:26" x14ac:dyDescent="0.15">
      <c r="A914" s="36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2"/>
    </row>
    <row r="915" spans="1:26" x14ac:dyDescent="0.15">
      <c r="A915" s="36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2"/>
    </row>
    <row r="916" spans="1:26" x14ac:dyDescent="0.15">
      <c r="A916" s="36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2"/>
    </row>
    <row r="917" spans="1:26" x14ac:dyDescent="0.15">
      <c r="A917" s="36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2"/>
    </row>
    <row r="918" spans="1:26" x14ac:dyDescent="0.15">
      <c r="A918" s="36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2"/>
    </row>
    <row r="919" spans="1:26" x14ac:dyDescent="0.15">
      <c r="A919" s="36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2"/>
    </row>
    <row r="920" spans="1:26" x14ac:dyDescent="0.15">
      <c r="A920" s="36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2"/>
    </row>
    <row r="921" spans="1:26" x14ac:dyDescent="0.15">
      <c r="A921" s="36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2"/>
    </row>
    <row r="922" spans="1:26" x14ac:dyDescent="0.15">
      <c r="A922" s="36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2"/>
    </row>
    <row r="923" spans="1:26" x14ac:dyDescent="0.15">
      <c r="A923" s="36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2"/>
    </row>
    <row r="924" spans="1:26" x14ac:dyDescent="0.15">
      <c r="A924" s="36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2"/>
    </row>
    <row r="925" spans="1:26" x14ac:dyDescent="0.15">
      <c r="A925" s="36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2"/>
    </row>
    <row r="926" spans="1:26" x14ac:dyDescent="0.15">
      <c r="A926" s="36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2"/>
    </row>
    <row r="927" spans="1:26" x14ac:dyDescent="0.15">
      <c r="A927" s="36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2"/>
    </row>
    <row r="928" spans="1:26" x14ac:dyDescent="0.15">
      <c r="A928" s="36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2"/>
    </row>
    <row r="929" spans="1:26" x14ac:dyDescent="0.15">
      <c r="A929" s="36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2"/>
    </row>
    <row r="930" spans="1:26" x14ac:dyDescent="0.15">
      <c r="A930" s="36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2"/>
    </row>
    <row r="931" spans="1:26" x14ac:dyDescent="0.15">
      <c r="A931" s="36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2"/>
    </row>
    <row r="932" spans="1:26" x14ac:dyDescent="0.15">
      <c r="A932" s="36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2"/>
    </row>
    <row r="933" spans="1:26" x14ac:dyDescent="0.15">
      <c r="A933" s="36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2"/>
    </row>
    <row r="934" spans="1:26" x14ac:dyDescent="0.15">
      <c r="A934" s="36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2"/>
    </row>
    <row r="935" spans="1:26" x14ac:dyDescent="0.15">
      <c r="A935" s="36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2"/>
    </row>
    <row r="936" spans="1:26" x14ac:dyDescent="0.15">
      <c r="A936" s="36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2"/>
    </row>
    <row r="937" spans="1:26" x14ac:dyDescent="0.15">
      <c r="A937" s="36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2"/>
    </row>
    <row r="938" spans="1:26" x14ac:dyDescent="0.15">
      <c r="A938" s="36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2"/>
    </row>
    <row r="939" spans="1:26" x14ac:dyDescent="0.15">
      <c r="A939" s="36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2"/>
    </row>
    <row r="940" spans="1:26" x14ac:dyDescent="0.15">
      <c r="A940" s="36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2"/>
    </row>
    <row r="941" spans="1:26" x14ac:dyDescent="0.15">
      <c r="A941" s="36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2"/>
    </row>
    <row r="942" spans="1:26" x14ac:dyDescent="0.15">
      <c r="A942" s="36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2"/>
    </row>
    <row r="943" spans="1:26" x14ac:dyDescent="0.15">
      <c r="A943" s="36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2"/>
    </row>
    <row r="944" spans="1:26" x14ac:dyDescent="0.15">
      <c r="A944" s="36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2"/>
    </row>
    <row r="945" spans="1:26" x14ac:dyDescent="0.15">
      <c r="A945" s="36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2"/>
    </row>
    <row r="946" spans="1:26" x14ac:dyDescent="0.15">
      <c r="A946" s="36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2"/>
    </row>
    <row r="947" spans="1:26" x14ac:dyDescent="0.15">
      <c r="A947" s="36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2"/>
    </row>
    <row r="948" spans="1:26" x14ac:dyDescent="0.15">
      <c r="A948" s="36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2"/>
    </row>
    <row r="949" spans="1:26" x14ac:dyDescent="0.15">
      <c r="A949" s="36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2"/>
    </row>
    <row r="950" spans="1:26" x14ac:dyDescent="0.15">
      <c r="A950" s="36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2"/>
    </row>
    <row r="951" spans="1:26" x14ac:dyDescent="0.15">
      <c r="A951" s="36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2"/>
    </row>
    <row r="952" spans="1:26" x14ac:dyDescent="0.15">
      <c r="A952" s="36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2"/>
    </row>
    <row r="953" spans="1:26" x14ac:dyDescent="0.15">
      <c r="A953" s="36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2"/>
    </row>
    <row r="954" spans="1:26" x14ac:dyDescent="0.15">
      <c r="A954" s="36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2"/>
    </row>
    <row r="955" spans="1:26" x14ac:dyDescent="0.15">
      <c r="A955" s="36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2"/>
    </row>
    <row r="956" spans="1:26" x14ac:dyDescent="0.15">
      <c r="A956" s="36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2"/>
    </row>
    <row r="957" spans="1:26" x14ac:dyDescent="0.15">
      <c r="A957" s="36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2"/>
    </row>
    <row r="958" spans="1:26" x14ac:dyDescent="0.15">
      <c r="A958" s="36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2"/>
    </row>
    <row r="959" spans="1:26" x14ac:dyDescent="0.15">
      <c r="A959" s="36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2"/>
    </row>
    <row r="960" spans="1:26" x14ac:dyDescent="0.15">
      <c r="A960" s="36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2"/>
    </row>
    <row r="961" spans="1:26" x14ac:dyDescent="0.15">
      <c r="A961" s="36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2"/>
    </row>
    <row r="962" spans="1:26" x14ac:dyDescent="0.15">
      <c r="A962" s="36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2"/>
    </row>
    <row r="963" spans="1:26" x14ac:dyDescent="0.15">
      <c r="A963" s="36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2"/>
    </row>
    <row r="964" spans="1:26" x14ac:dyDescent="0.15">
      <c r="A964" s="36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2"/>
    </row>
    <row r="965" spans="1:26" x14ac:dyDescent="0.15">
      <c r="A965" s="36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2"/>
    </row>
    <row r="966" spans="1:26" x14ac:dyDescent="0.15">
      <c r="A966" s="36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2"/>
    </row>
    <row r="967" spans="1:26" x14ac:dyDescent="0.15">
      <c r="A967" s="36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2"/>
    </row>
    <row r="968" spans="1:26" x14ac:dyDescent="0.15">
      <c r="A968" s="36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2"/>
    </row>
    <row r="969" spans="1:26" x14ac:dyDescent="0.15">
      <c r="A969" s="36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2"/>
    </row>
    <row r="970" spans="1:26" x14ac:dyDescent="0.15">
      <c r="A970" s="36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2"/>
    </row>
    <row r="971" spans="1:26" x14ac:dyDescent="0.15">
      <c r="A971" s="36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2"/>
    </row>
    <row r="972" spans="1:26" x14ac:dyDescent="0.15">
      <c r="A972" s="36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2"/>
    </row>
    <row r="973" spans="1:26" x14ac:dyDescent="0.15">
      <c r="A973" s="36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2"/>
    </row>
    <row r="974" spans="1:26" x14ac:dyDescent="0.15">
      <c r="A974" s="36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2"/>
    </row>
    <row r="975" spans="1:26" x14ac:dyDescent="0.15">
      <c r="A975" s="36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2"/>
    </row>
    <row r="976" spans="1:26" x14ac:dyDescent="0.15">
      <c r="A976" s="36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2"/>
    </row>
    <row r="977" spans="1:26" x14ac:dyDescent="0.15">
      <c r="A977" s="36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2"/>
    </row>
    <row r="978" spans="1:26" x14ac:dyDescent="0.15">
      <c r="A978" s="36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2"/>
    </row>
    <row r="979" spans="1:26" x14ac:dyDescent="0.15">
      <c r="A979" s="36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2"/>
    </row>
    <row r="980" spans="1:26" x14ac:dyDescent="0.15">
      <c r="A980" s="36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2"/>
    </row>
    <row r="981" spans="1:26" x14ac:dyDescent="0.15">
      <c r="A981" s="36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2"/>
    </row>
    <row r="982" spans="1:26" x14ac:dyDescent="0.15">
      <c r="A982" s="36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2"/>
    </row>
    <row r="983" spans="1:26" x14ac:dyDescent="0.15">
      <c r="A983" s="36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2"/>
    </row>
    <row r="984" spans="1:26" x14ac:dyDescent="0.15">
      <c r="A984" s="36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2"/>
    </row>
    <row r="985" spans="1:26" x14ac:dyDescent="0.15">
      <c r="A985" s="36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2"/>
    </row>
    <row r="986" spans="1:26" x14ac:dyDescent="0.15">
      <c r="A986" s="36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2"/>
    </row>
    <row r="987" spans="1:26" x14ac:dyDescent="0.15">
      <c r="A987" s="36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2"/>
    </row>
    <row r="988" spans="1:26" x14ac:dyDescent="0.15">
      <c r="A988" s="36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2"/>
    </row>
    <row r="989" spans="1:26" x14ac:dyDescent="0.15">
      <c r="A989" s="36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2"/>
    </row>
    <row r="990" spans="1:26" x14ac:dyDescent="0.15">
      <c r="A990" s="36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2"/>
    </row>
    <row r="991" spans="1:26" x14ac:dyDescent="0.15">
      <c r="A991" s="36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2"/>
    </row>
    <row r="992" spans="1:26" x14ac:dyDescent="0.15">
      <c r="A992" s="36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2"/>
    </row>
    <row r="993" spans="1:26" x14ac:dyDescent="0.15">
      <c r="A993" s="36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2"/>
    </row>
    <row r="994" spans="1:26" x14ac:dyDescent="0.15">
      <c r="A994" s="36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2"/>
    </row>
    <row r="995" spans="1:26" x14ac:dyDescent="0.15">
      <c r="A995" s="36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2"/>
    </row>
    <row r="996" spans="1:26" x14ac:dyDescent="0.15">
      <c r="A996" s="36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2"/>
    </row>
    <row r="997" spans="1:26" x14ac:dyDescent="0.15">
      <c r="A997" s="36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2"/>
    </row>
    <row r="998" spans="1:26" x14ac:dyDescent="0.15">
      <c r="A998" s="36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2"/>
    </row>
    <row r="999" spans="1:26" x14ac:dyDescent="0.15">
      <c r="A999" s="36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2"/>
    </row>
    <row r="1000" spans="1:26" x14ac:dyDescent="0.15">
      <c r="A1000" s="36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2"/>
    </row>
    <row r="1001" spans="1:26" x14ac:dyDescent="0.15">
      <c r="A1001" s="48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42"/>
    </row>
  </sheetData>
  <mergeCells count="2">
    <mergeCell ref="B1:Q1"/>
    <mergeCell ref="B31:C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7EB1-A993-432D-8833-230DA0358BB5}">
  <dimension ref="B2:S48"/>
  <sheetViews>
    <sheetView topLeftCell="A3" zoomScale="114" workbookViewId="0">
      <selection activeCell="B18" sqref="B18"/>
    </sheetView>
  </sheetViews>
  <sheetFormatPr baseColWidth="10" defaultColWidth="8.83203125" defaultRowHeight="14" x14ac:dyDescent="0.15"/>
  <cols>
    <col min="1" max="1" width="8.83203125" style="67"/>
    <col min="2" max="2" width="43.83203125" style="67" customWidth="1"/>
    <col min="3" max="3" width="12.83203125" style="67" bestFit="1" customWidth="1"/>
    <col min="4" max="6" width="15.1640625" style="67" bestFit="1" customWidth="1"/>
    <col min="7" max="12" width="16.5" style="67" bestFit="1" customWidth="1"/>
    <col min="13" max="17" width="15.6640625" style="67" bestFit="1" customWidth="1"/>
    <col min="18" max="18" width="16.6640625" style="67" bestFit="1" customWidth="1"/>
    <col min="19" max="16384" width="8.83203125" style="67"/>
  </cols>
  <sheetData>
    <row r="2" spans="2:19" x14ac:dyDescent="0.15">
      <c r="B2" s="73"/>
      <c r="C2" s="7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68"/>
    </row>
    <row r="3" spans="2:19" x14ac:dyDescent="0.15">
      <c r="B3" s="72"/>
      <c r="C3" s="2">
        <v>45658</v>
      </c>
      <c r="D3" s="3">
        <v>2025</v>
      </c>
      <c r="E3" s="3">
        <v>2026</v>
      </c>
      <c r="F3" s="3">
        <v>2027</v>
      </c>
      <c r="G3" s="3">
        <v>2028</v>
      </c>
      <c r="H3" s="3">
        <v>2029</v>
      </c>
      <c r="I3" s="3">
        <v>2030</v>
      </c>
      <c r="J3" s="3">
        <v>2031</v>
      </c>
      <c r="K3" s="3">
        <v>2032</v>
      </c>
      <c r="L3" s="3">
        <v>2033</v>
      </c>
      <c r="M3" s="3">
        <v>2034</v>
      </c>
      <c r="N3" s="3">
        <v>2035</v>
      </c>
      <c r="O3" s="3">
        <v>2036</v>
      </c>
      <c r="P3" s="3">
        <v>2037</v>
      </c>
      <c r="Q3" s="3">
        <v>2038</v>
      </c>
      <c r="R3" s="3">
        <v>2039</v>
      </c>
      <c r="S3" s="68"/>
    </row>
    <row r="4" spans="2:19" x14ac:dyDescent="0.15">
      <c r="B4" s="6"/>
      <c r="C4" s="83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232"/>
      <c r="S4" s="68"/>
    </row>
    <row r="5" spans="2:19" x14ac:dyDescent="0.15">
      <c r="B5" s="4" t="s">
        <v>0</v>
      </c>
      <c r="C5" s="218">
        <v>0</v>
      </c>
      <c r="D5" s="218">
        <v>0</v>
      </c>
      <c r="E5" s="218">
        <v>0</v>
      </c>
      <c r="F5" s="218">
        <v>0</v>
      </c>
      <c r="G5" s="218">
        <v>0</v>
      </c>
      <c r="H5" s="218">
        <v>0</v>
      </c>
      <c r="I5" s="219">
        <f>C33</f>
        <v>20000</v>
      </c>
      <c r="J5" s="219">
        <f t="shared" ref="J5:R5" si="0">I5*(1+$C$34)</f>
        <v>24000</v>
      </c>
      <c r="K5" s="219">
        <f t="shared" si="0"/>
        <v>28800</v>
      </c>
      <c r="L5" s="219">
        <f t="shared" si="0"/>
        <v>34560</v>
      </c>
      <c r="M5" s="219">
        <f t="shared" si="0"/>
        <v>41472</v>
      </c>
      <c r="N5" s="219">
        <f t="shared" si="0"/>
        <v>49766.400000000001</v>
      </c>
      <c r="O5" s="219">
        <f t="shared" si="0"/>
        <v>59719.68</v>
      </c>
      <c r="P5" s="219">
        <f t="shared" si="0"/>
        <v>71663.615999999995</v>
      </c>
      <c r="Q5" s="219">
        <f t="shared" si="0"/>
        <v>85996.339199999988</v>
      </c>
      <c r="R5" s="233">
        <f t="shared" si="0"/>
        <v>103195.60703999999</v>
      </c>
      <c r="S5" s="68"/>
    </row>
    <row r="6" spans="2:19" x14ac:dyDescent="0.15">
      <c r="B6" s="6"/>
      <c r="C6" s="218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33"/>
      <c r="S6" s="68"/>
    </row>
    <row r="7" spans="2:19" x14ac:dyDescent="0.15">
      <c r="B7" s="4" t="s">
        <v>1</v>
      </c>
      <c r="C7" s="219">
        <v>0</v>
      </c>
      <c r="D7" s="219">
        <v>0</v>
      </c>
      <c r="E7" s="219">
        <v>0</v>
      </c>
      <c r="F7" s="219">
        <v>0</v>
      </c>
      <c r="G7" s="219">
        <v>0</v>
      </c>
      <c r="H7" s="219">
        <v>0</v>
      </c>
      <c r="I7" s="219">
        <f t="shared" ref="I7:R7" si="1">I5*($C$35)</f>
        <v>2000000000</v>
      </c>
      <c r="J7" s="219">
        <f t="shared" si="1"/>
        <v>2400000000</v>
      </c>
      <c r="K7" s="219">
        <f t="shared" si="1"/>
        <v>2880000000</v>
      </c>
      <c r="L7" s="219">
        <f t="shared" si="1"/>
        <v>3456000000</v>
      </c>
      <c r="M7" s="219">
        <f t="shared" si="1"/>
        <v>4147200000</v>
      </c>
      <c r="N7" s="219">
        <f t="shared" si="1"/>
        <v>4976640000</v>
      </c>
      <c r="O7" s="219">
        <f t="shared" si="1"/>
        <v>5971968000</v>
      </c>
      <c r="P7" s="219">
        <f t="shared" si="1"/>
        <v>7166361599.999999</v>
      </c>
      <c r="Q7" s="219">
        <f t="shared" si="1"/>
        <v>8599633919.9999981</v>
      </c>
      <c r="R7" s="233">
        <f t="shared" si="1"/>
        <v>10319560703.999998</v>
      </c>
      <c r="S7" s="68"/>
    </row>
    <row r="8" spans="2:19" x14ac:dyDescent="0.15">
      <c r="B8" s="6"/>
      <c r="C8" s="218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33"/>
      <c r="S8" s="68"/>
    </row>
    <row r="9" spans="2:19" x14ac:dyDescent="0.15">
      <c r="B9" s="6" t="s">
        <v>2</v>
      </c>
      <c r="C9" s="219">
        <v>0</v>
      </c>
      <c r="D9" s="219">
        <v>0</v>
      </c>
      <c r="E9" s="219">
        <v>0</v>
      </c>
      <c r="F9" s="219">
        <v>0</v>
      </c>
      <c r="G9" s="219">
        <v>0</v>
      </c>
      <c r="H9" s="219">
        <v>0</v>
      </c>
      <c r="I9" s="219">
        <f>I5*(I36)</f>
        <v>1616000000</v>
      </c>
      <c r="J9" s="219">
        <f t="shared" ref="J9:Q9" si="2">J5*(J36)</f>
        <v>1939200000</v>
      </c>
      <c r="K9" s="219">
        <f t="shared" si="2"/>
        <v>2327040000</v>
      </c>
      <c r="L9" s="219">
        <f t="shared" si="2"/>
        <v>2792448000</v>
      </c>
      <c r="M9" s="219">
        <f t="shared" si="2"/>
        <v>3267164160</v>
      </c>
      <c r="N9" s="219">
        <f t="shared" si="2"/>
        <v>3920596992</v>
      </c>
      <c r="O9" s="219">
        <f t="shared" si="2"/>
        <v>4584082636.8000002</v>
      </c>
      <c r="P9" s="219">
        <f t="shared" si="2"/>
        <v>5500899164.1599998</v>
      </c>
      <c r="Q9" s="219">
        <f t="shared" si="2"/>
        <v>6514222694.3999987</v>
      </c>
      <c r="R9" s="233">
        <f>R5*(R36)</f>
        <v>7712839670.1695995</v>
      </c>
      <c r="S9" s="68"/>
    </row>
    <row r="10" spans="2:19" x14ac:dyDescent="0.15">
      <c r="B10" s="6" t="s">
        <v>3</v>
      </c>
      <c r="C10" s="219">
        <v>0</v>
      </c>
      <c r="D10" s="219">
        <v>0</v>
      </c>
      <c r="E10" s="219">
        <v>0</v>
      </c>
      <c r="F10" s="219">
        <v>0</v>
      </c>
      <c r="G10" s="219">
        <v>0</v>
      </c>
      <c r="H10" s="219">
        <v>0</v>
      </c>
      <c r="I10" s="219">
        <f>I5*($C$37)</f>
        <v>20000000</v>
      </c>
      <c r="J10" s="219">
        <f t="shared" ref="J10:Q10" si="3">J5*($C$37)</f>
        <v>24000000</v>
      </c>
      <c r="K10" s="219">
        <f t="shared" si="3"/>
        <v>28800000</v>
      </c>
      <c r="L10" s="219">
        <f t="shared" si="3"/>
        <v>34560000</v>
      </c>
      <c r="M10" s="219">
        <f t="shared" si="3"/>
        <v>41472000</v>
      </c>
      <c r="N10" s="219">
        <f t="shared" si="3"/>
        <v>49766400</v>
      </c>
      <c r="O10" s="219">
        <f t="shared" si="3"/>
        <v>59719680</v>
      </c>
      <c r="P10" s="219">
        <f t="shared" si="3"/>
        <v>71663616</v>
      </c>
      <c r="Q10" s="219">
        <f t="shared" si="3"/>
        <v>85996339.199999988</v>
      </c>
      <c r="R10" s="233">
        <f>R5*($C$37)</f>
        <v>103195607.03999999</v>
      </c>
      <c r="S10" s="68"/>
    </row>
    <row r="11" spans="2:19" x14ac:dyDescent="0.15">
      <c r="B11" s="4" t="s">
        <v>4</v>
      </c>
      <c r="C11" s="219">
        <v>0</v>
      </c>
      <c r="D11" s="219">
        <v>0</v>
      </c>
      <c r="E11" s="219">
        <v>0</v>
      </c>
      <c r="F11" s="219">
        <v>0</v>
      </c>
      <c r="G11" s="219">
        <v>0</v>
      </c>
      <c r="H11" s="219">
        <v>0</v>
      </c>
      <c r="I11" s="219">
        <f t="shared" ref="I11:R11" si="4">I9+I10</f>
        <v>1636000000</v>
      </c>
      <c r="J11" s="219">
        <f t="shared" si="4"/>
        <v>1963200000</v>
      </c>
      <c r="K11" s="219">
        <f t="shared" si="4"/>
        <v>2355840000</v>
      </c>
      <c r="L11" s="219">
        <f t="shared" si="4"/>
        <v>2827008000</v>
      </c>
      <c r="M11" s="219">
        <f t="shared" si="4"/>
        <v>3308636160</v>
      </c>
      <c r="N11" s="219">
        <f t="shared" si="4"/>
        <v>3970363392</v>
      </c>
      <c r="O11" s="219">
        <f t="shared" si="4"/>
        <v>4643802316.8000002</v>
      </c>
      <c r="P11" s="219">
        <f t="shared" si="4"/>
        <v>5572562780.1599998</v>
      </c>
      <c r="Q11" s="219">
        <f t="shared" si="4"/>
        <v>6600219033.5999985</v>
      </c>
      <c r="R11" s="233">
        <f t="shared" si="4"/>
        <v>7816035277.2095995</v>
      </c>
      <c r="S11" s="68"/>
    </row>
    <row r="12" spans="2:19" x14ac:dyDescent="0.15">
      <c r="B12" s="6"/>
      <c r="C12" s="218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33"/>
      <c r="S12" s="68"/>
    </row>
    <row r="13" spans="2:19" x14ac:dyDescent="0.15">
      <c r="B13" s="7" t="s">
        <v>5</v>
      </c>
      <c r="C13" s="219">
        <v>0</v>
      </c>
      <c r="D13" s="219">
        <v>0</v>
      </c>
      <c r="E13" s="219">
        <v>0</v>
      </c>
      <c r="F13" s="219">
        <v>0</v>
      </c>
      <c r="G13" s="219">
        <v>0</v>
      </c>
      <c r="H13" s="219">
        <v>0</v>
      </c>
      <c r="I13" s="219">
        <f t="shared" ref="I13:Q13" si="5">I7-I11</f>
        <v>364000000</v>
      </c>
      <c r="J13" s="219">
        <f t="shared" si="5"/>
        <v>436800000</v>
      </c>
      <c r="K13" s="219">
        <f t="shared" si="5"/>
        <v>524160000</v>
      </c>
      <c r="L13" s="219">
        <f t="shared" si="5"/>
        <v>628992000</v>
      </c>
      <c r="M13" s="219">
        <f t="shared" si="5"/>
        <v>838563840</v>
      </c>
      <c r="N13" s="219">
        <f t="shared" si="5"/>
        <v>1006276608</v>
      </c>
      <c r="O13" s="219">
        <f>O7-O11</f>
        <v>1328165683.1999998</v>
      </c>
      <c r="P13" s="219">
        <f t="shared" si="5"/>
        <v>1593798819.8399992</v>
      </c>
      <c r="Q13" s="219">
        <f t="shared" si="5"/>
        <v>1999414886.3999996</v>
      </c>
      <c r="R13" s="233">
        <f>R7-R11</f>
        <v>2503525426.7903986</v>
      </c>
      <c r="S13" s="68"/>
    </row>
    <row r="14" spans="2:19" x14ac:dyDescent="0.15">
      <c r="B14" s="6"/>
      <c r="C14" s="218"/>
      <c r="D14" s="219"/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33"/>
      <c r="S14" s="68"/>
    </row>
    <row r="15" spans="2:19" x14ac:dyDescent="0.15">
      <c r="B15" s="6" t="s">
        <v>6</v>
      </c>
      <c r="C15" s="218">
        <v>0</v>
      </c>
      <c r="D15" s="219">
        <v>160000000</v>
      </c>
      <c r="E15" s="219">
        <f t="shared" ref="E15:Q15" si="6">D15*(1+$C$39)</f>
        <v>168000000</v>
      </c>
      <c r="F15" s="219">
        <f t="shared" si="6"/>
        <v>176400000</v>
      </c>
      <c r="G15" s="219">
        <f t="shared" si="6"/>
        <v>185220000</v>
      </c>
      <c r="H15" s="219">
        <f t="shared" si="6"/>
        <v>194481000</v>
      </c>
      <c r="I15" s="219">
        <f>H15*(1+$C$39)</f>
        <v>204205050</v>
      </c>
      <c r="J15" s="219">
        <f t="shared" si="6"/>
        <v>214415302.5</v>
      </c>
      <c r="K15" s="219">
        <f t="shared" si="6"/>
        <v>225136067.625</v>
      </c>
      <c r="L15" s="219">
        <f t="shared" si="6"/>
        <v>236392871.00625002</v>
      </c>
      <c r="M15" s="219">
        <f t="shared" si="6"/>
        <v>248212514.55656254</v>
      </c>
      <c r="N15" s="219">
        <f t="shared" si="6"/>
        <v>260623140.28439069</v>
      </c>
      <c r="O15" s="219">
        <f t="shared" si="6"/>
        <v>273654297.29861021</v>
      </c>
      <c r="P15" s="219">
        <f t="shared" si="6"/>
        <v>287337012.16354072</v>
      </c>
      <c r="Q15" s="219">
        <f t="shared" si="6"/>
        <v>301703862.77171779</v>
      </c>
      <c r="R15" s="233">
        <f>Q15*(1+$C$39)</f>
        <v>316789055.91030371</v>
      </c>
      <c r="S15" s="68"/>
    </row>
    <row r="16" spans="2:19" x14ac:dyDescent="0.15">
      <c r="B16" s="6" t="s">
        <v>7</v>
      </c>
      <c r="C16" s="219">
        <v>0</v>
      </c>
      <c r="D16" s="219">
        <v>120000000</v>
      </c>
      <c r="E16" s="219">
        <v>120000000</v>
      </c>
      <c r="F16" s="219">
        <v>120000000</v>
      </c>
      <c r="G16" s="219">
        <v>120000000</v>
      </c>
      <c r="H16" s="219">
        <v>120000000</v>
      </c>
      <c r="I16" s="219">
        <v>120000000</v>
      </c>
      <c r="J16" s="219">
        <v>120000000</v>
      </c>
      <c r="K16" s="219">
        <v>120000000</v>
      </c>
      <c r="L16" s="219">
        <v>120000000</v>
      </c>
      <c r="M16" s="219">
        <v>120000000</v>
      </c>
      <c r="N16" s="219">
        <v>120000000</v>
      </c>
      <c r="O16" s="219">
        <v>120000000</v>
      </c>
      <c r="P16" s="219">
        <v>120000000</v>
      </c>
      <c r="Q16" s="219">
        <v>120000000</v>
      </c>
      <c r="R16" s="233">
        <v>120000000</v>
      </c>
      <c r="S16" s="68"/>
    </row>
    <row r="17" spans="2:19" x14ac:dyDescent="0.15">
      <c r="B17" s="6"/>
      <c r="C17" s="218"/>
      <c r="D17" s="219"/>
      <c r="E17" s="219"/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33"/>
      <c r="S17" s="68"/>
    </row>
    <row r="18" spans="2:19" x14ac:dyDescent="0.15">
      <c r="B18" s="7" t="s">
        <v>8</v>
      </c>
      <c r="C18" s="219">
        <f t="shared" ref="C18:Q18" si="7">C13-C15-C16</f>
        <v>0</v>
      </c>
      <c r="D18" s="219">
        <f t="shared" si="7"/>
        <v>-280000000</v>
      </c>
      <c r="E18" s="219">
        <f t="shared" si="7"/>
        <v>-288000000</v>
      </c>
      <c r="F18" s="219">
        <f t="shared" si="7"/>
        <v>-296400000</v>
      </c>
      <c r="G18" s="219">
        <f t="shared" si="7"/>
        <v>-305220000</v>
      </c>
      <c r="H18" s="219">
        <f t="shared" si="7"/>
        <v>-314481000</v>
      </c>
      <c r="I18" s="219">
        <f>I13-I15-I16</f>
        <v>39794950</v>
      </c>
      <c r="J18" s="219">
        <f t="shared" si="7"/>
        <v>102384697.5</v>
      </c>
      <c r="K18" s="219">
        <f t="shared" si="7"/>
        <v>179023932.375</v>
      </c>
      <c r="L18" s="219">
        <f t="shared" si="7"/>
        <v>272599128.99374998</v>
      </c>
      <c r="M18" s="219">
        <f t="shared" si="7"/>
        <v>470351325.44343746</v>
      </c>
      <c r="N18" s="219">
        <f t="shared" si="7"/>
        <v>625653467.71560931</v>
      </c>
      <c r="O18" s="219">
        <f>O13-O15-O16</f>
        <v>934511385.9013896</v>
      </c>
      <c r="P18" s="219">
        <f t="shared" si="7"/>
        <v>1186461807.6764584</v>
      </c>
      <c r="Q18" s="219">
        <f t="shared" si="7"/>
        <v>1577711023.6282818</v>
      </c>
      <c r="R18" s="233">
        <f>R13-R15-R16</f>
        <v>2066736370.880095</v>
      </c>
      <c r="S18" s="68"/>
    </row>
    <row r="19" spans="2:19" x14ac:dyDescent="0.15">
      <c r="B19" s="7" t="s">
        <v>9</v>
      </c>
      <c r="C19" s="219">
        <v>0</v>
      </c>
      <c r="D19" s="219">
        <v>5000000</v>
      </c>
      <c r="E19" s="219">
        <v>5000000</v>
      </c>
      <c r="F19" s="219">
        <v>5000000</v>
      </c>
      <c r="G19" s="219">
        <v>5000000</v>
      </c>
      <c r="H19" s="219">
        <v>5000000</v>
      </c>
      <c r="I19" s="219">
        <v>5000000</v>
      </c>
      <c r="J19" s="219">
        <v>5000000</v>
      </c>
      <c r="K19" s="219">
        <v>5000000</v>
      </c>
      <c r="L19" s="219">
        <v>5000000</v>
      </c>
      <c r="M19" s="219">
        <v>5000000</v>
      </c>
      <c r="N19" s="219">
        <v>5000000</v>
      </c>
      <c r="O19" s="219">
        <v>5000000</v>
      </c>
      <c r="P19" s="219">
        <v>5000000</v>
      </c>
      <c r="Q19" s="219">
        <v>5000000</v>
      </c>
      <c r="R19" s="233">
        <v>5000000</v>
      </c>
      <c r="S19" s="68"/>
    </row>
    <row r="20" spans="2:19" x14ac:dyDescent="0.15">
      <c r="B20" s="7" t="s">
        <v>10</v>
      </c>
      <c r="C20" s="219">
        <v>0</v>
      </c>
      <c r="D20" s="219">
        <f t="shared" ref="D20:H20" si="8">MAX(0,(D18-D19)*$C$44)</f>
        <v>0</v>
      </c>
      <c r="E20" s="219">
        <f t="shared" si="8"/>
        <v>0</v>
      </c>
      <c r="F20" s="219">
        <f t="shared" si="8"/>
        <v>0</v>
      </c>
      <c r="G20" s="219">
        <f t="shared" si="8"/>
        <v>0</v>
      </c>
      <c r="H20" s="219">
        <f t="shared" si="8"/>
        <v>0</v>
      </c>
      <c r="I20" s="219">
        <f>MAX(0,(I18-I19)*$C$44)</f>
        <v>8698737.5</v>
      </c>
      <c r="J20" s="219">
        <f t="shared" ref="J20:Q20" si="9">MAX(0,(J18-J19)*$C$44)</f>
        <v>24346174.375</v>
      </c>
      <c r="K20" s="219">
        <f t="shared" si="9"/>
        <v>43505983.09375</v>
      </c>
      <c r="L20" s="219">
        <f t="shared" si="9"/>
        <v>66899782.248437494</v>
      </c>
      <c r="M20" s="219">
        <f t="shared" si="9"/>
        <v>116337831.36085936</v>
      </c>
      <c r="N20" s="219">
        <f t="shared" si="9"/>
        <v>155163366.92890233</v>
      </c>
      <c r="O20" s="219">
        <f t="shared" si="9"/>
        <v>232377846.4753474</v>
      </c>
      <c r="P20" s="219">
        <f t="shared" si="9"/>
        <v>295365451.91911459</v>
      </c>
      <c r="Q20" s="219">
        <f t="shared" si="9"/>
        <v>393177755.90707046</v>
      </c>
      <c r="R20" s="233">
        <f>MAX(0,(R18-R19)*$C$44)</f>
        <v>515434092.72002375</v>
      </c>
      <c r="S20" s="68"/>
    </row>
    <row r="21" spans="2:19" x14ac:dyDescent="0.15">
      <c r="B21" s="6"/>
      <c r="C21" s="218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33"/>
      <c r="S21" s="68"/>
    </row>
    <row r="22" spans="2:19" x14ac:dyDescent="0.15">
      <c r="B22" s="8" t="s">
        <v>11</v>
      </c>
      <c r="C22" s="219">
        <v>0</v>
      </c>
      <c r="D22" s="219">
        <v>0</v>
      </c>
      <c r="E22" s="219">
        <v>0</v>
      </c>
      <c r="F22" s="219">
        <v>0</v>
      </c>
      <c r="G22" s="219">
        <v>0</v>
      </c>
      <c r="H22" s="219">
        <v>0</v>
      </c>
      <c r="I22" s="219">
        <f>I7*($C$42)</f>
        <v>100000000</v>
      </c>
      <c r="J22" s="219">
        <f t="shared" ref="J22:Q22" si="10">J7*($C$42)</f>
        <v>120000000</v>
      </c>
      <c r="K22" s="219">
        <f t="shared" si="10"/>
        <v>144000000</v>
      </c>
      <c r="L22" s="219">
        <f t="shared" si="10"/>
        <v>172800000</v>
      </c>
      <c r="M22" s="219">
        <f t="shared" si="10"/>
        <v>207360000</v>
      </c>
      <c r="N22" s="219">
        <f t="shared" si="10"/>
        <v>248832000</v>
      </c>
      <c r="O22" s="219">
        <f t="shared" si="10"/>
        <v>298598400</v>
      </c>
      <c r="P22" s="219">
        <f t="shared" si="10"/>
        <v>358318080</v>
      </c>
      <c r="Q22" s="219">
        <f t="shared" si="10"/>
        <v>429981695.99999994</v>
      </c>
      <c r="R22" s="233">
        <f>R7*($C$42)</f>
        <v>515978035.19999993</v>
      </c>
      <c r="S22" s="68"/>
    </row>
    <row r="23" spans="2:19" x14ac:dyDescent="0.15">
      <c r="B23" s="7" t="s">
        <v>12</v>
      </c>
      <c r="C23" s="219">
        <v>0</v>
      </c>
      <c r="D23" s="219">
        <v>0</v>
      </c>
      <c r="E23" s="219">
        <v>0</v>
      </c>
      <c r="F23" s="219">
        <v>0</v>
      </c>
      <c r="G23" s="219">
        <v>0</v>
      </c>
      <c r="H23" s="219">
        <v>0</v>
      </c>
      <c r="I23" s="219">
        <f>I22-H22</f>
        <v>100000000</v>
      </c>
      <c r="J23" s="219">
        <f t="shared" ref="J23:Q23" si="11">J22-I22</f>
        <v>20000000</v>
      </c>
      <c r="K23" s="219">
        <f t="shared" si="11"/>
        <v>24000000</v>
      </c>
      <c r="L23" s="219">
        <f t="shared" si="11"/>
        <v>28800000</v>
      </c>
      <c r="M23" s="219">
        <f t="shared" si="11"/>
        <v>34560000</v>
      </c>
      <c r="N23" s="219">
        <f t="shared" si="11"/>
        <v>41472000</v>
      </c>
      <c r="O23" s="219">
        <f t="shared" si="11"/>
        <v>49766400</v>
      </c>
      <c r="P23" s="219">
        <f t="shared" si="11"/>
        <v>59719680</v>
      </c>
      <c r="Q23" s="219">
        <f t="shared" si="11"/>
        <v>71663615.99999994</v>
      </c>
      <c r="R23" s="233">
        <f>R22-Q22</f>
        <v>85996339.199999988</v>
      </c>
      <c r="S23" s="68"/>
    </row>
    <row r="24" spans="2:19" x14ac:dyDescent="0.15">
      <c r="B24" s="7" t="s">
        <v>13</v>
      </c>
      <c r="C24" s="219">
        <v>0</v>
      </c>
      <c r="D24" s="219">
        <v>20000000</v>
      </c>
      <c r="E24" s="219">
        <v>20000000</v>
      </c>
      <c r="F24" s="219">
        <v>20000000</v>
      </c>
      <c r="G24" s="219">
        <v>20000000</v>
      </c>
      <c r="H24" s="219">
        <v>20000000</v>
      </c>
      <c r="I24" s="219">
        <v>0</v>
      </c>
      <c r="J24" s="219">
        <v>0</v>
      </c>
      <c r="K24" s="219">
        <v>0</v>
      </c>
      <c r="L24" s="219">
        <v>0</v>
      </c>
      <c r="M24" s="219">
        <v>0</v>
      </c>
      <c r="N24" s="219">
        <v>0</v>
      </c>
      <c r="O24" s="219">
        <v>0</v>
      </c>
      <c r="P24" s="219">
        <v>0</v>
      </c>
      <c r="Q24" s="219">
        <v>0</v>
      </c>
      <c r="R24" s="233">
        <v>0</v>
      </c>
      <c r="S24" s="68"/>
    </row>
    <row r="25" spans="2:19" x14ac:dyDescent="0.15">
      <c r="B25" s="6"/>
      <c r="C25" s="218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33"/>
      <c r="S25" s="68"/>
    </row>
    <row r="26" spans="2:19" x14ac:dyDescent="0.15">
      <c r="B26" s="7" t="s">
        <v>14</v>
      </c>
      <c r="C26" s="219">
        <v>0</v>
      </c>
      <c r="D26" s="219">
        <f>D18+D19-D20-D23-D24</f>
        <v>-295000000</v>
      </c>
      <c r="E26" s="219">
        <f t="shared" ref="E26:R26" si="12">E18+E19-E20-E23-E24</f>
        <v>-303000000</v>
      </c>
      <c r="F26" s="219">
        <f t="shared" si="12"/>
        <v>-311400000</v>
      </c>
      <c r="G26" s="219">
        <f t="shared" si="12"/>
        <v>-320220000</v>
      </c>
      <c r="H26" s="219">
        <f t="shared" si="12"/>
        <v>-329481000</v>
      </c>
      <c r="I26" s="219">
        <f t="shared" si="12"/>
        <v>-63903787.5</v>
      </c>
      <c r="J26" s="219">
        <f t="shared" si="12"/>
        <v>63038523.125</v>
      </c>
      <c r="K26" s="219">
        <f t="shared" si="12"/>
        <v>116517949.28125</v>
      </c>
      <c r="L26" s="219">
        <f t="shared" si="12"/>
        <v>181899346.74531248</v>
      </c>
      <c r="M26" s="219">
        <f t="shared" si="12"/>
        <v>324453494.08257806</v>
      </c>
      <c r="N26" s="219">
        <f t="shared" si="12"/>
        <v>434018100.78670698</v>
      </c>
      <c r="O26" s="219">
        <f t="shared" si="12"/>
        <v>657367139.4260422</v>
      </c>
      <c r="P26" s="219">
        <f t="shared" si="12"/>
        <v>836376675.75734377</v>
      </c>
      <c r="Q26" s="219">
        <f t="shared" si="12"/>
        <v>1117869651.7212114</v>
      </c>
      <c r="R26" s="233">
        <f t="shared" si="12"/>
        <v>1470305938.9600713</v>
      </c>
      <c r="S26" s="68"/>
    </row>
    <row r="27" spans="2:19" x14ac:dyDescent="0.15">
      <c r="B27" s="9" t="s">
        <v>15</v>
      </c>
      <c r="C27" s="220">
        <v>0</v>
      </c>
      <c r="D27" s="221">
        <f t="shared" ref="D27:Q27" si="13">C27+D26</f>
        <v>-295000000</v>
      </c>
      <c r="E27" s="221">
        <f t="shared" si="13"/>
        <v>-598000000</v>
      </c>
      <c r="F27" s="221">
        <f t="shared" si="13"/>
        <v>-909400000</v>
      </c>
      <c r="G27" s="221">
        <f t="shared" si="13"/>
        <v>-1229620000</v>
      </c>
      <c r="H27" s="221">
        <f t="shared" si="13"/>
        <v>-1559101000</v>
      </c>
      <c r="I27" s="221">
        <f t="shared" si="13"/>
        <v>-1623004787.5</v>
      </c>
      <c r="J27" s="221">
        <f t="shared" si="13"/>
        <v>-1559966264.375</v>
      </c>
      <c r="K27" s="221">
        <f t="shared" si="13"/>
        <v>-1443448315.09375</v>
      </c>
      <c r="L27" s="221">
        <f t="shared" si="13"/>
        <v>-1261548968.3484375</v>
      </c>
      <c r="M27" s="221">
        <f t="shared" si="13"/>
        <v>-937095474.26585948</v>
      </c>
      <c r="N27" s="221">
        <f t="shared" si="13"/>
        <v>-503077373.4791525</v>
      </c>
      <c r="O27" s="221">
        <f t="shared" si="13"/>
        <v>154289765.9468897</v>
      </c>
      <c r="P27" s="221">
        <f t="shared" si="13"/>
        <v>990666441.70423341</v>
      </c>
      <c r="Q27" s="221">
        <f t="shared" si="13"/>
        <v>2108536093.4254448</v>
      </c>
      <c r="R27" s="234">
        <f>Q27+R26</f>
        <v>3578842032.3855162</v>
      </c>
      <c r="S27" s="68"/>
    </row>
    <row r="28" spans="2:19" x14ac:dyDescent="0.15">
      <c r="B28" s="82"/>
      <c r="C28" s="69"/>
      <c r="D28" s="69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79"/>
      <c r="S28" s="68"/>
    </row>
    <row r="29" spans="2:19" x14ac:dyDescent="0.15">
      <c r="B29" s="143" t="s">
        <v>38</v>
      </c>
      <c r="C29" s="140"/>
      <c r="D29" s="8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145"/>
      <c r="S29" s="68"/>
    </row>
    <row r="30" spans="2:19" x14ac:dyDescent="0.15">
      <c r="B30" s="10" t="s">
        <v>16</v>
      </c>
      <c r="C30" s="5"/>
      <c r="D30" s="1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77"/>
      <c r="S30" s="68"/>
    </row>
    <row r="31" spans="2:19" x14ac:dyDescent="0.15">
      <c r="B31" s="253" t="s">
        <v>17</v>
      </c>
      <c r="C31" s="254"/>
      <c r="D31" s="70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77"/>
      <c r="S31" s="68"/>
    </row>
    <row r="32" spans="2:19" x14ac:dyDescent="0.15">
      <c r="B32" s="11" t="s">
        <v>18</v>
      </c>
      <c r="C32" s="69"/>
      <c r="D32" s="70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77"/>
      <c r="S32" s="68"/>
    </row>
    <row r="33" spans="2:19" x14ac:dyDescent="0.15">
      <c r="B33" s="10" t="s">
        <v>19</v>
      </c>
      <c r="C33" s="224">
        <v>20000</v>
      </c>
      <c r="D33" s="225" t="s">
        <v>20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77"/>
      <c r="S33" s="68"/>
    </row>
    <row r="34" spans="2:19" x14ac:dyDescent="0.15">
      <c r="B34" s="10" t="s">
        <v>21</v>
      </c>
      <c r="C34" s="226">
        <v>0.2</v>
      </c>
      <c r="D34" s="225"/>
      <c r="E34" s="5"/>
      <c r="F34" s="5"/>
      <c r="G34" s="5"/>
      <c r="H34" s="5"/>
      <c r="I34" s="69"/>
      <c r="J34" s="69"/>
      <c r="K34" s="69"/>
      <c r="L34" s="69"/>
      <c r="M34" s="69"/>
      <c r="N34" s="69"/>
      <c r="O34" s="69"/>
      <c r="P34" s="69"/>
      <c r="Q34" s="69"/>
      <c r="R34" s="80"/>
      <c r="S34" s="68"/>
    </row>
    <row r="35" spans="2:19" x14ac:dyDescent="0.15">
      <c r="B35" s="10" t="s">
        <v>22</v>
      </c>
      <c r="C35" s="227">
        <v>100000</v>
      </c>
      <c r="D35" s="225"/>
      <c r="E35" s="5"/>
      <c r="F35" s="5"/>
      <c r="G35" s="5"/>
      <c r="H35" s="12"/>
      <c r="I35" s="37">
        <v>2030</v>
      </c>
      <c r="J35" s="37">
        <v>2031</v>
      </c>
      <c r="K35" s="37">
        <v>2032</v>
      </c>
      <c r="L35" s="37">
        <v>2033</v>
      </c>
      <c r="M35" s="37">
        <v>2034</v>
      </c>
      <c r="N35" s="37">
        <v>2035</v>
      </c>
      <c r="O35" s="37">
        <v>2036</v>
      </c>
      <c r="P35" s="37">
        <v>2037</v>
      </c>
      <c r="Q35" s="37">
        <v>2038</v>
      </c>
      <c r="R35" s="42">
        <v>2039</v>
      </c>
      <c r="S35" s="68"/>
    </row>
    <row r="36" spans="2:19" x14ac:dyDescent="0.15">
      <c r="B36" s="10" t="s">
        <v>23</v>
      </c>
      <c r="C36" s="228"/>
      <c r="D36" s="225"/>
      <c r="E36" s="5"/>
      <c r="F36" s="5"/>
      <c r="G36" s="5"/>
      <c r="H36" s="12"/>
      <c r="I36" s="38">
        <f>'Option 1'!I35*1.01</f>
        <v>80800</v>
      </c>
      <c r="J36" s="38">
        <f>'Option 1'!J35*1.01</f>
        <v>80800</v>
      </c>
      <c r="K36" s="38">
        <f>'Option 1'!K35*1.01</f>
        <v>80800</v>
      </c>
      <c r="L36" s="38">
        <f>'Option 1'!L35*1.01</f>
        <v>80800</v>
      </c>
      <c r="M36" s="38">
        <f>'Option 1'!M35*1.01</f>
        <v>78780</v>
      </c>
      <c r="N36" s="38">
        <f>'Option 1'!N35*1.01</f>
        <v>78780</v>
      </c>
      <c r="O36" s="38">
        <f>'Option 1'!O35*1.01</f>
        <v>76760</v>
      </c>
      <c r="P36" s="38">
        <f>'Option 1'!P35*1.01</f>
        <v>76760</v>
      </c>
      <c r="Q36" s="38">
        <f>'Option 1'!Q35*1.01</f>
        <v>75750</v>
      </c>
      <c r="R36" s="245">
        <f>'Option 1'!R35*1.01</f>
        <v>74740</v>
      </c>
      <c r="S36" s="68"/>
    </row>
    <row r="37" spans="2:19" x14ac:dyDescent="0.15">
      <c r="B37" s="10" t="s">
        <v>24</v>
      </c>
      <c r="C37" s="227">
        <f>1000</f>
        <v>1000</v>
      </c>
      <c r="D37" s="22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78"/>
      <c r="S37" s="68"/>
    </row>
    <row r="38" spans="2:19" x14ac:dyDescent="0.15">
      <c r="B38" s="10" t="s">
        <v>25</v>
      </c>
      <c r="C38" s="227">
        <v>160000000</v>
      </c>
      <c r="D38" s="22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77"/>
      <c r="R38" s="68"/>
      <c r="S38" s="68"/>
    </row>
    <row r="39" spans="2:19" x14ac:dyDescent="0.15">
      <c r="B39" s="10" t="s">
        <v>26</v>
      </c>
      <c r="C39" s="226">
        <v>0.05</v>
      </c>
      <c r="D39" s="22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77"/>
      <c r="R39" s="68"/>
      <c r="S39" s="68"/>
    </row>
    <row r="40" spans="2:19" x14ac:dyDescent="0.15">
      <c r="B40" s="10" t="s">
        <v>9</v>
      </c>
      <c r="C40" s="227">
        <v>5000000</v>
      </c>
      <c r="D40" s="225" t="s">
        <v>27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77"/>
      <c r="R40" s="68"/>
      <c r="S40" s="68"/>
    </row>
    <row r="41" spans="2:19" x14ac:dyDescent="0.15">
      <c r="B41" s="10" t="s">
        <v>7</v>
      </c>
      <c r="C41" s="227">
        <v>120000000</v>
      </c>
      <c r="D41" s="225" t="s">
        <v>27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77"/>
      <c r="R41" s="68"/>
      <c r="S41" s="68"/>
    </row>
    <row r="42" spans="2:19" x14ac:dyDescent="0.15">
      <c r="B42" s="10" t="s">
        <v>28</v>
      </c>
      <c r="C42" s="226">
        <v>0.05</v>
      </c>
      <c r="D42" s="225" t="s">
        <v>29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77"/>
      <c r="R42" s="68"/>
      <c r="S42" s="68"/>
    </row>
    <row r="43" spans="2:19" x14ac:dyDescent="0.15">
      <c r="B43" s="10" t="s">
        <v>13</v>
      </c>
      <c r="C43" s="227">
        <v>20000000</v>
      </c>
      <c r="D43" s="225" t="s">
        <v>27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77"/>
      <c r="R43" s="68"/>
      <c r="S43" s="68"/>
    </row>
    <row r="44" spans="2:19" x14ac:dyDescent="0.15">
      <c r="B44" s="10" t="s">
        <v>30</v>
      </c>
      <c r="C44" s="226">
        <v>0.25</v>
      </c>
      <c r="D44" s="22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77"/>
      <c r="R44" s="68"/>
      <c r="S44" s="68"/>
    </row>
    <row r="45" spans="2:19" x14ac:dyDescent="0.15">
      <c r="B45" s="11" t="s">
        <v>31</v>
      </c>
      <c r="C45" s="229">
        <v>0.15</v>
      </c>
      <c r="D45" s="230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77"/>
      <c r="R45" s="68"/>
      <c r="S45" s="68"/>
    </row>
    <row r="46" spans="2:19" x14ac:dyDescent="0.15">
      <c r="B46" s="82"/>
      <c r="C46" s="231"/>
      <c r="D46" s="231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7"/>
      <c r="R46" s="68"/>
      <c r="S46" s="68"/>
    </row>
    <row r="47" spans="2:19" x14ac:dyDescent="0.15">
      <c r="B47" s="11" t="s">
        <v>32</v>
      </c>
      <c r="C47" s="223">
        <f>NPV($C$45,D26:R26)+C26</f>
        <v>-180442810.18860167</v>
      </c>
      <c r="D47" s="70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8"/>
      <c r="R47" s="68"/>
      <c r="S47" s="68"/>
    </row>
    <row r="48" spans="2:19" x14ac:dyDescent="0.15">
      <c r="B48" s="81"/>
      <c r="C48" s="74"/>
      <c r="D48" s="75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</row>
  </sheetData>
  <mergeCells count="1">
    <mergeCell ref="B31:C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C368-C210-FC41-9D87-801FE0F237F0}">
  <dimension ref="A1:Z1000"/>
  <sheetViews>
    <sheetView topLeftCell="A20" zoomScale="112" zoomScaleNormal="66" workbookViewId="0">
      <selection activeCell="I72" sqref="I72"/>
    </sheetView>
  </sheetViews>
  <sheetFormatPr baseColWidth="10" defaultRowHeight="15" x14ac:dyDescent="0.2"/>
  <cols>
    <col min="2" max="2" width="24.33203125" bestFit="1" customWidth="1"/>
    <col min="3" max="3" width="22.83203125" bestFit="1" customWidth="1"/>
    <col min="4" max="6" width="15.33203125" bestFit="1" customWidth="1"/>
    <col min="7" max="7" width="14.83203125" bestFit="1" customWidth="1"/>
    <col min="8" max="8" width="16.83203125" bestFit="1" customWidth="1"/>
    <col min="9" max="9" width="20.1640625" bestFit="1" customWidth="1"/>
    <col min="10" max="10" width="19.5" bestFit="1" customWidth="1"/>
    <col min="11" max="11" width="19.83203125" bestFit="1" customWidth="1"/>
    <col min="12" max="12" width="14.33203125" bestFit="1" customWidth="1"/>
    <col min="13" max="17" width="19.5" bestFit="1" customWidth="1"/>
    <col min="18" max="18" width="19.83203125" bestFit="1" customWidth="1"/>
  </cols>
  <sheetData>
    <row r="1" spans="1:26" x14ac:dyDescent="0.2">
      <c r="A1" s="146"/>
      <c r="B1" s="255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7"/>
      <c r="R1" s="147"/>
      <c r="S1" s="148"/>
      <c r="T1" s="148"/>
      <c r="U1" s="148"/>
      <c r="V1" s="148"/>
      <c r="W1" s="148"/>
      <c r="X1" s="148"/>
      <c r="Y1" s="148"/>
      <c r="Z1" s="149"/>
    </row>
    <row r="2" spans="1:26" x14ac:dyDescent="0.2">
      <c r="A2" s="150"/>
      <c r="B2" s="151"/>
      <c r="C2" s="152">
        <v>0</v>
      </c>
      <c r="D2" s="152">
        <v>1</v>
      </c>
      <c r="E2" s="152">
        <v>2</v>
      </c>
      <c r="F2" s="152">
        <v>3</v>
      </c>
      <c r="G2" s="152">
        <v>4</v>
      </c>
      <c r="H2" s="152">
        <v>5</v>
      </c>
      <c r="I2" s="152">
        <v>6</v>
      </c>
      <c r="J2" s="152">
        <v>7</v>
      </c>
      <c r="K2" s="152">
        <v>8</v>
      </c>
      <c r="L2" s="152">
        <v>9</v>
      </c>
      <c r="M2" s="152">
        <v>10</v>
      </c>
      <c r="N2" s="152">
        <v>11</v>
      </c>
      <c r="O2" s="152">
        <v>12</v>
      </c>
      <c r="P2" s="152">
        <v>13</v>
      </c>
      <c r="Q2" s="152">
        <v>14</v>
      </c>
      <c r="R2" s="152">
        <v>15</v>
      </c>
      <c r="S2" s="153"/>
      <c r="T2" s="154"/>
      <c r="U2" s="154"/>
      <c r="V2" s="154"/>
      <c r="W2" s="154"/>
      <c r="X2" s="154"/>
      <c r="Y2" s="154"/>
      <c r="Z2" s="155"/>
    </row>
    <row r="3" spans="1:26" x14ac:dyDescent="0.2">
      <c r="A3" s="150"/>
      <c r="B3" s="156"/>
      <c r="C3" s="157">
        <v>45658</v>
      </c>
      <c r="D3" s="152">
        <v>2025</v>
      </c>
      <c r="E3" s="152">
        <v>2026</v>
      </c>
      <c r="F3" s="152">
        <v>2027</v>
      </c>
      <c r="G3" s="152">
        <v>2028</v>
      </c>
      <c r="H3" s="152">
        <v>2029</v>
      </c>
      <c r="I3" s="152">
        <v>2030</v>
      </c>
      <c r="J3" s="152">
        <v>2031</v>
      </c>
      <c r="K3" s="152">
        <v>2032</v>
      </c>
      <c r="L3" s="152">
        <v>2033</v>
      </c>
      <c r="M3" s="152">
        <v>2034</v>
      </c>
      <c r="N3" s="152">
        <v>2035</v>
      </c>
      <c r="O3" s="152">
        <v>2036</v>
      </c>
      <c r="P3" s="152">
        <v>2037</v>
      </c>
      <c r="Q3" s="152">
        <v>2038</v>
      </c>
      <c r="R3" s="152">
        <v>2039</v>
      </c>
      <c r="S3" s="153"/>
      <c r="T3" s="154"/>
      <c r="U3" s="154"/>
      <c r="V3" s="154"/>
      <c r="W3" s="154"/>
      <c r="X3" s="154"/>
      <c r="Y3" s="154"/>
      <c r="Z3" s="155"/>
    </row>
    <row r="4" spans="1:26" x14ac:dyDescent="0.2">
      <c r="A4" s="150"/>
      <c r="B4" s="158"/>
      <c r="C4" s="159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106"/>
      <c r="S4" s="154"/>
      <c r="T4" s="154"/>
      <c r="U4" s="154"/>
      <c r="V4" s="154"/>
      <c r="W4" s="154"/>
      <c r="X4" s="154"/>
      <c r="Y4" s="154"/>
      <c r="Z4" s="155"/>
    </row>
    <row r="5" spans="1:26" x14ac:dyDescent="0.2">
      <c r="A5" s="150"/>
      <c r="B5" s="160" t="s">
        <v>0</v>
      </c>
      <c r="C5" s="161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20000</v>
      </c>
      <c r="J5" s="27">
        <f>I5*(1+$C$33)</f>
        <v>26000</v>
      </c>
      <c r="K5" s="27">
        <f t="shared" ref="K5:R5" si="0">J5*(1+$C$33)</f>
        <v>33800</v>
      </c>
      <c r="L5" s="27">
        <f t="shared" si="0"/>
        <v>43940</v>
      </c>
      <c r="M5" s="27">
        <f t="shared" si="0"/>
        <v>57122</v>
      </c>
      <c r="N5" s="27">
        <f>M5*(1+$C$33)</f>
        <v>74258.600000000006</v>
      </c>
      <c r="O5" s="27">
        <f t="shared" si="0"/>
        <v>96536.180000000008</v>
      </c>
      <c r="P5" s="27">
        <f t="shared" si="0"/>
        <v>125497.03400000001</v>
      </c>
      <c r="Q5" s="27">
        <f t="shared" si="0"/>
        <v>163146.14420000001</v>
      </c>
      <c r="R5" s="98">
        <f t="shared" si="0"/>
        <v>212089.98746000003</v>
      </c>
      <c r="S5" s="154"/>
      <c r="T5" s="154"/>
      <c r="U5" s="154"/>
      <c r="V5" s="154"/>
      <c r="W5" s="154"/>
      <c r="X5" s="154"/>
      <c r="Y5" s="154"/>
      <c r="Z5" s="155"/>
    </row>
    <row r="6" spans="1:26" x14ac:dyDescent="0.2">
      <c r="A6" s="150"/>
      <c r="B6" s="160"/>
      <c r="C6" s="161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98"/>
      <c r="S6" s="154"/>
      <c r="T6" s="154"/>
      <c r="U6" s="154"/>
      <c r="V6" s="154"/>
      <c r="W6" s="154"/>
      <c r="X6" s="154"/>
      <c r="Y6" s="154"/>
      <c r="Z6" s="155"/>
    </row>
    <row r="7" spans="1:26" x14ac:dyDescent="0.2">
      <c r="A7" s="150"/>
      <c r="B7" s="160" t="s">
        <v>1</v>
      </c>
      <c r="C7" s="161" t="s">
        <v>35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f t="shared" ref="I7:R7" si="1">I5*($C$34)</f>
        <v>2000000000</v>
      </c>
      <c r="J7" s="27">
        <f t="shared" si="1"/>
        <v>2600000000</v>
      </c>
      <c r="K7" s="27">
        <f t="shared" si="1"/>
        <v>3380000000</v>
      </c>
      <c r="L7" s="27">
        <f t="shared" si="1"/>
        <v>4394000000</v>
      </c>
      <c r="M7" s="27">
        <f t="shared" si="1"/>
        <v>5712200000</v>
      </c>
      <c r="N7" s="27">
        <f t="shared" si="1"/>
        <v>7425860000.000001</v>
      </c>
      <c r="O7" s="27">
        <f t="shared" si="1"/>
        <v>9653618000</v>
      </c>
      <c r="P7" s="27">
        <f t="shared" si="1"/>
        <v>12549703400.000002</v>
      </c>
      <c r="Q7" s="27">
        <f t="shared" si="1"/>
        <v>16314614420.000002</v>
      </c>
      <c r="R7" s="98">
        <f t="shared" si="1"/>
        <v>21208998746.000004</v>
      </c>
      <c r="S7" s="154"/>
      <c r="T7" s="154"/>
      <c r="U7" s="154"/>
      <c r="V7" s="154"/>
      <c r="W7" s="154"/>
      <c r="X7" s="154"/>
      <c r="Y7" s="154"/>
      <c r="Z7" s="155"/>
    </row>
    <row r="8" spans="1:26" x14ac:dyDescent="0.2">
      <c r="A8" s="150"/>
      <c r="B8" s="160"/>
      <c r="C8" s="161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98"/>
      <c r="S8" s="154"/>
      <c r="T8" s="154"/>
      <c r="U8" s="154"/>
      <c r="V8" s="154"/>
      <c r="W8" s="154"/>
      <c r="X8" s="154"/>
      <c r="Y8" s="154"/>
      <c r="Z8" s="155"/>
    </row>
    <row r="9" spans="1:26" x14ac:dyDescent="0.2">
      <c r="A9" s="150"/>
      <c r="B9" s="160" t="s">
        <v>2</v>
      </c>
      <c r="C9" s="161" t="s">
        <v>35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f>I5*(I35)</f>
        <v>1600000000</v>
      </c>
      <c r="J9" s="27">
        <f t="shared" ref="J9:Q9" si="2">J5*(J35)</f>
        <v>2080000000</v>
      </c>
      <c r="K9" s="27">
        <f t="shared" si="2"/>
        <v>2704000000</v>
      </c>
      <c r="L9" s="27">
        <f t="shared" si="2"/>
        <v>3515200000</v>
      </c>
      <c r="M9" s="27">
        <f>M5*(M35)</f>
        <v>4455516000</v>
      </c>
      <c r="N9" s="27">
        <f t="shared" si="2"/>
        <v>5792170800</v>
      </c>
      <c r="O9" s="27">
        <f t="shared" si="2"/>
        <v>7336749680.000001</v>
      </c>
      <c r="P9" s="27">
        <f t="shared" si="2"/>
        <v>9537774584.0000019</v>
      </c>
      <c r="Q9" s="27">
        <f t="shared" si="2"/>
        <v>12235960815</v>
      </c>
      <c r="R9" s="98">
        <f>R5*(R35)</f>
        <v>15694659072.040003</v>
      </c>
      <c r="S9" s="154"/>
      <c r="T9" s="154"/>
      <c r="U9" s="154"/>
      <c r="V9" s="154"/>
      <c r="W9" s="154"/>
      <c r="X9" s="154"/>
      <c r="Y9" s="154"/>
      <c r="Z9" s="155"/>
    </row>
    <row r="10" spans="1:26" x14ac:dyDescent="0.2">
      <c r="A10" s="150"/>
      <c r="B10" s="160" t="s">
        <v>3</v>
      </c>
      <c r="C10" s="161" t="s">
        <v>35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f t="shared" ref="I10:R10" si="3">I5*($C$36)</f>
        <v>20000000</v>
      </c>
      <c r="J10" s="27">
        <f t="shared" si="3"/>
        <v>26000000</v>
      </c>
      <c r="K10" s="27">
        <f t="shared" si="3"/>
        <v>33800000</v>
      </c>
      <c r="L10" s="27">
        <f t="shared" si="3"/>
        <v>43940000</v>
      </c>
      <c r="M10" s="27">
        <f t="shared" si="3"/>
        <v>57122000</v>
      </c>
      <c r="N10" s="27">
        <f t="shared" si="3"/>
        <v>74258600</v>
      </c>
      <c r="O10" s="27">
        <f t="shared" si="3"/>
        <v>96536180.000000015</v>
      </c>
      <c r="P10" s="27">
        <f t="shared" si="3"/>
        <v>125497034.00000001</v>
      </c>
      <c r="Q10" s="27">
        <f t="shared" si="3"/>
        <v>163146144.20000002</v>
      </c>
      <c r="R10" s="98">
        <f t="shared" si="3"/>
        <v>212089987.46000004</v>
      </c>
      <c r="S10" s="154"/>
      <c r="T10" s="154"/>
      <c r="U10" s="154"/>
      <c r="V10" s="154"/>
      <c r="W10" s="154"/>
      <c r="X10" s="154"/>
      <c r="Y10" s="154"/>
      <c r="Z10" s="155"/>
    </row>
    <row r="11" spans="1:26" x14ac:dyDescent="0.2">
      <c r="A11" s="150"/>
      <c r="B11" s="160" t="s">
        <v>4</v>
      </c>
      <c r="C11" s="161" t="s">
        <v>35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f t="shared" ref="I11:R11" si="4">I9+I10</f>
        <v>1620000000</v>
      </c>
      <c r="J11" s="27">
        <f t="shared" si="4"/>
        <v>2106000000</v>
      </c>
      <c r="K11" s="27">
        <f t="shared" si="4"/>
        <v>2737800000</v>
      </c>
      <c r="L11" s="27">
        <f t="shared" si="4"/>
        <v>3559140000</v>
      </c>
      <c r="M11" s="27">
        <f t="shared" si="4"/>
        <v>4512638000</v>
      </c>
      <c r="N11" s="27">
        <f t="shared" si="4"/>
        <v>5866429400</v>
      </c>
      <c r="O11" s="27">
        <f t="shared" si="4"/>
        <v>7433285860.000001</v>
      </c>
      <c r="P11" s="27">
        <f t="shared" si="4"/>
        <v>9663271618.0000019</v>
      </c>
      <c r="Q11" s="27">
        <f t="shared" si="4"/>
        <v>12399106959.200001</v>
      </c>
      <c r="R11" s="98">
        <f t="shared" si="4"/>
        <v>15906749059.500004</v>
      </c>
      <c r="S11" s="154"/>
      <c r="T11" s="154"/>
      <c r="U11" s="154"/>
      <c r="V11" s="154"/>
      <c r="W11" s="154"/>
      <c r="X11" s="154"/>
      <c r="Y11" s="154"/>
      <c r="Z11" s="155"/>
    </row>
    <row r="12" spans="1:26" x14ac:dyDescent="0.2">
      <c r="A12" s="150"/>
      <c r="B12" s="160"/>
      <c r="C12" s="161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98"/>
      <c r="S12" s="154"/>
      <c r="T12" s="154"/>
      <c r="U12" s="154"/>
      <c r="V12" s="154"/>
      <c r="W12" s="154"/>
      <c r="X12" s="154"/>
      <c r="Y12" s="154"/>
      <c r="Z12" s="155"/>
    </row>
    <row r="13" spans="1:26" x14ac:dyDescent="0.2">
      <c r="A13" s="150"/>
      <c r="B13" s="164" t="s">
        <v>5</v>
      </c>
      <c r="C13" s="165" t="s">
        <v>36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f t="shared" ref="I13:Q13" si="5">I7-I11</f>
        <v>380000000</v>
      </c>
      <c r="J13" s="27">
        <f t="shared" si="5"/>
        <v>494000000</v>
      </c>
      <c r="K13" s="27">
        <f t="shared" si="5"/>
        <v>642200000</v>
      </c>
      <c r="L13" s="27">
        <f t="shared" si="5"/>
        <v>834860000</v>
      </c>
      <c r="M13" s="27">
        <f t="shared" si="5"/>
        <v>1199562000</v>
      </c>
      <c r="N13" s="27">
        <f t="shared" si="5"/>
        <v>1559430600.000001</v>
      </c>
      <c r="O13" s="27">
        <f t="shared" si="5"/>
        <v>2220332139.999999</v>
      </c>
      <c r="P13" s="27">
        <f t="shared" si="5"/>
        <v>2886431782</v>
      </c>
      <c r="Q13" s="27">
        <f t="shared" si="5"/>
        <v>3915507460.8000011</v>
      </c>
      <c r="R13" s="98">
        <f>R7-R11</f>
        <v>5302249686.5</v>
      </c>
      <c r="S13" s="154"/>
      <c r="T13" s="154"/>
      <c r="U13" s="154"/>
      <c r="V13" s="154"/>
      <c r="W13" s="154"/>
      <c r="X13" s="154"/>
      <c r="Y13" s="154"/>
      <c r="Z13" s="155"/>
    </row>
    <row r="14" spans="1:26" x14ac:dyDescent="0.2">
      <c r="A14" s="150"/>
      <c r="B14" s="160"/>
      <c r="C14" s="161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98"/>
      <c r="S14" s="154"/>
      <c r="T14" s="154"/>
      <c r="U14" s="154"/>
      <c r="V14" s="154"/>
      <c r="W14" s="154"/>
      <c r="X14" s="154"/>
      <c r="Y14" s="154"/>
      <c r="Z14" s="155"/>
    </row>
    <row r="15" spans="1:26" x14ac:dyDescent="0.2">
      <c r="A15" s="150"/>
      <c r="B15" s="160" t="s">
        <v>6</v>
      </c>
      <c r="C15" s="161" t="s">
        <v>35</v>
      </c>
      <c r="D15" s="27">
        <v>160000000</v>
      </c>
      <c r="E15" s="27">
        <f t="shared" ref="E15:R15" si="6">D15*(1+$C$38)</f>
        <v>168000000</v>
      </c>
      <c r="F15" s="27">
        <f t="shared" si="6"/>
        <v>176400000</v>
      </c>
      <c r="G15" s="27">
        <f t="shared" si="6"/>
        <v>185220000</v>
      </c>
      <c r="H15" s="27">
        <f t="shared" si="6"/>
        <v>194481000</v>
      </c>
      <c r="I15" s="27">
        <f t="shared" si="6"/>
        <v>204205050</v>
      </c>
      <c r="J15" s="27">
        <f t="shared" si="6"/>
        <v>214415302.5</v>
      </c>
      <c r="K15" s="27">
        <f t="shared" si="6"/>
        <v>225136067.625</v>
      </c>
      <c r="L15" s="27">
        <f t="shared" si="6"/>
        <v>236392871.00625002</v>
      </c>
      <c r="M15" s="27">
        <f t="shared" si="6"/>
        <v>248212514.55656254</v>
      </c>
      <c r="N15" s="27">
        <f t="shared" si="6"/>
        <v>260623140.28439069</v>
      </c>
      <c r="O15" s="27">
        <f t="shared" si="6"/>
        <v>273654297.29861021</v>
      </c>
      <c r="P15" s="27">
        <f t="shared" si="6"/>
        <v>287337012.16354072</v>
      </c>
      <c r="Q15" s="27">
        <f t="shared" si="6"/>
        <v>301703862.77171779</v>
      </c>
      <c r="R15" s="98">
        <f t="shared" si="6"/>
        <v>316789055.91030371</v>
      </c>
      <c r="S15" s="154"/>
      <c r="T15" s="154"/>
      <c r="U15" s="154"/>
      <c r="V15" s="154"/>
      <c r="W15" s="154"/>
      <c r="X15" s="154"/>
      <c r="Y15" s="154"/>
      <c r="Z15" s="155"/>
    </row>
    <row r="16" spans="1:26" x14ac:dyDescent="0.2">
      <c r="A16" s="150"/>
      <c r="B16" s="160" t="s">
        <v>7</v>
      </c>
      <c r="C16" s="161" t="s">
        <v>35</v>
      </c>
      <c r="D16" s="31">
        <f>$C$40</f>
        <v>150000000</v>
      </c>
      <c r="E16" s="31">
        <f t="shared" ref="E16:R16" si="7">$C$40</f>
        <v>150000000</v>
      </c>
      <c r="F16" s="31">
        <f t="shared" si="7"/>
        <v>150000000</v>
      </c>
      <c r="G16" s="31">
        <f t="shared" si="7"/>
        <v>150000000</v>
      </c>
      <c r="H16" s="31">
        <f t="shared" si="7"/>
        <v>150000000</v>
      </c>
      <c r="I16" s="31">
        <f t="shared" si="7"/>
        <v>150000000</v>
      </c>
      <c r="J16" s="31">
        <f t="shared" si="7"/>
        <v>150000000</v>
      </c>
      <c r="K16" s="31">
        <f t="shared" si="7"/>
        <v>150000000</v>
      </c>
      <c r="L16" s="31">
        <f t="shared" si="7"/>
        <v>150000000</v>
      </c>
      <c r="M16" s="31">
        <f t="shared" si="7"/>
        <v>150000000</v>
      </c>
      <c r="N16" s="31">
        <f t="shared" si="7"/>
        <v>150000000</v>
      </c>
      <c r="O16" s="31">
        <f t="shared" si="7"/>
        <v>150000000</v>
      </c>
      <c r="P16" s="31">
        <f t="shared" si="7"/>
        <v>150000000</v>
      </c>
      <c r="Q16" s="31">
        <f t="shared" si="7"/>
        <v>150000000</v>
      </c>
      <c r="R16" s="240">
        <f t="shared" si="7"/>
        <v>150000000</v>
      </c>
      <c r="S16" s="154"/>
      <c r="T16" s="154"/>
      <c r="U16" s="154"/>
      <c r="V16" s="154"/>
      <c r="W16" s="154"/>
      <c r="X16" s="154"/>
      <c r="Y16" s="154"/>
      <c r="Z16" s="155"/>
    </row>
    <row r="17" spans="1:26" x14ac:dyDescent="0.2">
      <c r="A17" s="150"/>
      <c r="B17" s="160"/>
      <c r="C17" s="161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98"/>
      <c r="S17" s="154"/>
      <c r="T17" s="154"/>
      <c r="U17" s="154"/>
      <c r="V17" s="154"/>
      <c r="W17" s="154"/>
      <c r="X17" s="154"/>
      <c r="Y17" s="154"/>
      <c r="Z17" s="155"/>
    </row>
    <row r="18" spans="1:26" x14ac:dyDescent="0.2">
      <c r="A18" s="150"/>
      <c r="B18" s="164" t="s">
        <v>8</v>
      </c>
      <c r="C18" s="165" t="s">
        <v>36</v>
      </c>
      <c r="D18" s="27">
        <f>D13-D15-D16</f>
        <v>-310000000</v>
      </c>
      <c r="E18" s="27">
        <f t="shared" ref="E18:R18" si="8">E13-E15-E16</f>
        <v>-318000000</v>
      </c>
      <c r="F18" s="27">
        <f t="shared" si="8"/>
        <v>-326400000</v>
      </c>
      <c r="G18" s="27">
        <f t="shared" si="8"/>
        <v>-335220000</v>
      </c>
      <c r="H18" s="27">
        <f t="shared" si="8"/>
        <v>-344481000</v>
      </c>
      <c r="I18" s="27">
        <f t="shared" si="8"/>
        <v>25794950</v>
      </c>
      <c r="J18" s="27">
        <f t="shared" si="8"/>
        <v>129584697.5</v>
      </c>
      <c r="K18" s="27">
        <f t="shared" si="8"/>
        <v>267063932.375</v>
      </c>
      <c r="L18" s="27">
        <f t="shared" si="8"/>
        <v>448467128.99374998</v>
      </c>
      <c r="M18" s="27">
        <f t="shared" si="8"/>
        <v>801349485.44343746</v>
      </c>
      <c r="N18" s="27">
        <f t="shared" si="8"/>
        <v>1148807459.7156103</v>
      </c>
      <c r="O18" s="27">
        <f t="shared" si="8"/>
        <v>1796677842.7013888</v>
      </c>
      <c r="P18" s="27">
        <f t="shared" si="8"/>
        <v>2449094769.8364592</v>
      </c>
      <c r="Q18" s="27">
        <f t="shared" si="8"/>
        <v>3463803598.0282831</v>
      </c>
      <c r="R18" s="98">
        <f t="shared" si="8"/>
        <v>4835460630.5896959</v>
      </c>
      <c r="S18" s="154"/>
      <c r="T18" s="154"/>
      <c r="U18" s="154"/>
      <c r="V18" s="154"/>
      <c r="W18" s="154"/>
      <c r="X18" s="154"/>
      <c r="Y18" s="154"/>
      <c r="Z18" s="155"/>
    </row>
    <row r="19" spans="1:26" x14ac:dyDescent="0.2">
      <c r="A19" s="150"/>
      <c r="B19" s="164" t="s">
        <v>9</v>
      </c>
      <c r="C19" s="165" t="s">
        <v>36</v>
      </c>
      <c r="D19" s="31">
        <v>5000000</v>
      </c>
      <c r="E19" s="31">
        <v>5000000</v>
      </c>
      <c r="F19" s="31">
        <v>5000000</v>
      </c>
      <c r="G19" s="31">
        <v>5000000</v>
      </c>
      <c r="H19" s="31">
        <v>5000000</v>
      </c>
      <c r="I19" s="31">
        <v>5000000</v>
      </c>
      <c r="J19" s="31">
        <v>5000000</v>
      </c>
      <c r="K19" s="31">
        <v>5000000</v>
      </c>
      <c r="L19" s="31">
        <v>5000000</v>
      </c>
      <c r="M19" s="31">
        <v>5000000</v>
      </c>
      <c r="N19" s="31">
        <v>5000000</v>
      </c>
      <c r="O19" s="31">
        <v>5000000</v>
      </c>
      <c r="P19" s="31">
        <v>5000000</v>
      </c>
      <c r="Q19" s="31">
        <v>5000000</v>
      </c>
      <c r="R19" s="99">
        <v>5000000</v>
      </c>
      <c r="S19" s="154"/>
      <c r="T19" s="154"/>
      <c r="U19" s="154"/>
      <c r="V19" s="154"/>
      <c r="W19" s="154"/>
      <c r="X19" s="154"/>
      <c r="Y19" s="154"/>
      <c r="Z19" s="155"/>
    </row>
    <row r="20" spans="1:26" x14ac:dyDescent="0.2">
      <c r="A20" s="150"/>
      <c r="B20" s="164" t="s">
        <v>10</v>
      </c>
      <c r="C20" s="165" t="s">
        <v>36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f t="shared" ref="I20:R20" si="9">(I18-I19)*0.25</f>
        <v>5198737.5</v>
      </c>
      <c r="J20" s="27">
        <f t="shared" si="9"/>
        <v>31146174.375</v>
      </c>
      <c r="K20" s="27">
        <f t="shared" si="9"/>
        <v>65515983.09375</v>
      </c>
      <c r="L20" s="27">
        <f t="shared" si="9"/>
        <v>110866782.24843749</v>
      </c>
      <c r="M20" s="27">
        <f t="shared" si="9"/>
        <v>199087371.36085936</v>
      </c>
      <c r="N20" s="27">
        <f t="shared" si="9"/>
        <v>285951864.92890257</v>
      </c>
      <c r="O20" s="27">
        <f t="shared" si="9"/>
        <v>447919460.67534721</v>
      </c>
      <c r="P20" s="27">
        <f t="shared" si="9"/>
        <v>611023692.45911479</v>
      </c>
      <c r="Q20" s="27">
        <f t="shared" si="9"/>
        <v>864700899.50707078</v>
      </c>
      <c r="R20" s="98">
        <f t="shared" si="9"/>
        <v>1207615157.647424</v>
      </c>
      <c r="S20" s="154"/>
      <c r="T20" s="154"/>
      <c r="U20" s="154"/>
      <c r="V20" s="154"/>
      <c r="W20" s="154"/>
      <c r="X20" s="154"/>
      <c r="Y20" s="154"/>
      <c r="Z20" s="155"/>
    </row>
    <row r="21" spans="1:26" x14ac:dyDescent="0.2">
      <c r="A21" s="150"/>
      <c r="B21" s="160"/>
      <c r="C21" s="161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98"/>
      <c r="S21" s="154"/>
      <c r="T21" s="154"/>
      <c r="U21" s="154"/>
      <c r="V21" s="154"/>
      <c r="W21" s="154"/>
      <c r="X21" s="154"/>
      <c r="Y21" s="154"/>
      <c r="Z21" s="155"/>
    </row>
    <row r="22" spans="1:26" x14ac:dyDescent="0.2">
      <c r="A22" s="150"/>
      <c r="B22" s="164" t="s">
        <v>11</v>
      </c>
      <c r="C22" s="165" t="s">
        <v>36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f t="shared" ref="I22:R22" si="10">I7*($C$41)</f>
        <v>100000000</v>
      </c>
      <c r="J22" s="27">
        <f t="shared" si="10"/>
        <v>130000000</v>
      </c>
      <c r="K22" s="27">
        <f t="shared" si="10"/>
        <v>169000000</v>
      </c>
      <c r="L22" s="27">
        <f t="shared" si="10"/>
        <v>219700000</v>
      </c>
      <c r="M22" s="27">
        <f t="shared" si="10"/>
        <v>285610000</v>
      </c>
      <c r="N22" s="27">
        <f t="shared" si="10"/>
        <v>371293000.00000006</v>
      </c>
      <c r="O22" s="27">
        <f t="shared" si="10"/>
        <v>482680900</v>
      </c>
      <c r="P22" s="27">
        <f t="shared" si="10"/>
        <v>627485170.00000012</v>
      </c>
      <c r="Q22" s="27">
        <f t="shared" si="10"/>
        <v>815730721.00000012</v>
      </c>
      <c r="R22" s="98">
        <f t="shared" si="10"/>
        <v>1060449937.3000002</v>
      </c>
      <c r="S22" s="154"/>
      <c r="T22" s="154"/>
      <c r="U22" s="154"/>
      <c r="V22" s="154"/>
      <c r="W22" s="154"/>
      <c r="X22" s="154"/>
      <c r="Y22" s="154"/>
      <c r="Z22" s="155"/>
    </row>
    <row r="23" spans="1:26" x14ac:dyDescent="0.2">
      <c r="A23" s="150"/>
      <c r="B23" s="164" t="s">
        <v>12</v>
      </c>
      <c r="C23" s="165" t="s">
        <v>36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f>I22-H22</f>
        <v>100000000</v>
      </c>
      <c r="J23" s="27">
        <f t="shared" ref="J23:R23" si="11">J22-I22</f>
        <v>30000000</v>
      </c>
      <c r="K23" s="27">
        <f t="shared" si="11"/>
        <v>39000000</v>
      </c>
      <c r="L23" s="27">
        <f t="shared" si="11"/>
        <v>50700000</v>
      </c>
      <c r="M23" s="27">
        <f t="shared" si="11"/>
        <v>65910000</v>
      </c>
      <c r="N23" s="27">
        <f t="shared" si="11"/>
        <v>85683000.00000006</v>
      </c>
      <c r="O23" s="27">
        <f t="shared" si="11"/>
        <v>111387899.99999994</v>
      </c>
      <c r="P23" s="27">
        <f t="shared" si="11"/>
        <v>144804270.00000012</v>
      </c>
      <c r="Q23" s="27">
        <f t="shared" si="11"/>
        <v>188245551</v>
      </c>
      <c r="R23" s="98">
        <f t="shared" si="11"/>
        <v>244719216.30000007</v>
      </c>
      <c r="S23" s="154"/>
      <c r="T23" s="154"/>
      <c r="U23" s="154"/>
      <c r="V23" s="154"/>
      <c r="W23" s="154"/>
      <c r="X23" s="154"/>
      <c r="Y23" s="154"/>
      <c r="Z23" s="155"/>
    </row>
    <row r="24" spans="1:26" x14ac:dyDescent="0.2">
      <c r="A24" s="150"/>
      <c r="B24" s="164" t="s">
        <v>13</v>
      </c>
      <c r="C24" s="165" t="s">
        <v>36</v>
      </c>
      <c r="D24" s="31">
        <f>$C$42</f>
        <v>40000000</v>
      </c>
      <c r="E24" s="31">
        <f t="shared" ref="E24:H24" si="12">$C$42</f>
        <v>40000000</v>
      </c>
      <c r="F24" s="31">
        <f t="shared" si="12"/>
        <v>40000000</v>
      </c>
      <c r="G24" s="31">
        <f t="shared" si="12"/>
        <v>40000000</v>
      </c>
      <c r="H24" s="31">
        <f t="shared" si="12"/>
        <v>40000000</v>
      </c>
      <c r="I24" s="31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98">
        <v>0</v>
      </c>
      <c r="S24" s="154"/>
      <c r="T24" s="154"/>
      <c r="U24" s="154"/>
      <c r="V24" s="154"/>
      <c r="W24" s="154"/>
      <c r="X24" s="154"/>
      <c r="Y24" s="154"/>
      <c r="Z24" s="155"/>
    </row>
    <row r="25" spans="1:26" x14ac:dyDescent="0.2">
      <c r="A25" s="150"/>
      <c r="B25" s="160"/>
      <c r="C25" s="161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98"/>
      <c r="S25" s="154"/>
      <c r="T25" s="154"/>
      <c r="U25" s="154"/>
      <c r="V25" s="154"/>
      <c r="W25" s="154"/>
      <c r="X25" s="154"/>
      <c r="Y25" s="154"/>
      <c r="Z25" s="155"/>
    </row>
    <row r="26" spans="1:26" x14ac:dyDescent="0.2">
      <c r="A26" s="150"/>
      <c r="B26" s="164" t="s">
        <v>14</v>
      </c>
      <c r="C26" s="165">
        <v>0</v>
      </c>
      <c r="D26" s="27">
        <f>D18+D19-D20-D23-D24</f>
        <v>-345000000</v>
      </c>
      <c r="E26" s="27">
        <f t="shared" ref="E26:R26" si="13">E18+E19-E20-E23-E24</f>
        <v>-353000000</v>
      </c>
      <c r="F26" s="27">
        <f t="shared" si="13"/>
        <v>-361400000</v>
      </c>
      <c r="G26" s="27">
        <f t="shared" si="13"/>
        <v>-370220000</v>
      </c>
      <c r="H26" s="27">
        <f>H18+H19-H20-H23-H24</f>
        <v>-379481000</v>
      </c>
      <c r="I26" s="27">
        <f>I18+I19-I20-I23-I24</f>
        <v>-74403787.5</v>
      </c>
      <c r="J26" s="27">
        <f t="shared" si="13"/>
        <v>73438523.125</v>
      </c>
      <c r="K26" s="27">
        <f t="shared" si="13"/>
        <v>167547949.28125</v>
      </c>
      <c r="L26" s="27">
        <f t="shared" si="13"/>
        <v>291900346.74531245</v>
      </c>
      <c r="M26" s="27">
        <f>M18+M19-M20-M23-M24</f>
        <v>541352114.08257806</v>
      </c>
      <c r="N26" s="27">
        <f t="shared" si="13"/>
        <v>782172594.78670764</v>
      </c>
      <c r="O26" s="27">
        <f t="shared" si="13"/>
        <v>1242370482.0260415</v>
      </c>
      <c r="P26" s="27">
        <f t="shared" si="13"/>
        <v>1698266807.3773441</v>
      </c>
      <c r="Q26" s="27">
        <f t="shared" si="13"/>
        <v>2415857147.5212126</v>
      </c>
      <c r="R26" s="98">
        <f t="shared" si="13"/>
        <v>3388126256.642272</v>
      </c>
      <c r="S26" s="154"/>
      <c r="T26" s="154"/>
      <c r="U26" s="154"/>
      <c r="V26" s="154"/>
      <c r="W26" s="154"/>
      <c r="X26" s="154"/>
      <c r="Y26" s="154"/>
      <c r="Z26" s="155"/>
    </row>
    <row r="27" spans="1:26" x14ac:dyDescent="0.2">
      <c r="A27" s="150"/>
      <c r="B27" s="166" t="s">
        <v>15</v>
      </c>
      <c r="C27" s="167">
        <v>0</v>
      </c>
      <c r="D27" s="34">
        <f>D26+C27</f>
        <v>-345000000</v>
      </c>
      <c r="E27" s="34">
        <f t="shared" ref="E27:R27" si="14">D27+E26</f>
        <v>-698000000</v>
      </c>
      <c r="F27" s="34">
        <f t="shared" si="14"/>
        <v>-1059400000</v>
      </c>
      <c r="G27" s="34">
        <f t="shared" si="14"/>
        <v>-1429620000</v>
      </c>
      <c r="H27" s="34">
        <f t="shared" si="14"/>
        <v>-1809101000</v>
      </c>
      <c r="I27" s="34">
        <f>H27+I26</f>
        <v>-1883504787.5</v>
      </c>
      <c r="J27" s="34">
        <f t="shared" si="14"/>
        <v>-1810066264.375</v>
      </c>
      <c r="K27" s="34">
        <f t="shared" si="14"/>
        <v>-1642518315.09375</v>
      </c>
      <c r="L27" s="34">
        <f t="shared" si="14"/>
        <v>-1350617968.3484375</v>
      </c>
      <c r="M27" s="34">
        <f t="shared" si="14"/>
        <v>-809265854.26585948</v>
      </c>
      <c r="N27" s="34">
        <f t="shared" si="14"/>
        <v>-27093259.479151845</v>
      </c>
      <c r="O27" s="34">
        <f t="shared" si="14"/>
        <v>1215277222.5468898</v>
      </c>
      <c r="P27" s="34">
        <f t="shared" si="14"/>
        <v>2913544029.9242339</v>
      </c>
      <c r="Q27" s="34">
        <f t="shared" si="14"/>
        <v>5329401177.445446</v>
      </c>
      <c r="R27" s="105">
        <f t="shared" si="14"/>
        <v>8717527434.087719</v>
      </c>
      <c r="S27" s="154"/>
      <c r="T27" s="154"/>
      <c r="U27" s="154"/>
      <c r="V27" s="154"/>
      <c r="W27" s="154"/>
      <c r="X27" s="154"/>
      <c r="Y27" s="154"/>
      <c r="Z27" s="155"/>
    </row>
    <row r="28" spans="1:26" x14ac:dyDescent="0.2">
      <c r="A28" s="168"/>
      <c r="B28" s="169"/>
      <c r="C28" s="170"/>
      <c r="D28" s="170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54"/>
      <c r="T28" s="154"/>
      <c r="U28" s="154"/>
      <c r="V28" s="154"/>
      <c r="W28" s="154"/>
      <c r="X28" s="154"/>
      <c r="Y28" s="154"/>
      <c r="Z28" s="155"/>
    </row>
    <row r="29" spans="1:26" x14ac:dyDescent="0.2">
      <c r="A29" s="150"/>
      <c r="B29" s="172" t="s">
        <v>33</v>
      </c>
      <c r="C29" s="173"/>
      <c r="D29" s="174"/>
      <c r="E29" s="153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5"/>
    </row>
    <row r="30" spans="1:26" x14ac:dyDescent="0.2">
      <c r="A30" s="150"/>
      <c r="B30" s="258" t="s">
        <v>17</v>
      </c>
      <c r="C30" s="259"/>
      <c r="D30" s="175"/>
      <c r="E30" s="153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5"/>
    </row>
    <row r="31" spans="1:26" x14ac:dyDescent="0.2">
      <c r="A31" s="150"/>
      <c r="B31" s="176" t="s">
        <v>18</v>
      </c>
      <c r="C31" s="169"/>
      <c r="D31" s="177"/>
      <c r="E31" s="153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5"/>
    </row>
    <row r="32" spans="1:26" x14ac:dyDescent="0.2">
      <c r="A32" s="150"/>
      <c r="B32" s="172" t="s">
        <v>19</v>
      </c>
      <c r="C32" s="178">
        <v>20000</v>
      </c>
      <c r="D32" s="174" t="s">
        <v>20</v>
      </c>
      <c r="E32" s="153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5"/>
    </row>
    <row r="33" spans="1:26" x14ac:dyDescent="0.2">
      <c r="A33" s="150"/>
      <c r="B33" s="153" t="s">
        <v>21</v>
      </c>
      <c r="C33" s="179">
        <v>0.3</v>
      </c>
      <c r="D33" s="155"/>
      <c r="E33" s="153"/>
      <c r="F33" s="154"/>
      <c r="G33" s="154"/>
      <c r="H33" s="154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54"/>
      <c r="T33" s="154"/>
      <c r="U33" s="154"/>
      <c r="V33" s="154"/>
      <c r="W33" s="154"/>
      <c r="X33" s="154"/>
      <c r="Y33" s="154"/>
      <c r="Z33" s="155"/>
    </row>
    <row r="34" spans="1:26" x14ac:dyDescent="0.2">
      <c r="A34" s="150"/>
      <c r="B34" s="153" t="s">
        <v>22</v>
      </c>
      <c r="C34" s="181">
        <v>100000</v>
      </c>
      <c r="D34" s="155"/>
      <c r="E34" s="153"/>
      <c r="F34" s="154"/>
      <c r="G34" s="154"/>
      <c r="H34" s="155"/>
      <c r="I34" s="176">
        <v>2030</v>
      </c>
      <c r="J34" s="169">
        <v>2031</v>
      </c>
      <c r="K34" s="169">
        <v>2032</v>
      </c>
      <c r="L34" s="169">
        <v>2033</v>
      </c>
      <c r="M34" s="169">
        <v>2034</v>
      </c>
      <c r="N34" s="169">
        <v>2035</v>
      </c>
      <c r="O34" s="169">
        <v>2036</v>
      </c>
      <c r="P34" s="169">
        <v>2037</v>
      </c>
      <c r="Q34" s="169">
        <v>2038</v>
      </c>
      <c r="R34" s="177">
        <v>2039</v>
      </c>
      <c r="S34" s="153"/>
      <c r="T34" s="154"/>
      <c r="U34" s="154"/>
      <c r="V34" s="154"/>
      <c r="W34" s="154"/>
      <c r="X34" s="154"/>
      <c r="Y34" s="154"/>
      <c r="Z34" s="155"/>
    </row>
    <row r="35" spans="1:26" x14ac:dyDescent="0.2">
      <c r="A35" s="150"/>
      <c r="B35" s="153" t="s">
        <v>23</v>
      </c>
      <c r="C35" s="154"/>
      <c r="D35" s="155"/>
      <c r="E35" s="153"/>
      <c r="F35" s="154"/>
      <c r="G35" s="154"/>
      <c r="H35" s="155"/>
      <c r="I35" s="182">
        <v>80000</v>
      </c>
      <c r="J35" s="183">
        <v>80000</v>
      </c>
      <c r="K35" s="183">
        <v>80000</v>
      </c>
      <c r="L35" s="183">
        <v>80000</v>
      </c>
      <c r="M35" s="183">
        <v>78000</v>
      </c>
      <c r="N35" s="183">
        <v>78000</v>
      </c>
      <c r="O35" s="183">
        <v>76000</v>
      </c>
      <c r="P35" s="183">
        <v>76000</v>
      </c>
      <c r="Q35" s="183">
        <v>75000</v>
      </c>
      <c r="R35" s="184">
        <v>74000</v>
      </c>
      <c r="S35" s="153"/>
      <c r="T35" s="154"/>
      <c r="U35" s="154"/>
      <c r="V35" s="154"/>
      <c r="W35" s="154"/>
      <c r="X35" s="154"/>
      <c r="Y35" s="154"/>
      <c r="Z35" s="155"/>
    </row>
    <row r="36" spans="1:26" x14ac:dyDescent="0.2">
      <c r="A36" s="150"/>
      <c r="B36" s="153" t="s">
        <v>24</v>
      </c>
      <c r="C36" s="181">
        <v>1000</v>
      </c>
      <c r="D36" s="155"/>
      <c r="E36" s="153"/>
      <c r="F36" s="154"/>
      <c r="G36" s="154"/>
      <c r="H36" s="154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54"/>
      <c r="T36" s="154"/>
      <c r="U36" s="154"/>
      <c r="V36" s="154"/>
      <c r="W36" s="154"/>
      <c r="X36" s="154"/>
      <c r="Y36" s="154"/>
      <c r="Z36" s="155"/>
    </row>
    <row r="37" spans="1:26" x14ac:dyDescent="0.2">
      <c r="A37" s="150"/>
      <c r="B37" s="153" t="s">
        <v>25</v>
      </c>
      <c r="C37" s="181">
        <v>160000000</v>
      </c>
      <c r="D37" s="155"/>
      <c r="E37" s="153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5"/>
    </row>
    <row r="38" spans="1:26" x14ac:dyDescent="0.2">
      <c r="A38" s="150"/>
      <c r="B38" s="153" t="s">
        <v>26</v>
      </c>
      <c r="C38" s="179">
        <v>0.05</v>
      </c>
      <c r="D38" s="155"/>
      <c r="E38" s="153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5"/>
    </row>
    <row r="39" spans="1:26" x14ac:dyDescent="0.2">
      <c r="A39" s="150"/>
      <c r="B39" s="153" t="s">
        <v>9</v>
      </c>
      <c r="C39" s="181">
        <v>5000000</v>
      </c>
      <c r="D39" s="155" t="s">
        <v>27</v>
      </c>
      <c r="E39" s="153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5"/>
    </row>
    <row r="40" spans="1:26" x14ac:dyDescent="0.2">
      <c r="A40" s="150"/>
      <c r="B40" s="153" t="s">
        <v>7</v>
      </c>
      <c r="C40" s="181">
        <v>150000000</v>
      </c>
      <c r="D40" s="155" t="s">
        <v>27</v>
      </c>
      <c r="E40" s="153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5"/>
    </row>
    <row r="41" spans="1:26" x14ac:dyDescent="0.2">
      <c r="A41" s="150"/>
      <c r="B41" s="153" t="s">
        <v>28</v>
      </c>
      <c r="C41" s="179">
        <v>0.05</v>
      </c>
      <c r="D41" s="155" t="s">
        <v>29</v>
      </c>
      <c r="E41" s="153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5"/>
    </row>
    <row r="42" spans="1:26" x14ac:dyDescent="0.2">
      <c r="A42" s="150"/>
      <c r="B42" s="153" t="s">
        <v>13</v>
      </c>
      <c r="C42" s="181">
        <v>40000000</v>
      </c>
      <c r="D42" s="155" t="s">
        <v>27</v>
      </c>
      <c r="E42" s="153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5"/>
    </row>
    <row r="43" spans="1:26" x14ac:dyDescent="0.2">
      <c r="A43" s="150"/>
      <c r="B43" s="153" t="s">
        <v>30</v>
      </c>
      <c r="C43" s="179">
        <v>0.25</v>
      </c>
      <c r="D43" s="155"/>
      <c r="E43" s="153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5"/>
    </row>
    <row r="44" spans="1:26" x14ac:dyDescent="0.2">
      <c r="A44" s="150"/>
      <c r="B44" s="185" t="s">
        <v>31</v>
      </c>
      <c r="C44" s="186">
        <v>0.15</v>
      </c>
      <c r="D44" s="175"/>
      <c r="E44" s="153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5"/>
    </row>
    <row r="45" spans="1:26" x14ac:dyDescent="0.2">
      <c r="A45" s="168"/>
      <c r="B45" s="169"/>
      <c r="C45" s="169"/>
      <c r="D45" s="169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5"/>
    </row>
    <row r="46" spans="1:26" x14ac:dyDescent="0.2">
      <c r="A46" s="150"/>
      <c r="B46" s="176" t="s">
        <v>32</v>
      </c>
      <c r="C46" s="241">
        <f>NPV($C$44,D26:R26)+C26</f>
        <v>496273079.17652839</v>
      </c>
      <c r="D46" s="177"/>
      <c r="E46" s="153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5"/>
    </row>
    <row r="47" spans="1:26" x14ac:dyDescent="0.2">
      <c r="A47" s="168"/>
      <c r="B47" s="173"/>
      <c r="C47" s="187"/>
      <c r="D47" s="173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5"/>
    </row>
    <row r="48" spans="1:26" x14ac:dyDescent="0.2">
      <c r="A48" s="168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5"/>
    </row>
    <row r="49" spans="1:26" x14ac:dyDescent="0.2">
      <c r="A49" s="168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5"/>
    </row>
    <row r="50" spans="1:26" x14ac:dyDescent="0.2">
      <c r="A50" s="168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5"/>
    </row>
    <row r="51" spans="1:26" x14ac:dyDescent="0.2">
      <c r="A51" s="168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5"/>
    </row>
    <row r="52" spans="1:26" x14ac:dyDescent="0.2">
      <c r="A52" s="168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5"/>
    </row>
    <row r="53" spans="1:26" x14ac:dyDescent="0.2">
      <c r="A53" s="168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5"/>
    </row>
    <row r="54" spans="1:26" x14ac:dyDescent="0.2">
      <c r="A54" s="168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5"/>
    </row>
    <row r="55" spans="1:26" x14ac:dyDescent="0.2">
      <c r="A55" s="168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5"/>
    </row>
    <row r="56" spans="1:26" x14ac:dyDescent="0.2">
      <c r="A56" s="168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5"/>
    </row>
    <row r="57" spans="1:26" x14ac:dyDescent="0.2">
      <c r="A57" s="168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5"/>
    </row>
    <row r="58" spans="1:26" x14ac:dyDescent="0.2">
      <c r="A58" s="168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5"/>
    </row>
    <row r="59" spans="1:26" x14ac:dyDescent="0.2">
      <c r="A59" s="168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5"/>
    </row>
    <row r="60" spans="1:26" x14ac:dyDescent="0.2">
      <c r="A60" s="168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5"/>
    </row>
    <row r="61" spans="1:26" x14ac:dyDescent="0.2">
      <c r="A61" s="168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5"/>
    </row>
    <row r="62" spans="1:26" x14ac:dyDescent="0.2">
      <c r="A62" s="168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5"/>
    </row>
    <row r="63" spans="1:26" x14ac:dyDescent="0.2">
      <c r="A63" s="168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5"/>
    </row>
    <row r="64" spans="1:26" x14ac:dyDescent="0.2">
      <c r="A64" s="168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5"/>
    </row>
    <row r="65" spans="1:26" x14ac:dyDescent="0.2">
      <c r="A65" s="168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5"/>
    </row>
    <row r="66" spans="1:26" x14ac:dyDescent="0.2">
      <c r="A66" s="168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5"/>
    </row>
    <row r="67" spans="1:26" x14ac:dyDescent="0.2">
      <c r="A67" s="168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5"/>
    </row>
    <row r="68" spans="1:26" x14ac:dyDescent="0.2">
      <c r="A68" s="168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5"/>
    </row>
    <row r="69" spans="1:26" x14ac:dyDescent="0.2">
      <c r="A69" s="168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5"/>
    </row>
    <row r="70" spans="1:26" x14ac:dyDescent="0.2">
      <c r="A70" s="168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5"/>
    </row>
    <row r="71" spans="1:26" x14ac:dyDescent="0.2">
      <c r="A71" s="168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5"/>
    </row>
    <row r="72" spans="1:26" x14ac:dyDescent="0.2">
      <c r="A72" s="168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5"/>
    </row>
    <row r="73" spans="1:26" x14ac:dyDescent="0.2">
      <c r="A73" s="168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5"/>
    </row>
    <row r="74" spans="1:26" x14ac:dyDescent="0.2">
      <c r="A74" s="168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5"/>
    </row>
    <row r="75" spans="1:26" x14ac:dyDescent="0.2">
      <c r="A75" s="168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5"/>
    </row>
    <row r="76" spans="1:26" x14ac:dyDescent="0.2">
      <c r="A76" s="168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5"/>
    </row>
    <row r="77" spans="1:26" x14ac:dyDescent="0.2">
      <c r="A77" s="168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5"/>
    </row>
    <row r="78" spans="1:26" x14ac:dyDescent="0.2">
      <c r="A78" s="168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5"/>
    </row>
    <row r="79" spans="1:26" x14ac:dyDescent="0.2">
      <c r="A79" s="168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5"/>
    </row>
    <row r="80" spans="1:26" x14ac:dyDescent="0.2">
      <c r="A80" s="168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5"/>
    </row>
    <row r="81" spans="1:26" x14ac:dyDescent="0.2">
      <c r="A81" s="168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5"/>
    </row>
    <row r="82" spans="1:26" x14ac:dyDescent="0.2">
      <c r="A82" s="168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5"/>
    </row>
    <row r="83" spans="1:26" x14ac:dyDescent="0.2">
      <c r="A83" s="168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5"/>
    </row>
    <row r="84" spans="1:26" x14ac:dyDescent="0.2">
      <c r="A84" s="168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5"/>
    </row>
    <row r="85" spans="1:26" x14ac:dyDescent="0.2">
      <c r="A85" s="168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5"/>
    </row>
    <row r="86" spans="1:26" x14ac:dyDescent="0.2">
      <c r="A86" s="168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5"/>
    </row>
    <row r="87" spans="1:26" x14ac:dyDescent="0.2">
      <c r="A87" s="168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5"/>
    </row>
    <row r="88" spans="1:26" x14ac:dyDescent="0.2">
      <c r="A88" s="168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5"/>
    </row>
    <row r="89" spans="1:26" x14ac:dyDescent="0.2">
      <c r="A89" s="168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5"/>
    </row>
    <row r="90" spans="1:26" x14ac:dyDescent="0.2">
      <c r="A90" s="168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5"/>
    </row>
    <row r="91" spans="1:26" x14ac:dyDescent="0.2">
      <c r="A91" s="168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5"/>
    </row>
    <row r="92" spans="1:26" x14ac:dyDescent="0.2">
      <c r="A92" s="168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5"/>
    </row>
    <row r="93" spans="1:26" x14ac:dyDescent="0.2">
      <c r="A93" s="168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5"/>
    </row>
    <row r="94" spans="1:26" x14ac:dyDescent="0.2">
      <c r="A94" s="168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5"/>
    </row>
    <row r="95" spans="1:26" x14ac:dyDescent="0.2">
      <c r="A95" s="168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5"/>
    </row>
    <row r="96" spans="1:26" x14ac:dyDescent="0.2">
      <c r="A96" s="168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5"/>
    </row>
    <row r="97" spans="1:26" x14ac:dyDescent="0.2">
      <c r="A97" s="168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5"/>
    </row>
    <row r="98" spans="1:26" x14ac:dyDescent="0.2">
      <c r="A98" s="168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5"/>
    </row>
    <row r="99" spans="1:26" x14ac:dyDescent="0.2">
      <c r="A99" s="168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5"/>
    </row>
    <row r="100" spans="1:26" x14ac:dyDescent="0.2">
      <c r="A100" s="168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5"/>
    </row>
    <row r="101" spans="1:26" x14ac:dyDescent="0.2">
      <c r="A101" s="168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5"/>
    </row>
    <row r="102" spans="1:26" x14ac:dyDescent="0.2">
      <c r="A102" s="168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5"/>
    </row>
    <row r="103" spans="1:26" x14ac:dyDescent="0.2">
      <c r="A103" s="168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5"/>
    </row>
    <row r="104" spans="1:26" x14ac:dyDescent="0.2">
      <c r="A104" s="168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5"/>
    </row>
    <row r="105" spans="1:26" x14ac:dyDescent="0.2">
      <c r="A105" s="168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5"/>
    </row>
    <row r="106" spans="1:26" x14ac:dyDescent="0.2">
      <c r="A106" s="168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5"/>
    </row>
    <row r="107" spans="1:26" x14ac:dyDescent="0.2">
      <c r="A107" s="168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5"/>
    </row>
    <row r="108" spans="1:26" x14ac:dyDescent="0.2">
      <c r="A108" s="168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5"/>
    </row>
    <row r="109" spans="1:26" x14ac:dyDescent="0.2">
      <c r="A109" s="168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5"/>
    </row>
    <row r="110" spans="1:26" x14ac:dyDescent="0.2">
      <c r="A110" s="168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5"/>
    </row>
    <row r="111" spans="1:26" x14ac:dyDescent="0.2">
      <c r="A111" s="168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5"/>
    </row>
    <row r="112" spans="1:26" x14ac:dyDescent="0.2">
      <c r="A112" s="168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5"/>
    </row>
    <row r="113" spans="1:26" x14ac:dyDescent="0.2">
      <c r="A113" s="168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5"/>
    </row>
    <row r="114" spans="1:26" x14ac:dyDescent="0.2">
      <c r="A114" s="168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5"/>
    </row>
    <row r="115" spans="1:26" x14ac:dyDescent="0.2">
      <c r="A115" s="168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5"/>
    </row>
    <row r="116" spans="1:26" x14ac:dyDescent="0.2">
      <c r="A116" s="168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5"/>
    </row>
    <row r="117" spans="1:26" x14ac:dyDescent="0.2">
      <c r="A117" s="168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5"/>
    </row>
    <row r="118" spans="1:26" x14ac:dyDescent="0.2">
      <c r="A118" s="168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5"/>
    </row>
    <row r="119" spans="1:26" x14ac:dyDescent="0.2">
      <c r="A119" s="168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5"/>
    </row>
    <row r="120" spans="1:26" x14ac:dyDescent="0.2">
      <c r="A120" s="168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5"/>
    </row>
    <row r="121" spans="1:26" x14ac:dyDescent="0.2">
      <c r="A121" s="168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5"/>
    </row>
    <row r="122" spans="1:26" x14ac:dyDescent="0.2">
      <c r="A122" s="168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5"/>
    </row>
    <row r="123" spans="1:26" x14ac:dyDescent="0.2">
      <c r="A123" s="168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5"/>
    </row>
    <row r="124" spans="1:26" x14ac:dyDescent="0.2">
      <c r="A124" s="168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5"/>
    </row>
    <row r="125" spans="1:26" x14ac:dyDescent="0.2">
      <c r="A125" s="168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5"/>
    </row>
    <row r="126" spans="1:26" x14ac:dyDescent="0.2">
      <c r="A126" s="168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5"/>
    </row>
    <row r="127" spans="1:26" x14ac:dyDescent="0.2">
      <c r="A127" s="168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5"/>
    </row>
    <row r="128" spans="1:26" x14ac:dyDescent="0.2">
      <c r="A128" s="168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5"/>
    </row>
    <row r="129" spans="1:26" x14ac:dyDescent="0.2">
      <c r="A129" s="168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5"/>
    </row>
    <row r="130" spans="1:26" x14ac:dyDescent="0.2">
      <c r="A130" s="168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5"/>
    </row>
    <row r="131" spans="1:26" x14ac:dyDescent="0.2">
      <c r="A131" s="168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5"/>
    </row>
    <row r="132" spans="1:26" x14ac:dyDescent="0.2">
      <c r="A132" s="168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5"/>
    </row>
    <row r="133" spans="1:26" x14ac:dyDescent="0.2">
      <c r="A133" s="168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5"/>
    </row>
    <row r="134" spans="1:26" x14ac:dyDescent="0.2">
      <c r="A134" s="168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5"/>
    </row>
    <row r="135" spans="1:26" x14ac:dyDescent="0.2">
      <c r="A135" s="168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5"/>
    </row>
    <row r="136" spans="1:26" x14ac:dyDescent="0.2">
      <c r="A136" s="168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5"/>
    </row>
    <row r="137" spans="1:26" x14ac:dyDescent="0.2">
      <c r="A137" s="168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5"/>
    </row>
    <row r="138" spans="1:26" x14ac:dyDescent="0.2">
      <c r="A138" s="168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5"/>
    </row>
    <row r="139" spans="1:26" x14ac:dyDescent="0.2">
      <c r="A139" s="168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5"/>
    </row>
    <row r="140" spans="1:26" x14ac:dyDescent="0.2">
      <c r="A140" s="168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5"/>
    </row>
    <row r="141" spans="1:26" x14ac:dyDescent="0.2">
      <c r="A141" s="168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5"/>
    </row>
    <row r="142" spans="1:26" x14ac:dyDescent="0.2">
      <c r="A142" s="168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5"/>
    </row>
    <row r="143" spans="1:26" x14ac:dyDescent="0.2">
      <c r="A143" s="168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5"/>
    </row>
    <row r="144" spans="1:26" x14ac:dyDescent="0.2">
      <c r="A144" s="168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5"/>
    </row>
    <row r="145" spans="1:26" x14ac:dyDescent="0.2">
      <c r="A145" s="168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5"/>
    </row>
    <row r="146" spans="1:26" x14ac:dyDescent="0.2">
      <c r="A146" s="168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5"/>
    </row>
    <row r="147" spans="1:26" x14ac:dyDescent="0.2">
      <c r="A147" s="168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5"/>
    </row>
    <row r="148" spans="1:26" x14ac:dyDescent="0.2">
      <c r="A148" s="168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5"/>
    </row>
    <row r="149" spans="1:26" x14ac:dyDescent="0.2">
      <c r="A149" s="168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5"/>
    </row>
    <row r="150" spans="1:26" x14ac:dyDescent="0.2">
      <c r="A150" s="168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5"/>
    </row>
    <row r="151" spans="1:26" x14ac:dyDescent="0.2">
      <c r="A151" s="168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5"/>
    </row>
    <row r="152" spans="1:26" x14ac:dyDescent="0.2">
      <c r="A152" s="168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5"/>
    </row>
    <row r="153" spans="1:26" x14ac:dyDescent="0.2">
      <c r="A153" s="168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5"/>
    </row>
    <row r="154" spans="1:26" x14ac:dyDescent="0.2">
      <c r="A154" s="168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5"/>
    </row>
    <row r="155" spans="1:26" x14ac:dyDescent="0.2">
      <c r="A155" s="168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5"/>
    </row>
    <row r="156" spans="1:26" x14ac:dyDescent="0.2">
      <c r="A156" s="168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5"/>
    </row>
    <row r="157" spans="1:26" x14ac:dyDescent="0.2">
      <c r="A157" s="168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5"/>
    </row>
    <row r="158" spans="1:26" x14ac:dyDescent="0.2">
      <c r="A158" s="168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5"/>
    </row>
    <row r="159" spans="1:26" x14ac:dyDescent="0.2">
      <c r="A159" s="168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5"/>
    </row>
    <row r="160" spans="1:26" x14ac:dyDescent="0.2">
      <c r="A160" s="168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5"/>
    </row>
    <row r="161" spans="1:26" x14ac:dyDescent="0.2">
      <c r="A161" s="168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5"/>
    </row>
    <row r="162" spans="1:26" x14ac:dyDescent="0.2">
      <c r="A162" s="168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5"/>
    </row>
    <row r="163" spans="1:26" x14ac:dyDescent="0.2">
      <c r="A163" s="168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5"/>
    </row>
    <row r="164" spans="1:26" x14ac:dyDescent="0.2">
      <c r="A164" s="168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5"/>
    </row>
    <row r="165" spans="1:26" x14ac:dyDescent="0.2">
      <c r="A165" s="168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5"/>
    </row>
    <row r="166" spans="1:26" x14ac:dyDescent="0.2">
      <c r="A166" s="168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5"/>
    </row>
    <row r="167" spans="1:26" x14ac:dyDescent="0.2">
      <c r="A167" s="168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5"/>
    </row>
    <row r="168" spans="1:26" x14ac:dyDescent="0.2">
      <c r="A168" s="168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5"/>
    </row>
    <row r="169" spans="1:26" x14ac:dyDescent="0.2">
      <c r="A169" s="168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5"/>
    </row>
    <row r="170" spans="1:26" x14ac:dyDescent="0.2">
      <c r="A170" s="168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5"/>
    </row>
    <row r="171" spans="1:26" x14ac:dyDescent="0.2">
      <c r="A171" s="168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5"/>
    </row>
    <row r="172" spans="1:26" x14ac:dyDescent="0.2">
      <c r="A172" s="168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5"/>
    </row>
    <row r="173" spans="1:26" x14ac:dyDescent="0.2">
      <c r="A173" s="168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5"/>
    </row>
    <row r="174" spans="1:26" x14ac:dyDescent="0.2">
      <c r="A174" s="168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5"/>
    </row>
    <row r="175" spans="1:26" x14ac:dyDescent="0.2">
      <c r="A175" s="168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5"/>
    </row>
    <row r="176" spans="1:26" x14ac:dyDescent="0.2">
      <c r="A176" s="168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5"/>
    </row>
    <row r="177" spans="1:26" x14ac:dyDescent="0.2">
      <c r="A177" s="168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5"/>
    </row>
    <row r="178" spans="1:26" x14ac:dyDescent="0.2">
      <c r="A178" s="168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5"/>
    </row>
    <row r="179" spans="1:26" x14ac:dyDescent="0.2">
      <c r="A179" s="168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5"/>
    </row>
    <row r="180" spans="1:26" x14ac:dyDescent="0.2">
      <c r="A180" s="168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5"/>
    </row>
    <row r="181" spans="1:26" x14ac:dyDescent="0.2">
      <c r="A181" s="168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5"/>
    </row>
    <row r="182" spans="1:26" x14ac:dyDescent="0.2">
      <c r="A182" s="168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5"/>
    </row>
    <row r="183" spans="1:26" x14ac:dyDescent="0.2">
      <c r="A183" s="168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5"/>
    </row>
    <row r="184" spans="1:26" x14ac:dyDescent="0.2">
      <c r="A184" s="168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5"/>
    </row>
    <row r="185" spans="1:26" x14ac:dyDescent="0.2">
      <c r="A185" s="168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5"/>
    </row>
    <row r="186" spans="1:26" x14ac:dyDescent="0.2">
      <c r="A186" s="168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5"/>
    </row>
    <row r="187" spans="1:26" x14ac:dyDescent="0.2">
      <c r="A187" s="168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5"/>
    </row>
    <row r="188" spans="1:26" x14ac:dyDescent="0.2">
      <c r="A188" s="168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5"/>
    </row>
    <row r="189" spans="1:26" x14ac:dyDescent="0.2">
      <c r="A189" s="168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5"/>
    </row>
    <row r="190" spans="1:26" x14ac:dyDescent="0.2">
      <c r="A190" s="168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5"/>
    </row>
    <row r="191" spans="1:26" x14ac:dyDescent="0.2">
      <c r="A191" s="168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5"/>
    </row>
    <row r="192" spans="1:26" x14ac:dyDescent="0.2">
      <c r="A192" s="168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5"/>
    </row>
    <row r="193" spans="1:26" x14ac:dyDescent="0.2">
      <c r="A193" s="168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5"/>
    </row>
    <row r="194" spans="1:26" x14ac:dyDescent="0.2">
      <c r="A194" s="168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5"/>
    </row>
    <row r="195" spans="1:26" x14ac:dyDescent="0.2">
      <c r="A195" s="168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5"/>
    </row>
    <row r="196" spans="1:26" x14ac:dyDescent="0.2">
      <c r="A196" s="168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5"/>
    </row>
    <row r="197" spans="1:26" x14ac:dyDescent="0.2">
      <c r="A197" s="168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5"/>
    </row>
    <row r="198" spans="1:26" x14ac:dyDescent="0.2">
      <c r="A198" s="168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5"/>
    </row>
    <row r="199" spans="1:26" x14ac:dyDescent="0.2">
      <c r="A199" s="168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5"/>
    </row>
    <row r="200" spans="1:26" x14ac:dyDescent="0.2">
      <c r="A200" s="168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5"/>
    </row>
    <row r="201" spans="1:26" x14ac:dyDescent="0.2">
      <c r="A201" s="168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5"/>
    </row>
    <row r="202" spans="1:26" x14ac:dyDescent="0.2">
      <c r="A202" s="168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5"/>
    </row>
    <row r="203" spans="1:26" x14ac:dyDescent="0.2">
      <c r="A203" s="168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5"/>
    </row>
    <row r="204" spans="1:26" x14ac:dyDescent="0.2">
      <c r="A204" s="168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5"/>
    </row>
    <row r="205" spans="1:26" x14ac:dyDescent="0.2">
      <c r="A205" s="168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5"/>
    </row>
    <row r="206" spans="1:26" x14ac:dyDescent="0.2">
      <c r="A206" s="168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5"/>
    </row>
    <row r="207" spans="1:26" x14ac:dyDescent="0.2">
      <c r="A207" s="168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5"/>
    </row>
    <row r="208" spans="1:26" x14ac:dyDescent="0.2">
      <c r="A208" s="168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5"/>
    </row>
    <row r="209" spans="1:26" x14ac:dyDescent="0.2">
      <c r="A209" s="168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5"/>
    </row>
    <row r="210" spans="1:26" x14ac:dyDescent="0.2">
      <c r="A210" s="168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5"/>
    </row>
    <row r="211" spans="1:26" x14ac:dyDescent="0.2">
      <c r="A211" s="168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5"/>
    </row>
    <row r="212" spans="1:26" x14ac:dyDescent="0.2">
      <c r="A212" s="168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5"/>
    </row>
    <row r="213" spans="1:26" x14ac:dyDescent="0.2">
      <c r="A213" s="168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5"/>
    </row>
    <row r="214" spans="1:26" x14ac:dyDescent="0.2">
      <c r="A214" s="168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5"/>
    </row>
    <row r="215" spans="1:26" x14ac:dyDescent="0.2">
      <c r="A215" s="168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5"/>
    </row>
    <row r="216" spans="1:26" x14ac:dyDescent="0.2">
      <c r="A216" s="168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5"/>
    </row>
    <row r="217" spans="1:26" x14ac:dyDescent="0.2">
      <c r="A217" s="168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5"/>
    </row>
    <row r="218" spans="1:26" x14ac:dyDescent="0.2">
      <c r="A218" s="168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5"/>
    </row>
    <row r="219" spans="1:26" x14ac:dyDescent="0.2">
      <c r="A219" s="168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5"/>
    </row>
    <row r="220" spans="1:26" x14ac:dyDescent="0.2">
      <c r="A220" s="168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5"/>
    </row>
    <row r="221" spans="1:26" x14ac:dyDescent="0.2">
      <c r="A221" s="168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5"/>
    </row>
    <row r="222" spans="1:26" x14ac:dyDescent="0.2">
      <c r="A222" s="168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5"/>
    </row>
    <row r="223" spans="1:26" x14ac:dyDescent="0.2">
      <c r="A223" s="168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5"/>
    </row>
    <row r="224" spans="1:26" x14ac:dyDescent="0.2">
      <c r="A224" s="168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5"/>
    </row>
    <row r="225" spans="1:26" x14ac:dyDescent="0.2">
      <c r="A225" s="168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5"/>
    </row>
    <row r="226" spans="1:26" x14ac:dyDescent="0.2">
      <c r="A226" s="168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5"/>
    </row>
    <row r="227" spans="1:26" x14ac:dyDescent="0.2">
      <c r="A227" s="168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5"/>
    </row>
    <row r="228" spans="1:26" x14ac:dyDescent="0.2">
      <c r="A228" s="168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5"/>
    </row>
    <row r="229" spans="1:26" x14ac:dyDescent="0.2">
      <c r="A229" s="168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5"/>
    </row>
    <row r="230" spans="1:26" x14ac:dyDescent="0.2">
      <c r="A230" s="168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5"/>
    </row>
    <row r="231" spans="1:26" x14ac:dyDescent="0.2">
      <c r="A231" s="168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5"/>
    </row>
    <row r="232" spans="1:26" x14ac:dyDescent="0.2">
      <c r="A232" s="168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5"/>
    </row>
    <row r="233" spans="1:26" x14ac:dyDescent="0.2">
      <c r="A233" s="168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5"/>
    </row>
    <row r="234" spans="1:26" x14ac:dyDescent="0.2">
      <c r="A234" s="168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5"/>
    </row>
    <row r="235" spans="1:26" x14ac:dyDescent="0.2">
      <c r="A235" s="168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5"/>
    </row>
    <row r="236" spans="1:26" x14ac:dyDescent="0.2">
      <c r="A236" s="168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5"/>
    </row>
    <row r="237" spans="1:26" x14ac:dyDescent="0.2">
      <c r="A237" s="168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5"/>
    </row>
    <row r="238" spans="1:26" x14ac:dyDescent="0.2">
      <c r="A238" s="168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5"/>
    </row>
    <row r="239" spans="1:26" x14ac:dyDescent="0.2">
      <c r="A239" s="168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5"/>
    </row>
    <row r="240" spans="1:26" x14ac:dyDescent="0.2">
      <c r="A240" s="168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5"/>
    </row>
    <row r="241" spans="1:26" x14ac:dyDescent="0.2">
      <c r="A241" s="168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5"/>
    </row>
    <row r="242" spans="1:26" x14ac:dyDescent="0.2">
      <c r="A242" s="168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5"/>
    </row>
    <row r="243" spans="1:26" x14ac:dyDescent="0.2">
      <c r="A243" s="168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5"/>
    </row>
    <row r="244" spans="1:26" x14ac:dyDescent="0.2">
      <c r="A244" s="168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5"/>
    </row>
    <row r="245" spans="1:26" x14ac:dyDescent="0.2">
      <c r="A245" s="168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5"/>
    </row>
    <row r="246" spans="1:26" x14ac:dyDescent="0.2">
      <c r="A246" s="168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5"/>
    </row>
    <row r="247" spans="1:26" x14ac:dyDescent="0.2">
      <c r="A247" s="168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5"/>
    </row>
    <row r="248" spans="1:26" x14ac:dyDescent="0.2">
      <c r="A248" s="168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5"/>
    </row>
    <row r="249" spans="1:26" x14ac:dyDescent="0.2">
      <c r="A249" s="168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5"/>
    </row>
    <row r="250" spans="1:26" x14ac:dyDescent="0.2">
      <c r="A250" s="168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5"/>
    </row>
    <row r="251" spans="1:26" x14ac:dyDescent="0.2">
      <c r="A251" s="168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5"/>
    </row>
    <row r="252" spans="1:26" x14ac:dyDescent="0.2">
      <c r="A252" s="168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5"/>
    </row>
    <row r="253" spans="1:26" x14ac:dyDescent="0.2">
      <c r="A253" s="168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5"/>
    </row>
    <row r="254" spans="1:26" x14ac:dyDescent="0.2">
      <c r="A254" s="168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5"/>
    </row>
    <row r="255" spans="1:26" x14ac:dyDescent="0.2">
      <c r="A255" s="168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5"/>
    </row>
    <row r="256" spans="1:26" x14ac:dyDescent="0.2">
      <c r="A256" s="168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5"/>
    </row>
    <row r="257" spans="1:26" x14ac:dyDescent="0.2">
      <c r="A257" s="168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5"/>
    </row>
    <row r="258" spans="1:26" x14ac:dyDescent="0.2">
      <c r="A258" s="168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5"/>
    </row>
    <row r="259" spans="1:26" x14ac:dyDescent="0.2">
      <c r="A259" s="168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5"/>
    </row>
    <row r="260" spans="1:26" x14ac:dyDescent="0.2">
      <c r="A260" s="168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5"/>
    </row>
    <row r="261" spans="1:26" x14ac:dyDescent="0.2">
      <c r="A261" s="168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5"/>
    </row>
    <row r="262" spans="1:26" x14ac:dyDescent="0.2">
      <c r="A262" s="168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5"/>
    </row>
    <row r="263" spans="1:26" x14ac:dyDescent="0.2">
      <c r="A263" s="168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5"/>
    </row>
    <row r="264" spans="1:26" x14ac:dyDescent="0.2">
      <c r="A264" s="168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5"/>
    </row>
    <row r="265" spans="1:26" x14ac:dyDescent="0.2">
      <c r="A265" s="168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5"/>
    </row>
    <row r="266" spans="1:26" x14ac:dyDescent="0.2">
      <c r="A266" s="168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5"/>
    </row>
    <row r="267" spans="1:26" x14ac:dyDescent="0.2">
      <c r="A267" s="168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5"/>
    </row>
    <row r="268" spans="1:26" x14ac:dyDescent="0.2">
      <c r="A268" s="168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5"/>
    </row>
    <row r="269" spans="1:26" x14ac:dyDescent="0.2">
      <c r="A269" s="168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5"/>
    </row>
    <row r="270" spans="1:26" x14ac:dyDescent="0.2">
      <c r="A270" s="168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5"/>
    </row>
    <row r="271" spans="1:26" x14ac:dyDescent="0.2">
      <c r="A271" s="168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5"/>
    </row>
    <row r="272" spans="1:26" x14ac:dyDescent="0.2">
      <c r="A272" s="168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5"/>
    </row>
    <row r="273" spans="1:26" x14ac:dyDescent="0.2">
      <c r="A273" s="168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5"/>
    </row>
    <row r="274" spans="1:26" x14ac:dyDescent="0.2">
      <c r="A274" s="168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5"/>
    </row>
    <row r="275" spans="1:26" x14ac:dyDescent="0.2">
      <c r="A275" s="168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5"/>
    </row>
    <row r="276" spans="1:26" x14ac:dyDescent="0.2">
      <c r="A276" s="168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5"/>
    </row>
    <row r="277" spans="1:26" x14ac:dyDescent="0.2">
      <c r="A277" s="168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5"/>
    </row>
    <row r="278" spans="1:26" x14ac:dyDescent="0.2">
      <c r="A278" s="168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5"/>
    </row>
    <row r="279" spans="1:26" x14ac:dyDescent="0.2">
      <c r="A279" s="168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5"/>
    </row>
    <row r="280" spans="1:26" x14ac:dyDescent="0.2">
      <c r="A280" s="168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5"/>
    </row>
    <row r="281" spans="1:26" x14ac:dyDescent="0.2">
      <c r="A281" s="168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5"/>
    </row>
    <row r="282" spans="1:26" x14ac:dyDescent="0.2">
      <c r="A282" s="168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5"/>
    </row>
    <row r="283" spans="1:26" x14ac:dyDescent="0.2">
      <c r="A283" s="168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5"/>
    </row>
    <row r="284" spans="1:26" x14ac:dyDescent="0.2">
      <c r="A284" s="168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5"/>
    </row>
    <row r="285" spans="1:26" x14ac:dyDescent="0.2">
      <c r="A285" s="168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5"/>
    </row>
    <row r="286" spans="1:26" x14ac:dyDescent="0.2">
      <c r="A286" s="168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5"/>
    </row>
    <row r="287" spans="1:26" x14ac:dyDescent="0.2">
      <c r="A287" s="168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5"/>
    </row>
    <row r="288" spans="1:26" x14ac:dyDescent="0.2">
      <c r="A288" s="168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5"/>
    </row>
    <row r="289" spans="1:26" x14ac:dyDescent="0.2">
      <c r="A289" s="168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5"/>
    </row>
    <row r="290" spans="1:26" x14ac:dyDescent="0.2">
      <c r="A290" s="168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5"/>
    </row>
    <row r="291" spans="1:26" x14ac:dyDescent="0.2">
      <c r="A291" s="168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5"/>
    </row>
    <row r="292" spans="1:26" x14ac:dyDescent="0.2">
      <c r="A292" s="168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5"/>
    </row>
    <row r="293" spans="1:26" x14ac:dyDescent="0.2">
      <c r="A293" s="168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5"/>
    </row>
    <row r="294" spans="1:26" x14ac:dyDescent="0.2">
      <c r="A294" s="168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5"/>
    </row>
    <row r="295" spans="1:26" x14ac:dyDescent="0.2">
      <c r="A295" s="168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5"/>
    </row>
    <row r="296" spans="1:26" x14ac:dyDescent="0.2">
      <c r="A296" s="168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5"/>
    </row>
    <row r="297" spans="1:26" x14ac:dyDescent="0.2">
      <c r="A297" s="168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5"/>
    </row>
    <row r="298" spans="1:26" x14ac:dyDescent="0.2">
      <c r="A298" s="168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5"/>
    </row>
    <row r="299" spans="1:26" x14ac:dyDescent="0.2">
      <c r="A299" s="168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5"/>
    </row>
    <row r="300" spans="1:26" x14ac:dyDescent="0.2">
      <c r="A300" s="168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5"/>
    </row>
    <row r="301" spans="1:26" x14ac:dyDescent="0.2">
      <c r="A301" s="168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5"/>
    </row>
    <row r="302" spans="1:26" x14ac:dyDescent="0.2">
      <c r="A302" s="168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5"/>
    </row>
    <row r="303" spans="1:26" x14ac:dyDescent="0.2">
      <c r="A303" s="168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5"/>
    </row>
    <row r="304" spans="1:26" x14ac:dyDescent="0.2">
      <c r="A304" s="168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5"/>
    </row>
    <row r="305" spans="1:26" x14ac:dyDescent="0.2">
      <c r="A305" s="168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5"/>
    </row>
    <row r="306" spans="1:26" x14ac:dyDescent="0.2">
      <c r="A306" s="168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5"/>
    </row>
    <row r="307" spans="1:26" x14ac:dyDescent="0.2">
      <c r="A307" s="168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5"/>
    </row>
    <row r="308" spans="1:26" x14ac:dyDescent="0.2">
      <c r="A308" s="168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5"/>
    </row>
    <row r="309" spans="1:26" x14ac:dyDescent="0.2">
      <c r="A309" s="168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5"/>
    </row>
    <row r="310" spans="1:26" x14ac:dyDescent="0.2">
      <c r="A310" s="168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5"/>
    </row>
    <row r="311" spans="1:26" x14ac:dyDescent="0.2">
      <c r="A311" s="168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5"/>
    </row>
    <row r="312" spans="1:26" x14ac:dyDescent="0.2">
      <c r="A312" s="168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5"/>
    </row>
    <row r="313" spans="1:26" x14ac:dyDescent="0.2">
      <c r="A313" s="168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5"/>
    </row>
    <row r="314" spans="1:26" x14ac:dyDescent="0.2">
      <c r="A314" s="168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5"/>
    </row>
    <row r="315" spans="1:26" x14ac:dyDescent="0.2">
      <c r="A315" s="168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5"/>
    </row>
    <row r="316" spans="1:26" x14ac:dyDescent="0.2">
      <c r="A316" s="168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5"/>
    </row>
    <row r="317" spans="1:26" x14ac:dyDescent="0.2">
      <c r="A317" s="168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5"/>
    </row>
    <row r="318" spans="1:26" x14ac:dyDescent="0.2">
      <c r="A318" s="168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5"/>
    </row>
    <row r="319" spans="1:26" x14ac:dyDescent="0.2">
      <c r="A319" s="168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5"/>
    </row>
    <row r="320" spans="1:26" x14ac:dyDescent="0.2">
      <c r="A320" s="168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5"/>
    </row>
    <row r="321" spans="1:26" x14ac:dyDescent="0.2">
      <c r="A321" s="168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5"/>
    </row>
    <row r="322" spans="1:26" x14ac:dyDescent="0.2">
      <c r="A322" s="168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5"/>
    </row>
    <row r="323" spans="1:26" x14ac:dyDescent="0.2">
      <c r="A323" s="168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5"/>
    </row>
    <row r="324" spans="1:26" x14ac:dyDescent="0.2">
      <c r="A324" s="168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5"/>
    </row>
    <row r="325" spans="1:26" x14ac:dyDescent="0.2">
      <c r="A325" s="168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5"/>
    </row>
    <row r="326" spans="1:26" x14ac:dyDescent="0.2">
      <c r="A326" s="168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5"/>
    </row>
    <row r="327" spans="1:26" x14ac:dyDescent="0.2">
      <c r="A327" s="168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5"/>
    </row>
    <row r="328" spans="1:26" x14ac:dyDescent="0.2">
      <c r="A328" s="168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5"/>
    </row>
    <row r="329" spans="1:26" x14ac:dyDescent="0.2">
      <c r="A329" s="168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5"/>
    </row>
    <row r="330" spans="1:26" x14ac:dyDescent="0.2">
      <c r="A330" s="168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5"/>
    </row>
    <row r="331" spans="1:26" x14ac:dyDescent="0.2">
      <c r="A331" s="168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5"/>
    </row>
    <row r="332" spans="1:26" x14ac:dyDescent="0.2">
      <c r="A332" s="168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5"/>
    </row>
    <row r="333" spans="1:26" x14ac:dyDescent="0.2">
      <c r="A333" s="168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5"/>
    </row>
    <row r="334" spans="1:26" x14ac:dyDescent="0.2">
      <c r="A334" s="168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5"/>
    </row>
    <row r="335" spans="1:26" x14ac:dyDescent="0.2">
      <c r="A335" s="168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5"/>
    </row>
    <row r="336" spans="1:26" x14ac:dyDescent="0.2">
      <c r="A336" s="168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5"/>
    </row>
    <row r="337" spans="1:26" x14ac:dyDescent="0.2">
      <c r="A337" s="168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5"/>
    </row>
    <row r="338" spans="1:26" x14ac:dyDescent="0.2">
      <c r="A338" s="168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5"/>
    </row>
    <row r="339" spans="1:26" x14ac:dyDescent="0.2">
      <c r="A339" s="168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5"/>
    </row>
    <row r="340" spans="1:26" x14ac:dyDescent="0.2">
      <c r="A340" s="168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5"/>
    </row>
    <row r="341" spans="1:26" x14ac:dyDescent="0.2">
      <c r="A341" s="168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5"/>
    </row>
    <row r="342" spans="1:26" x14ac:dyDescent="0.2">
      <c r="A342" s="168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5"/>
    </row>
    <row r="343" spans="1:26" x14ac:dyDescent="0.2">
      <c r="A343" s="168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5"/>
    </row>
    <row r="344" spans="1:26" x14ac:dyDescent="0.2">
      <c r="A344" s="168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5"/>
    </row>
    <row r="345" spans="1:26" x14ac:dyDescent="0.2">
      <c r="A345" s="168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5"/>
    </row>
    <row r="346" spans="1:26" x14ac:dyDescent="0.2">
      <c r="A346" s="168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5"/>
    </row>
    <row r="347" spans="1:26" x14ac:dyDescent="0.2">
      <c r="A347" s="168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5"/>
    </row>
    <row r="348" spans="1:26" x14ac:dyDescent="0.2">
      <c r="A348" s="168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5"/>
    </row>
    <row r="349" spans="1:26" x14ac:dyDescent="0.2">
      <c r="A349" s="168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5"/>
    </row>
    <row r="350" spans="1:26" x14ac:dyDescent="0.2">
      <c r="A350" s="168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5"/>
    </row>
    <row r="351" spans="1:26" x14ac:dyDescent="0.2">
      <c r="A351" s="168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5"/>
    </row>
    <row r="352" spans="1:26" x14ac:dyDescent="0.2">
      <c r="A352" s="168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5"/>
    </row>
    <row r="353" spans="1:26" x14ac:dyDescent="0.2">
      <c r="A353" s="168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5"/>
    </row>
    <row r="354" spans="1:26" x14ac:dyDescent="0.2">
      <c r="A354" s="168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5"/>
    </row>
    <row r="355" spans="1:26" x14ac:dyDescent="0.2">
      <c r="A355" s="168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5"/>
    </row>
    <row r="356" spans="1:26" x14ac:dyDescent="0.2">
      <c r="A356" s="168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5"/>
    </row>
    <row r="357" spans="1:26" x14ac:dyDescent="0.2">
      <c r="A357" s="168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5"/>
    </row>
    <row r="358" spans="1:26" x14ac:dyDescent="0.2">
      <c r="A358" s="168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5"/>
    </row>
    <row r="359" spans="1:26" x14ac:dyDescent="0.2">
      <c r="A359" s="168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5"/>
    </row>
    <row r="360" spans="1:26" x14ac:dyDescent="0.2">
      <c r="A360" s="168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5"/>
    </row>
    <row r="361" spans="1:26" x14ac:dyDescent="0.2">
      <c r="A361" s="168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5"/>
    </row>
    <row r="362" spans="1:26" x14ac:dyDescent="0.2">
      <c r="A362" s="168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5"/>
    </row>
    <row r="363" spans="1:26" x14ac:dyDescent="0.2">
      <c r="A363" s="168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5"/>
    </row>
    <row r="364" spans="1:26" x14ac:dyDescent="0.2">
      <c r="A364" s="168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5"/>
    </row>
    <row r="365" spans="1:26" x14ac:dyDescent="0.2">
      <c r="A365" s="168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5"/>
    </row>
    <row r="366" spans="1:26" x14ac:dyDescent="0.2">
      <c r="A366" s="168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5"/>
    </row>
    <row r="367" spans="1:26" x14ac:dyDescent="0.2">
      <c r="A367" s="168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5"/>
    </row>
    <row r="368" spans="1:26" x14ac:dyDescent="0.2">
      <c r="A368" s="168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5"/>
    </row>
    <row r="369" spans="1:26" x14ac:dyDescent="0.2">
      <c r="A369" s="168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5"/>
    </row>
    <row r="370" spans="1:26" x14ac:dyDescent="0.2">
      <c r="A370" s="168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5"/>
    </row>
    <row r="371" spans="1:26" x14ac:dyDescent="0.2">
      <c r="A371" s="168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5"/>
    </row>
    <row r="372" spans="1:26" x14ac:dyDescent="0.2">
      <c r="A372" s="168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5"/>
    </row>
    <row r="373" spans="1:26" x14ac:dyDescent="0.2">
      <c r="A373" s="168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5"/>
    </row>
    <row r="374" spans="1:26" x14ac:dyDescent="0.2">
      <c r="A374" s="168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5"/>
    </row>
    <row r="375" spans="1:26" x14ac:dyDescent="0.2">
      <c r="A375" s="168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5"/>
    </row>
    <row r="376" spans="1:26" x14ac:dyDescent="0.2">
      <c r="A376" s="168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5"/>
    </row>
    <row r="377" spans="1:26" x14ac:dyDescent="0.2">
      <c r="A377" s="168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5"/>
    </row>
    <row r="378" spans="1:26" x14ac:dyDescent="0.2">
      <c r="A378" s="168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5"/>
    </row>
    <row r="379" spans="1:26" x14ac:dyDescent="0.2">
      <c r="A379" s="168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5"/>
    </row>
    <row r="380" spans="1:26" x14ac:dyDescent="0.2">
      <c r="A380" s="168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5"/>
    </row>
    <row r="381" spans="1:26" x14ac:dyDescent="0.2">
      <c r="A381" s="168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5"/>
    </row>
    <row r="382" spans="1:26" x14ac:dyDescent="0.2">
      <c r="A382" s="168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5"/>
    </row>
    <row r="383" spans="1:26" x14ac:dyDescent="0.2">
      <c r="A383" s="168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5"/>
    </row>
    <row r="384" spans="1:26" x14ac:dyDescent="0.2">
      <c r="A384" s="168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5"/>
    </row>
    <row r="385" spans="1:26" x14ac:dyDescent="0.2">
      <c r="A385" s="168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5"/>
    </row>
    <row r="386" spans="1:26" x14ac:dyDescent="0.2">
      <c r="A386" s="168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5"/>
    </row>
    <row r="387" spans="1:26" x14ac:dyDescent="0.2">
      <c r="A387" s="168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5"/>
    </row>
    <row r="388" spans="1:26" x14ac:dyDescent="0.2">
      <c r="A388" s="168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5"/>
    </row>
    <row r="389" spans="1:26" x14ac:dyDescent="0.2">
      <c r="A389" s="168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5"/>
    </row>
    <row r="390" spans="1:26" x14ac:dyDescent="0.2">
      <c r="A390" s="168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5"/>
    </row>
    <row r="391" spans="1:26" x14ac:dyDescent="0.2">
      <c r="A391" s="168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5"/>
    </row>
    <row r="392" spans="1:26" x14ac:dyDescent="0.2">
      <c r="A392" s="168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5"/>
    </row>
    <row r="393" spans="1:26" x14ac:dyDescent="0.2">
      <c r="A393" s="168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5"/>
    </row>
    <row r="394" spans="1:26" x14ac:dyDescent="0.2">
      <c r="A394" s="168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5"/>
    </row>
    <row r="395" spans="1:26" x14ac:dyDescent="0.2">
      <c r="A395" s="168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5"/>
    </row>
    <row r="396" spans="1:26" x14ac:dyDescent="0.2">
      <c r="A396" s="168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5"/>
    </row>
    <row r="397" spans="1:26" x14ac:dyDescent="0.2">
      <c r="A397" s="168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5"/>
    </row>
    <row r="398" spans="1:26" x14ac:dyDescent="0.2">
      <c r="A398" s="168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5"/>
    </row>
    <row r="399" spans="1:26" x14ac:dyDescent="0.2">
      <c r="A399" s="168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5"/>
    </row>
    <row r="400" spans="1:26" x14ac:dyDescent="0.2">
      <c r="A400" s="168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5"/>
    </row>
    <row r="401" spans="1:26" x14ac:dyDescent="0.2">
      <c r="A401" s="168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5"/>
    </row>
    <row r="402" spans="1:26" x14ac:dyDescent="0.2">
      <c r="A402" s="168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5"/>
    </row>
    <row r="403" spans="1:26" x14ac:dyDescent="0.2">
      <c r="A403" s="168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5"/>
    </row>
    <row r="404" spans="1:26" x14ac:dyDescent="0.2">
      <c r="A404" s="168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5"/>
    </row>
    <row r="405" spans="1:26" x14ac:dyDescent="0.2">
      <c r="A405" s="168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5"/>
    </row>
    <row r="406" spans="1:26" x14ac:dyDescent="0.2">
      <c r="A406" s="168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5"/>
    </row>
    <row r="407" spans="1:26" x14ac:dyDescent="0.2">
      <c r="A407" s="168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5"/>
    </row>
    <row r="408" spans="1:26" x14ac:dyDescent="0.2">
      <c r="A408" s="168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5"/>
    </row>
    <row r="409" spans="1:26" x14ac:dyDescent="0.2">
      <c r="A409" s="168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5"/>
    </row>
    <row r="410" spans="1:26" x14ac:dyDescent="0.2">
      <c r="A410" s="168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5"/>
    </row>
    <row r="411" spans="1:26" x14ac:dyDescent="0.2">
      <c r="A411" s="168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5"/>
    </row>
    <row r="412" spans="1:26" x14ac:dyDescent="0.2">
      <c r="A412" s="168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5"/>
    </row>
    <row r="413" spans="1:26" x14ac:dyDescent="0.2">
      <c r="A413" s="168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5"/>
    </row>
    <row r="414" spans="1:26" x14ac:dyDescent="0.2">
      <c r="A414" s="168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5"/>
    </row>
    <row r="415" spans="1:26" x14ac:dyDescent="0.2">
      <c r="A415" s="168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5"/>
    </row>
    <row r="416" spans="1:26" x14ac:dyDescent="0.2">
      <c r="A416" s="168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5"/>
    </row>
    <row r="417" spans="1:26" x14ac:dyDescent="0.2">
      <c r="A417" s="168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5"/>
    </row>
    <row r="418" spans="1:26" x14ac:dyDescent="0.2">
      <c r="A418" s="168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5"/>
    </row>
    <row r="419" spans="1:26" x14ac:dyDescent="0.2">
      <c r="A419" s="168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5"/>
    </row>
    <row r="420" spans="1:26" x14ac:dyDescent="0.2">
      <c r="A420" s="168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5"/>
    </row>
    <row r="421" spans="1:26" x14ac:dyDescent="0.2">
      <c r="A421" s="168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5"/>
    </row>
    <row r="422" spans="1:26" x14ac:dyDescent="0.2">
      <c r="A422" s="168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5"/>
    </row>
    <row r="423" spans="1:26" x14ac:dyDescent="0.2">
      <c r="A423" s="168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5"/>
    </row>
    <row r="424" spans="1:26" x14ac:dyDescent="0.2">
      <c r="A424" s="168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5"/>
    </row>
    <row r="425" spans="1:26" x14ac:dyDescent="0.2">
      <c r="A425" s="168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5"/>
    </row>
    <row r="426" spans="1:26" x14ac:dyDescent="0.2">
      <c r="A426" s="168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5"/>
    </row>
    <row r="427" spans="1:26" x14ac:dyDescent="0.2">
      <c r="A427" s="168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5"/>
    </row>
    <row r="428" spans="1:26" x14ac:dyDescent="0.2">
      <c r="A428" s="168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5"/>
    </row>
    <row r="429" spans="1:26" x14ac:dyDescent="0.2">
      <c r="A429" s="168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5"/>
    </row>
    <row r="430" spans="1:26" x14ac:dyDescent="0.2">
      <c r="A430" s="168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5"/>
    </row>
    <row r="431" spans="1:26" x14ac:dyDescent="0.2">
      <c r="A431" s="168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5"/>
    </row>
    <row r="432" spans="1:26" x14ac:dyDescent="0.2">
      <c r="A432" s="168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5"/>
    </row>
    <row r="433" spans="1:26" x14ac:dyDescent="0.2">
      <c r="A433" s="168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5"/>
    </row>
    <row r="434" spans="1:26" x14ac:dyDescent="0.2">
      <c r="A434" s="168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5"/>
    </row>
    <row r="435" spans="1:26" x14ac:dyDescent="0.2">
      <c r="A435" s="168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5"/>
    </row>
    <row r="436" spans="1:26" x14ac:dyDescent="0.2">
      <c r="A436" s="168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5"/>
    </row>
    <row r="437" spans="1:26" x14ac:dyDescent="0.2">
      <c r="A437" s="168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5"/>
    </row>
    <row r="438" spans="1:26" x14ac:dyDescent="0.2">
      <c r="A438" s="168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5"/>
    </row>
    <row r="439" spans="1:26" x14ac:dyDescent="0.2">
      <c r="A439" s="168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5"/>
    </row>
    <row r="440" spans="1:26" x14ac:dyDescent="0.2">
      <c r="A440" s="168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5"/>
    </row>
    <row r="441" spans="1:26" x14ac:dyDescent="0.2">
      <c r="A441" s="168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5"/>
    </row>
    <row r="442" spans="1:26" x14ac:dyDescent="0.2">
      <c r="A442" s="168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5"/>
    </row>
    <row r="443" spans="1:26" x14ac:dyDescent="0.2">
      <c r="A443" s="168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5"/>
    </row>
    <row r="444" spans="1:26" x14ac:dyDescent="0.2">
      <c r="A444" s="168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5"/>
    </row>
    <row r="445" spans="1:26" x14ac:dyDescent="0.2">
      <c r="A445" s="168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5"/>
    </row>
    <row r="446" spans="1:26" x14ac:dyDescent="0.2">
      <c r="A446" s="168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5"/>
    </row>
    <row r="447" spans="1:26" x14ac:dyDescent="0.2">
      <c r="A447" s="168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5"/>
    </row>
    <row r="448" spans="1:26" x14ac:dyDescent="0.2">
      <c r="A448" s="168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5"/>
    </row>
    <row r="449" spans="1:26" x14ac:dyDescent="0.2">
      <c r="A449" s="168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5"/>
    </row>
    <row r="450" spans="1:26" x14ac:dyDescent="0.2">
      <c r="A450" s="168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5"/>
    </row>
    <row r="451" spans="1:26" x14ac:dyDescent="0.2">
      <c r="A451" s="168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5"/>
    </row>
    <row r="452" spans="1:26" x14ac:dyDescent="0.2">
      <c r="A452" s="168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5"/>
    </row>
    <row r="453" spans="1:26" x14ac:dyDescent="0.2">
      <c r="A453" s="168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5"/>
    </row>
    <row r="454" spans="1:26" x14ac:dyDescent="0.2">
      <c r="A454" s="168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5"/>
    </row>
    <row r="455" spans="1:26" x14ac:dyDescent="0.2">
      <c r="A455" s="168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5"/>
    </row>
    <row r="456" spans="1:26" x14ac:dyDescent="0.2">
      <c r="A456" s="168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5"/>
    </row>
    <row r="457" spans="1:26" x14ac:dyDescent="0.2">
      <c r="A457" s="168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5"/>
    </row>
    <row r="458" spans="1:26" x14ac:dyDescent="0.2">
      <c r="A458" s="168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5"/>
    </row>
    <row r="459" spans="1:26" x14ac:dyDescent="0.2">
      <c r="A459" s="168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5"/>
    </row>
    <row r="460" spans="1:26" x14ac:dyDescent="0.2">
      <c r="A460" s="168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5"/>
    </row>
    <row r="461" spans="1:26" x14ac:dyDescent="0.2">
      <c r="A461" s="168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5"/>
    </row>
    <row r="462" spans="1:26" x14ac:dyDescent="0.2">
      <c r="A462" s="168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5"/>
    </row>
    <row r="463" spans="1:26" x14ac:dyDescent="0.2">
      <c r="A463" s="168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5"/>
    </row>
    <row r="464" spans="1:26" x14ac:dyDescent="0.2">
      <c r="A464" s="168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5"/>
    </row>
    <row r="465" spans="1:26" x14ac:dyDescent="0.2">
      <c r="A465" s="168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5"/>
    </row>
    <row r="466" spans="1:26" x14ac:dyDescent="0.2">
      <c r="A466" s="168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5"/>
    </row>
    <row r="467" spans="1:26" x14ac:dyDescent="0.2">
      <c r="A467" s="168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5"/>
    </row>
    <row r="468" spans="1:26" x14ac:dyDescent="0.2">
      <c r="A468" s="168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5"/>
    </row>
    <row r="469" spans="1:26" x14ac:dyDescent="0.2">
      <c r="A469" s="168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5"/>
    </row>
    <row r="470" spans="1:26" x14ac:dyDescent="0.2">
      <c r="A470" s="168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5"/>
    </row>
    <row r="471" spans="1:26" x14ac:dyDescent="0.2">
      <c r="A471" s="168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5"/>
    </row>
    <row r="472" spans="1:26" x14ac:dyDescent="0.2">
      <c r="A472" s="168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5"/>
    </row>
    <row r="473" spans="1:26" x14ac:dyDescent="0.2">
      <c r="A473" s="168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5"/>
    </row>
    <row r="474" spans="1:26" x14ac:dyDescent="0.2">
      <c r="A474" s="168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5"/>
    </row>
    <row r="475" spans="1:26" x14ac:dyDescent="0.2">
      <c r="A475" s="168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5"/>
    </row>
    <row r="476" spans="1:26" x14ac:dyDescent="0.2">
      <c r="A476" s="168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5"/>
    </row>
    <row r="477" spans="1:26" x14ac:dyDescent="0.2">
      <c r="A477" s="168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5"/>
    </row>
    <row r="478" spans="1:26" x14ac:dyDescent="0.2">
      <c r="A478" s="168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5"/>
    </row>
    <row r="479" spans="1:26" x14ac:dyDescent="0.2">
      <c r="A479" s="168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5"/>
    </row>
    <row r="480" spans="1:26" x14ac:dyDescent="0.2">
      <c r="A480" s="168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5"/>
    </row>
    <row r="481" spans="1:26" x14ac:dyDescent="0.2">
      <c r="A481" s="168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5"/>
    </row>
    <row r="482" spans="1:26" x14ac:dyDescent="0.2">
      <c r="A482" s="168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5"/>
    </row>
    <row r="483" spans="1:26" x14ac:dyDescent="0.2">
      <c r="A483" s="168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5"/>
    </row>
    <row r="484" spans="1:26" x14ac:dyDescent="0.2">
      <c r="A484" s="168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5"/>
    </row>
    <row r="485" spans="1:26" x14ac:dyDescent="0.2">
      <c r="A485" s="168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5"/>
    </row>
    <row r="486" spans="1:26" x14ac:dyDescent="0.2">
      <c r="A486" s="168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5"/>
    </row>
    <row r="487" spans="1:26" x14ac:dyDescent="0.2">
      <c r="A487" s="168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5"/>
    </row>
    <row r="488" spans="1:26" x14ac:dyDescent="0.2">
      <c r="A488" s="168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5"/>
    </row>
    <row r="489" spans="1:26" x14ac:dyDescent="0.2">
      <c r="A489" s="168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5"/>
    </row>
    <row r="490" spans="1:26" x14ac:dyDescent="0.2">
      <c r="A490" s="168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5"/>
    </row>
    <row r="491" spans="1:26" x14ac:dyDescent="0.2">
      <c r="A491" s="168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5"/>
    </row>
    <row r="492" spans="1:26" x14ac:dyDescent="0.2">
      <c r="A492" s="168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5"/>
    </row>
    <row r="493" spans="1:26" x14ac:dyDescent="0.2">
      <c r="A493" s="168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5"/>
    </row>
    <row r="494" spans="1:26" x14ac:dyDescent="0.2">
      <c r="A494" s="168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5"/>
    </row>
    <row r="495" spans="1:26" x14ac:dyDescent="0.2">
      <c r="A495" s="168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5"/>
    </row>
    <row r="496" spans="1:26" x14ac:dyDescent="0.2">
      <c r="A496" s="168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5"/>
    </row>
    <row r="497" spans="1:26" x14ac:dyDescent="0.2">
      <c r="A497" s="168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5"/>
    </row>
    <row r="498" spans="1:26" x14ac:dyDescent="0.2">
      <c r="A498" s="168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5"/>
    </row>
    <row r="499" spans="1:26" x14ac:dyDescent="0.2">
      <c r="A499" s="168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5"/>
    </row>
    <row r="500" spans="1:26" x14ac:dyDescent="0.2">
      <c r="A500" s="168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5"/>
    </row>
    <row r="501" spans="1:26" x14ac:dyDescent="0.2">
      <c r="A501" s="168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5"/>
    </row>
    <row r="502" spans="1:26" x14ac:dyDescent="0.2">
      <c r="A502" s="168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5"/>
    </row>
    <row r="503" spans="1:26" x14ac:dyDescent="0.2">
      <c r="A503" s="168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5"/>
    </row>
    <row r="504" spans="1:26" x14ac:dyDescent="0.2">
      <c r="A504" s="168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5"/>
    </row>
    <row r="505" spans="1:26" x14ac:dyDescent="0.2">
      <c r="A505" s="168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5"/>
    </row>
    <row r="506" spans="1:26" x14ac:dyDescent="0.2">
      <c r="A506" s="168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5"/>
    </row>
    <row r="507" spans="1:26" x14ac:dyDescent="0.2">
      <c r="A507" s="168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5"/>
    </row>
    <row r="508" spans="1:26" x14ac:dyDescent="0.2">
      <c r="A508" s="168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5"/>
    </row>
    <row r="509" spans="1:26" x14ac:dyDescent="0.2">
      <c r="A509" s="168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5"/>
    </row>
    <row r="510" spans="1:26" x14ac:dyDescent="0.2">
      <c r="A510" s="168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5"/>
    </row>
    <row r="511" spans="1:26" x14ac:dyDescent="0.2">
      <c r="A511" s="168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5"/>
    </row>
    <row r="512" spans="1:26" x14ac:dyDescent="0.2">
      <c r="A512" s="168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5"/>
    </row>
    <row r="513" spans="1:26" x14ac:dyDescent="0.2">
      <c r="A513" s="168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5"/>
    </row>
    <row r="514" spans="1:26" x14ac:dyDescent="0.2">
      <c r="A514" s="168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5"/>
    </row>
    <row r="515" spans="1:26" x14ac:dyDescent="0.2">
      <c r="A515" s="168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5"/>
    </row>
    <row r="516" spans="1:26" x14ac:dyDescent="0.2">
      <c r="A516" s="168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5"/>
    </row>
    <row r="517" spans="1:26" x14ac:dyDescent="0.2">
      <c r="A517" s="168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5"/>
    </row>
    <row r="518" spans="1:26" x14ac:dyDescent="0.2">
      <c r="A518" s="168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5"/>
    </row>
    <row r="519" spans="1:26" x14ac:dyDescent="0.2">
      <c r="A519" s="168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5"/>
    </row>
    <row r="520" spans="1:26" x14ac:dyDescent="0.2">
      <c r="A520" s="168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5"/>
    </row>
    <row r="521" spans="1:26" x14ac:dyDescent="0.2">
      <c r="A521" s="168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5"/>
    </row>
    <row r="522" spans="1:26" x14ac:dyDescent="0.2">
      <c r="A522" s="168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5"/>
    </row>
    <row r="523" spans="1:26" x14ac:dyDescent="0.2">
      <c r="A523" s="168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5"/>
    </row>
    <row r="524" spans="1:26" x14ac:dyDescent="0.2">
      <c r="A524" s="168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5"/>
    </row>
    <row r="525" spans="1:26" x14ac:dyDescent="0.2">
      <c r="A525" s="168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5"/>
    </row>
    <row r="526" spans="1:26" x14ac:dyDescent="0.2">
      <c r="A526" s="168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5"/>
    </row>
    <row r="527" spans="1:26" x14ac:dyDescent="0.2">
      <c r="A527" s="168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5"/>
    </row>
    <row r="528" spans="1:26" x14ac:dyDescent="0.2">
      <c r="A528" s="168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5"/>
    </row>
    <row r="529" spans="1:26" x14ac:dyDescent="0.2">
      <c r="A529" s="168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5"/>
    </row>
    <row r="530" spans="1:26" x14ac:dyDescent="0.2">
      <c r="A530" s="168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5"/>
    </row>
    <row r="531" spans="1:26" x14ac:dyDescent="0.2">
      <c r="A531" s="168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5"/>
    </row>
    <row r="532" spans="1:26" x14ac:dyDescent="0.2">
      <c r="A532" s="168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5"/>
    </row>
    <row r="533" spans="1:26" x14ac:dyDescent="0.2">
      <c r="A533" s="168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5"/>
    </row>
    <row r="534" spans="1:26" x14ac:dyDescent="0.2">
      <c r="A534" s="168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5"/>
    </row>
    <row r="535" spans="1:26" x14ac:dyDescent="0.2">
      <c r="A535" s="168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5"/>
    </row>
    <row r="536" spans="1:26" x14ac:dyDescent="0.2">
      <c r="A536" s="168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5"/>
    </row>
    <row r="537" spans="1:26" x14ac:dyDescent="0.2">
      <c r="A537" s="168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5"/>
    </row>
    <row r="538" spans="1:26" x14ac:dyDescent="0.2">
      <c r="A538" s="168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5"/>
    </row>
    <row r="539" spans="1:26" x14ac:dyDescent="0.2">
      <c r="A539" s="168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5"/>
    </row>
    <row r="540" spans="1:26" x14ac:dyDescent="0.2">
      <c r="A540" s="168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5"/>
    </row>
    <row r="541" spans="1:26" x14ac:dyDescent="0.2">
      <c r="A541" s="168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5"/>
    </row>
    <row r="542" spans="1:26" x14ac:dyDescent="0.2">
      <c r="A542" s="168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5"/>
    </row>
    <row r="543" spans="1:26" x14ac:dyDescent="0.2">
      <c r="A543" s="168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5"/>
    </row>
    <row r="544" spans="1:26" x14ac:dyDescent="0.2">
      <c r="A544" s="168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5"/>
    </row>
    <row r="545" spans="1:26" x14ac:dyDescent="0.2">
      <c r="A545" s="168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5"/>
    </row>
    <row r="546" spans="1:26" x14ac:dyDescent="0.2">
      <c r="A546" s="168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5"/>
    </row>
    <row r="547" spans="1:26" x14ac:dyDescent="0.2">
      <c r="A547" s="168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5"/>
    </row>
    <row r="548" spans="1:26" x14ac:dyDescent="0.2">
      <c r="A548" s="168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5"/>
    </row>
    <row r="549" spans="1:26" x14ac:dyDescent="0.2">
      <c r="A549" s="168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5"/>
    </row>
    <row r="550" spans="1:26" x14ac:dyDescent="0.2">
      <c r="A550" s="168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5"/>
    </row>
    <row r="551" spans="1:26" x14ac:dyDescent="0.2">
      <c r="A551" s="168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5"/>
    </row>
    <row r="552" spans="1:26" x14ac:dyDescent="0.2">
      <c r="A552" s="168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5"/>
    </row>
    <row r="553" spans="1:26" x14ac:dyDescent="0.2">
      <c r="A553" s="168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5"/>
    </row>
    <row r="554" spans="1:26" x14ac:dyDescent="0.2">
      <c r="A554" s="168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5"/>
    </row>
    <row r="555" spans="1:26" x14ac:dyDescent="0.2">
      <c r="A555" s="168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5"/>
    </row>
    <row r="556" spans="1:26" x14ac:dyDescent="0.2">
      <c r="A556" s="168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5"/>
    </row>
    <row r="557" spans="1:26" x14ac:dyDescent="0.2">
      <c r="A557" s="168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5"/>
    </row>
    <row r="558" spans="1:26" x14ac:dyDescent="0.2">
      <c r="A558" s="168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5"/>
    </row>
    <row r="559" spans="1:26" x14ac:dyDescent="0.2">
      <c r="A559" s="168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5"/>
    </row>
    <row r="560" spans="1:26" x14ac:dyDescent="0.2">
      <c r="A560" s="168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5"/>
    </row>
    <row r="561" spans="1:26" x14ac:dyDescent="0.2">
      <c r="A561" s="168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5"/>
    </row>
    <row r="562" spans="1:26" x14ac:dyDescent="0.2">
      <c r="A562" s="168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5"/>
    </row>
    <row r="563" spans="1:26" x14ac:dyDescent="0.2">
      <c r="A563" s="168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5"/>
    </row>
    <row r="564" spans="1:26" x14ac:dyDescent="0.2">
      <c r="A564" s="168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5"/>
    </row>
    <row r="565" spans="1:26" x14ac:dyDescent="0.2">
      <c r="A565" s="168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5"/>
    </row>
    <row r="566" spans="1:26" x14ac:dyDescent="0.2">
      <c r="A566" s="168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5"/>
    </row>
    <row r="567" spans="1:26" x14ac:dyDescent="0.2">
      <c r="A567" s="168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5"/>
    </row>
    <row r="568" spans="1:26" x14ac:dyDescent="0.2">
      <c r="A568" s="168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5"/>
    </row>
    <row r="569" spans="1:26" x14ac:dyDescent="0.2">
      <c r="A569" s="168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5"/>
    </row>
    <row r="570" spans="1:26" x14ac:dyDescent="0.2">
      <c r="A570" s="168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5"/>
    </row>
    <row r="571" spans="1:26" x14ac:dyDescent="0.2">
      <c r="A571" s="168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5"/>
    </row>
    <row r="572" spans="1:26" x14ac:dyDescent="0.2">
      <c r="A572" s="168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5"/>
    </row>
    <row r="573" spans="1:26" x14ac:dyDescent="0.2">
      <c r="A573" s="168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5"/>
    </row>
    <row r="574" spans="1:26" x14ac:dyDescent="0.2">
      <c r="A574" s="168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5"/>
    </row>
    <row r="575" spans="1:26" x14ac:dyDescent="0.2">
      <c r="A575" s="168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5"/>
    </row>
    <row r="576" spans="1:26" x14ac:dyDescent="0.2">
      <c r="A576" s="168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5"/>
    </row>
    <row r="577" spans="1:26" x14ac:dyDescent="0.2">
      <c r="A577" s="168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5"/>
    </row>
    <row r="578" spans="1:26" x14ac:dyDescent="0.2">
      <c r="A578" s="168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5"/>
    </row>
    <row r="579" spans="1:26" x14ac:dyDescent="0.2">
      <c r="A579" s="168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5"/>
    </row>
    <row r="580" spans="1:26" x14ac:dyDescent="0.2">
      <c r="A580" s="168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5"/>
    </row>
    <row r="581" spans="1:26" x14ac:dyDescent="0.2">
      <c r="A581" s="168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5"/>
    </row>
    <row r="582" spans="1:26" x14ac:dyDescent="0.2">
      <c r="A582" s="168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5"/>
    </row>
    <row r="583" spans="1:26" x14ac:dyDescent="0.2">
      <c r="A583" s="168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5"/>
    </row>
    <row r="584" spans="1:26" x14ac:dyDescent="0.2">
      <c r="A584" s="168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5"/>
    </row>
    <row r="585" spans="1:26" x14ac:dyDescent="0.2">
      <c r="A585" s="168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5"/>
    </row>
    <row r="586" spans="1:26" x14ac:dyDescent="0.2">
      <c r="A586" s="168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5"/>
    </row>
    <row r="587" spans="1:26" x14ac:dyDescent="0.2">
      <c r="A587" s="168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5"/>
    </row>
    <row r="588" spans="1:26" x14ac:dyDescent="0.2">
      <c r="A588" s="168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5"/>
    </row>
    <row r="589" spans="1:26" x14ac:dyDescent="0.2">
      <c r="A589" s="168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5"/>
    </row>
    <row r="590" spans="1:26" x14ac:dyDescent="0.2">
      <c r="A590" s="168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5"/>
    </row>
    <row r="591" spans="1:26" x14ac:dyDescent="0.2">
      <c r="A591" s="168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5"/>
    </row>
    <row r="592" spans="1:26" x14ac:dyDescent="0.2">
      <c r="A592" s="168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5"/>
    </row>
    <row r="593" spans="1:26" x14ac:dyDescent="0.2">
      <c r="A593" s="168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5"/>
    </row>
    <row r="594" spans="1:26" x14ac:dyDescent="0.2">
      <c r="A594" s="168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5"/>
    </row>
    <row r="595" spans="1:26" x14ac:dyDescent="0.2">
      <c r="A595" s="168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5"/>
    </row>
    <row r="596" spans="1:26" x14ac:dyDescent="0.2">
      <c r="A596" s="168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5"/>
    </row>
    <row r="597" spans="1:26" x14ac:dyDescent="0.2">
      <c r="A597" s="168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5"/>
    </row>
    <row r="598" spans="1:26" x14ac:dyDescent="0.2">
      <c r="A598" s="168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5"/>
    </row>
    <row r="599" spans="1:26" x14ac:dyDescent="0.2">
      <c r="A599" s="168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5"/>
    </row>
    <row r="600" spans="1:26" x14ac:dyDescent="0.2">
      <c r="A600" s="168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5"/>
    </row>
    <row r="601" spans="1:26" x14ac:dyDescent="0.2">
      <c r="A601" s="168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5"/>
    </row>
    <row r="602" spans="1:26" x14ac:dyDescent="0.2">
      <c r="A602" s="168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5"/>
    </row>
    <row r="603" spans="1:26" x14ac:dyDescent="0.2">
      <c r="A603" s="168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5"/>
    </row>
    <row r="604" spans="1:26" x14ac:dyDescent="0.2">
      <c r="A604" s="168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5"/>
    </row>
    <row r="605" spans="1:26" x14ac:dyDescent="0.2">
      <c r="A605" s="168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5"/>
    </row>
    <row r="606" spans="1:26" x14ac:dyDescent="0.2">
      <c r="A606" s="168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5"/>
    </row>
    <row r="607" spans="1:26" x14ac:dyDescent="0.2">
      <c r="A607" s="168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5"/>
    </row>
    <row r="608" spans="1:26" x14ac:dyDescent="0.2">
      <c r="A608" s="168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5"/>
    </row>
    <row r="609" spans="1:26" x14ac:dyDescent="0.2">
      <c r="A609" s="168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5"/>
    </row>
    <row r="610" spans="1:26" x14ac:dyDescent="0.2">
      <c r="A610" s="168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5"/>
    </row>
    <row r="611" spans="1:26" x14ac:dyDescent="0.2">
      <c r="A611" s="168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5"/>
    </row>
    <row r="612" spans="1:26" x14ac:dyDescent="0.2">
      <c r="A612" s="168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5"/>
    </row>
    <row r="613" spans="1:26" x14ac:dyDescent="0.2">
      <c r="A613" s="168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5"/>
    </row>
    <row r="614" spans="1:26" x14ac:dyDescent="0.2">
      <c r="A614" s="168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5"/>
    </row>
    <row r="615" spans="1:26" x14ac:dyDescent="0.2">
      <c r="A615" s="168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5"/>
    </row>
    <row r="616" spans="1:26" x14ac:dyDescent="0.2">
      <c r="A616" s="168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5"/>
    </row>
    <row r="617" spans="1:26" x14ac:dyDescent="0.2">
      <c r="A617" s="168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5"/>
    </row>
    <row r="618" spans="1:26" x14ac:dyDescent="0.2">
      <c r="A618" s="168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5"/>
    </row>
    <row r="619" spans="1:26" x14ac:dyDescent="0.2">
      <c r="A619" s="168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5"/>
    </row>
    <row r="620" spans="1:26" x14ac:dyDescent="0.2">
      <c r="A620" s="168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5"/>
    </row>
    <row r="621" spans="1:26" x14ac:dyDescent="0.2">
      <c r="A621" s="168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5"/>
    </row>
    <row r="622" spans="1:26" x14ac:dyDescent="0.2">
      <c r="A622" s="168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5"/>
    </row>
    <row r="623" spans="1:26" x14ac:dyDescent="0.2">
      <c r="A623" s="168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5"/>
    </row>
    <row r="624" spans="1:26" x14ac:dyDescent="0.2">
      <c r="A624" s="168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5"/>
    </row>
    <row r="625" spans="1:26" x14ac:dyDescent="0.2">
      <c r="A625" s="168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5"/>
    </row>
    <row r="626" spans="1:26" x14ac:dyDescent="0.2">
      <c r="A626" s="168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5"/>
    </row>
    <row r="627" spans="1:26" x14ac:dyDescent="0.2">
      <c r="A627" s="168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5"/>
    </row>
    <row r="628" spans="1:26" x14ac:dyDescent="0.2">
      <c r="A628" s="168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5"/>
    </row>
    <row r="629" spans="1:26" x14ac:dyDescent="0.2">
      <c r="A629" s="168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5"/>
    </row>
    <row r="630" spans="1:26" x14ac:dyDescent="0.2">
      <c r="A630" s="168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5"/>
    </row>
    <row r="631" spans="1:26" x14ac:dyDescent="0.2">
      <c r="A631" s="168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5"/>
    </row>
    <row r="632" spans="1:26" x14ac:dyDescent="0.2">
      <c r="A632" s="168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5"/>
    </row>
    <row r="633" spans="1:26" x14ac:dyDescent="0.2">
      <c r="A633" s="168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5"/>
    </row>
    <row r="634" spans="1:26" x14ac:dyDescent="0.2">
      <c r="A634" s="168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5"/>
    </row>
    <row r="635" spans="1:26" x14ac:dyDescent="0.2">
      <c r="A635" s="168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5"/>
    </row>
    <row r="636" spans="1:26" x14ac:dyDescent="0.2">
      <c r="A636" s="168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5"/>
    </row>
    <row r="637" spans="1:26" x14ac:dyDescent="0.2">
      <c r="A637" s="168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5"/>
    </row>
    <row r="638" spans="1:26" x14ac:dyDescent="0.2">
      <c r="A638" s="168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5"/>
    </row>
    <row r="639" spans="1:26" x14ac:dyDescent="0.2">
      <c r="A639" s="168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5"/>
    </row>
    <row r="640" spans="1:26" x14ac:dyDescent="0.2">
      <c r="A640" s="168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5"/>
    </row>
    <row r="641" spans="1:26" x14ac:dyDescent="0.2">
      <c r="A641" s="168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5"/>
    </row>
    <row r="642" spans="1:26" x14ac:dyDescent="0.2">
      <c r="A642" s="168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5"/>
    </row>
    <row r="643" spans="1:26" x14ac:dyDescent="0.2">
      <c r="A643" s="168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5"/>
    </row>
    <row r="644" spans="1:26" x14ac:dyDescent="0.2">
      <c r="A644" s="168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5"/>
    </row>
    <row r="645" spans="1:26" x14ac:dyDescent="0.2">
      <c r="A645" s="168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5"/>
    </row>
    <row r="646" spans="1:26" x14ac:dyDescent="0.2">
      <c r="A646" s="168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5"/>
    </row>
    <row r="647" spans="1:26" x14ac:dyDescent="0.2">
      <c r="A647" s="168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5"/>
    </row>
    <row r="648" spans="1:26" x14ac:dyDescent="0.2">
      <c r="A648" s="168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5"/>
    </row>
    <row r="649" spans="1:26" x14ac:dyDescent="0.2">
      <c r="A649" s="168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5"/>
    </row>
    <row r="650" spans="1:26" x14ac:dyDescent="0.2">
      <c r="A650" s="168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5"/>
    </row>
    <row r="651" spans="1:26" x14ac:dyDescent="0.2">
      <c r="A651" s="168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5"/>
    </row>
    <row r="652" spans="1:26" x14ac:dyDescent="0.2">
      <c r="A652" s="168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5"/>
    </row>
    <row r="653" spans="1:26" x14ac:dyDescent="0.2">
      <c r="A653" s="168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5"/>
    </row>
    <row r="654" spans="1:26" x14ac:dyDescent="0.2">
      <c r="A654" s="168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5"/>
    </row>
    <row r="655" spans="1:26" x14ac:dyDescent="0.2">
      <c r="A655" s="168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5"/>
    </row>
    <row r="656" spans="1:26" x14ac:dyDescent="0.2">
      <c r="A656" s="168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5"/>
    </row>
    <row r="657" spans="1:26" x14ac:dyDescent="0.2">
      <c r="A657" s="168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5"/>
    </row>
    <row r="658" spans="1:26" x14ac:dyDescent="0.2">
      <c r="A658" s="168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5"/>
    </row>
    <row r="659" spans="1:26" x14ac:dyDescent="0.2">
      <c r="A659" s="168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5"/>
    </row>
    <row r="660" spans="1:26" x14ac:dyDescent="0.2">
      <c r="A660" s="168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5"/>
    </row>
    <row r="661" spans="1:26" x14ac:dyDescent="0.2">
      <c r="A661" s="168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5"/>
    </row>
    <row r="662" spans="1:26" x14ac:dyDescent="0.2">
      <c r="A662" s="168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5"/>
    </row>
    <row r="663" spans="1:26" x14ac:dyDescent="0.2">
      <c r="A663" s="168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5"/>
    </row>
    <row r="664" spans="1:26" x14ac:dyDescent="0.2">
      <c r="A664" s="168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5"/>
    </row>
    <row r="665" spans="1:26" x14ac:dyDescent="0.2">
      <c r="A665" s="168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5"/>
    </row>
    <row r="666" spans="1:26" x14ac:dyDescent="0.2">
      <c r="A666" s="168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5"/>
    </row>
    <row r="667" spans="1:26" x14ac:dyDescent="0.2">
      <c r="A667" s="168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5"/>
    </row>
    <row r="668" spans="1:26" x14ac:dyDescent="0.2">
      <c r="A668" s="168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5"/>
    </row>
    <row r="669" spans="1:26" x14ac:dyDescent="0.2">
      <c r="A669" s="168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5"/>
    </row>
    <row r="670" spans="1:26" x14ac:dyDescent="0.2">
      <c r="A670" s="168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5"/>
    </row>
    <row r="671" spans="1:26" x14ac:dyDescent="0.2">
      <c r="A671" s="168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5"/>
    </row>
    <row r="672" spans="1:26" x14ac:dyDescent="0.2">
      <c r="A672" s="168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5"/>
    </row>
    <row r="673" spans="1:26" x14ac:dyDescent="0.2">
      <c r="A673" s="168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5"/>
    </row>
    <row r="674" spans="1:26" x14ac:dyDescent="0.2">
      <c r="A674" s="168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5"/>
    </row>
    <row r="675" spans="1:26" x14ac:dyDescent="0.2">
      <c r="A675" s="168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5"/>
    </row>
    <row r="676" spans="1:26" x14ac:dyDescent="0.2">
      <c r="A676" s="168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5"/>
    </row>
    <row r="677" spans="1:26" x14ac:dyDescent="0.2">
      <c r="A677" s="168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5"/>
    </row>
    <row r="678" spans="1:26" x14ac:dyDescent="0.2">
      <c r="A678" s="168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5"/>
    </row>
    <row r="679" spans="1:26" x14ac:dyDescent="0.2">
      <c r="A679" s="168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5"/>
    </row>
    <row r="680" spans="1:26" x14ac:dyDescent="0.2">
      <c r="A680" s="168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5"/>
    </row>
    <row r="681" spans="1:26" x14ac:dyDescent="0.2">
      <c r="A681" s="168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5"/>
    </row>
    <row r="682" spans="1:26" x14ac:dyDescent="0.2">
      <c r="A682" s="168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5"/>
    </row>
    <row r="683" spans="1:26" x14ac:dyDescent="0.2">
      <c r="A683" s="168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5"/>
    </row>
    <row r="684" spans="1:26" x14ac:dyDescent="0.2">
      <c r="A684" s="168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5"/>
    </row>
    <row r="685" spans="1:26" x14ac:dyDescent="0.2">
      <c r="A685" s="168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5"/>
    </row>
    <row r="686" spans="1:26" x14ac:dyDescent="0.2">
      <c r="A686" s="168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5"/>
    </row>
    <row r="687" spans="1:26" x14ac:dyDescent="0.2">
      <c r="A687" s="168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5"/>
    </row>
    <row r="688" spans="1:26" x14ac:dyDescent="0.2">
      <c r="A688" s="168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5"/>
    </row>
    <row r="689" spans="1:26" x14ac:dyDescent="0.2">
      <c r="A689" s="168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5"/>
    </row>
    <row r="690" spans="1:26" x14ac:dyDescent="0.2">
      <c r="A690" s="168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5"/>
    </row>
    <row r="691" spans="1:26" x14ac:dyDescent="0.2">
      <c r="A691" s="168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5"/>
    </row>
    <row r="692" spans="1:26" x14ac:dyDescent="0.2">
      <c r="A692" s="168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5"/>
    </row>
    <row r="693" spans="1:26" x14ac:dyDescent="0.2">
      <c r="A693" s="168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5"/>
    </row>
    <row r="694" spans="1:26" x14ac:dyDescent="0.2">
      <c r="A694" s="168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5"/>
    </row>
    <row r="695" spans="1:26" x14ac:dyDescent="0.2">
      <c r="A695" s="168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5"/>
    </row>
    <row r="696" spans="1:26" x14ac:dyDescent="0.2">
      <c r="A696" s="168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5"/>
    </row>
    <row r="697" spans="1:26" x14ac:dyDescent="0.2">
      <c r="A697" s="168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5"/>
    </row>
    <row r="698" spans="1:26" x14ac:dyDescent="0.2">
      <c r="A698" s="168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5"/>
    </row>
    <row r="699" spans="1:26" x14ac:dyDescent="0.2">
      <c r="A699" s="168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5"/>
    </row>
    <row r="700" spans="1:26" x14ac:dyDescent="0.2">
      <c r="A700" s="168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5"/>
    </row>
    <row r="701" spans="1:26" x14ac:dyDescent="0.2">
      <c r="A701" s="168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5"/>
    </row>
    <row r="702" spans="1:26" x14ac:dyDescent="0.2">
      <c r="A702" s="168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5"/>
    </row>
    <row r="703" spans="1:26" x14ac:dyDescent="0.2">
      <c r="A703" s="168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5"/>
    </row>
    <row r="704" spans="1:26" x14ac:dyDescent="0.2">
      <c r="A704" s="168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5"/>
    </row>
    <row r="705" spans="1:26" x14ac:dyDescent="0.2">
      <c r="A705" s="168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5"/>
    </row>
    <row r="706" spans="1:26" x14ac:dyDescent="0.2">
      <c r="A706" s="168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5"/>
    </row>
    <row r="707" spans="1:26" x14ac:dyDescent="0.2">
      <c r="A707" s="168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5"/>
    </row>
    <row r="708" spans="1:26" x14ac:dyDescent="0.2">
      <c r="A708" s="168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5"/>
    </row>
    <row r="709" spans="1:26" x14ac:dyDescent="0.2">
      <c r="A709" s="168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5"/>
    </row>
    <row r="710" spans="1:26" x14ac:dyDescent="0.2">
      <c r="A710" s="168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5"/>
    </row>
    <row r="711" spans="1:26" x14ac:dyDescent="0.2">
      <c r="A711" s="168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5"/>
    </row>
    <row r="712" spans="1:26" x14ac:dyDescent="0.2">
      <c r="A712" s="168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5"/>
    </row>
    <row r="713" spans="1:26" x14ac:dyDescent="0.2">
      <c r="A713" s="168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5"/>
    </row>
    <row r="714" spans="1:26" x14ac:dyDescent="0.2">
      <c r="A714" s="168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5"/>
    </row>
    <row r="715" spans="1:26" x14ac:dyDescent="0.2">
      <c r="A715" s="168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5"/>
    </row>
    <row r="716" spans="1:26" x14ac:dyDescent="0.2">
      <c r="A716" s="168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5"/>
    </row>
    <row r="717" spans="1:26" x14ac:dyDescent="0.2">
      <c r="A717" s="168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5"/>
    </row>
    <row r="718" spans="1:26" x14ac:dyDescent="0.2">
      <c r="A718" s="168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5"/>
    </row>
    <row r="719" spans="1:26" x14ac:dyDescent="0.2">
      <c r="A719" s="168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5"/>
    </row>
    <row r="720" spans="1:26" x14ac:dyDescent="0.2">
      <c r="A720" s="168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5"/>
    </row>
    <row r="721" spans="1:26" x14ac:dyDescent="0.2">
      <c r="A721" s="168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5"/>
    </row>
    <row r="722" spans="1:26" x14ac:dyDescent="0.2">
      <c r="A722" s="168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5"/>
    </row>
    <row r="723" spans="1:26" x14ac:dyDescent="0.2">
      <c r="A723" s="168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5"/>
    </row>
    <row r="724" spans="1:26" x14ac:dyDescent="0.2">
      <c r="A724" s="168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5"/>
    </row>
    <row r="725" spans="1:26" x14ac:dyDescent="0.2">
      <c r="A725" s="168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5"/>
    </row>
    <row r="726" spans="1:26" x14ac:dyDescent="0.2">
      <c r="A726" s="168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5"/>
    </row>
    <row r="727" spans="1:26" x14ac:dyDescent="0.2">
      <c r="A727" s="168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5"/>
    </row>
    <row r="728" spans="1:26" x14ac:dyDescent="0.2">
      <c r="A728" s="168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5"/>
    </row>
    <row r="729" spans="1:26" x14ac:dyDescent="0.2">
      <c r="A729" s="168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5"/>
    </row>
    <row r="730" spans="1:26" x14ac:dyDescent="0.2">
      <c r="A730" s="168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5"/>
    </row>
    <row r="731" spans="1:26" x14ac:dyDescent="0.2">
      <c r="A731" s="168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5"/>
    </row>
    <row r="732" spans="1:26" x14ac:dyDescent="0.2">
      <c r="A732" s="168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5"/>
    </row>
    <row r="733" spans="1:26" x14ac:dyDescent="0.2">
      <c r="A733" s="168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5"/>
    </row>
    <row r="734" spans="1:26" x14ac:dyDescent="0.2">
      <c r="A734" s="168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5"/>
    </row>
    <row r="735" spans="1:26" x14ac:dyDescent="0.2">
      <c r="A735" s="168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5"/>
    </row>
    <row r="736" spans="1:26" x14ac:dyDescent="0.2">
      <c r="A736" s="168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5"/>
    </row>
    <row r="737" spans="1:26" x14ac:dyDescent="0.2">
      <c r="A737" s="168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5"/>
    </row>
    <row r="738" spans="1:26" x14ac:dyDescent="0.2">
      <c r="A738" s="168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5"/>
    </row>
    <row r="739" spans="1:26" x14ac:dyDescent="0.2">
      <c r="A739" s="168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5"/>
    </row>
    <row r="740" spans="1:26" x14ac:dyDescent="0.2">
      <c r="A740" s="168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5"/>
    </row>
    <row r="741" spans="1:26" x14ac:dyDescent="0.2">
      <c r="A741" s="168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5"/>
    </row>
    <row r="742" spans="1:26" x14ac:dyDescent="0.2">
      <c r="A742" s="168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5"/>
    </row>
    <row r="743" spans="1:26" x14ac:dyDescent="0.2">
      <c r="A743" s="168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5"/>
    </row>
    <row r="744" spans="1:26" x14ac:dyDescent="0.2">
      <c r="A744" s="168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5"/>
    </row>
    <row r="745" spans="1:26" x14ac:dyDescent="0.2">
      <c r="A745" s="168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5"/>
    </row>
    <row r="746" spans="1:26" x14ac:dyDescent="0.2">
      <c r="A746" s="168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5"/>
    </row>
    <row r="747" spans="1:26" x14ac:dyDescent="0.2">
      <c r="A747" s="168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5"/>
    </row>
    <row r="748" spans="1:26" x14ac:dyDescent="0.2">
      <c r="A748" s="168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5"/>
    </row>
    <row r="749" spans="1:26" x14ac:dyDescent="0.2">
      <c r="A749" s="168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5"/>
    </row>
    <row r="750" spans="1:26" x14ac:dyDescent="0.2">
      <c r="A750" s="168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5"/>
    </row>
    <row r="751" spans="1:26" x14ac:dyDescent="0.2">
      <c r="A751" s="168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5"/>
    </row>
    <row r="752" spans="1:26" x14ac:dyDescent="0.2">
      <c r="A752" s="168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5"/>
    </row>
    <row r="753" spans="1:26" x14ac:dyDescent="0.2">
      <c r="A753" s="168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5"/>
    </row>
    <row r="754" spans="1:26" x14ac:dyDescent="0.2">
      <c r="A754" s="168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5"/>
    </row>
    <row r="755" spans="1:26" x14ac:dyDescent="0.2">
      <c r="A755" s="168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5"/>
    </row>
    <row r="756" spans="1:26" x14ac:dyDescent="0.2">
      <c r="A756" s="168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5"/>
    </row>
    <row r="757" spans="1:26" x14ac:dyDescent="0.2">
      <c r="A757" s="168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5"/>
    </row>
    <row r="758" spans="1:26" x14ac:dyDescent="0.2">
      <c r="A758" s="168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5"/>
    </row>
    <row r="759" spans="1:26" x14ac:dyDescent="0.2">
      <c r="A759" s="168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5"/>
    </row>
    <row r="760" spans="1:26" x14ac:dyDescent="0.2">
      <c r="A760" s="168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5"/>
    </row>
    <row r="761" spans="1:26" x14ac:dyDescent="0.2">
      <c r="A761" s="168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5"/>
    </row>
    <row r="762" spans="1:26" x14ac:dyDescent="0.2">
      <c r="A762" s="168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5"/>
    </row>
    <row r="763" spans="1:26" x14ac:dyDescent="0.2">
      <c r="A763" s="168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5"/>
    </row>
    <row r="764" spans="1:26" x14ac:dyDescent="0.2">
      <c r="A764" s="168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5"/>
    </row>
    <row r="765" spans="1:26" x14ac:dyDescent="0.2">
      <c r="A765" s="168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5"/>
    </row>
    <row r="766" spans="1:26" x14ac:dyDescent="0.2">
      <c r="A766" s="168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5"/>
    </row>
    <row r="767" spans="1:26" x14ac:dyDescent="0.2">
      <c r="A767" s="168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5"/>
    </row>
    <row r="768" spans="1:26" x14ac:dyDescent="0.2">
      <c r="A768" s="168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5"/>
    </row>
    <row r="769" spans="1:26" x14ac:dyDescent="0.2">
      <c r="A769" s="168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5"/>
    </row>
    <row r="770" spans="1:26" x14ac:dyDescent="0.2">
      <c r="A770" s="168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5"/>
    </row>
    <row r="771" spans="1:26" x14ac:dyDescent="0.2">
      <c r="A771" s="168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5"/>
    </row>
    <row r="772" spans="1:26" x14ac:dyDescent="0.2">
      <c r="A772" s="168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5"/>
    </row>
    <row r="773" spans="1:26" x14ac:dyDescent="0.2">
      <c r="A773" s="168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5"/>
    </row>
    <row r="774" spans="1:26" x14ac:dyDescent="0.2">
      <c r="A774" s="168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5"/>
    </row>
    <row r="775" spans="1:26" x14ac:dyDescent="0.2">
      <c r="A775" s="168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5"/>
    </row>
    <row r="776" spans="1:26" x14ac:dyDescent="0.2">
      <c r="A776" s="168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5"/>
    </row>
    <row r="777" spans="1:26" x14ac:dyDescent="0.2">
      <c r="A777" s="168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5"/>
    </row>
    <row r="778" spans="1:26" x14ac:dyDescent="0.2">
      <c r="A778" s="168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5"/>
    </row>
    <row r="779" spans="1:26" x14ac:dyDescent="0.2">
      <c r="A779" s="168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5"/>
    </row>
    <row r="780" spans="1:26" x14ac:dyDescent="0.2">
      <c r="A780" s="168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5"/>
    </row>
    <row r="781" spans="1:26" x14ac:dyDescent="0.2">
      <c r="A781" s="168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5"/>
    </row>
    <row r="782" spans="1:26" x14ac:dyDescent="0.2">
      <c r="A782" s="168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5"/>
    </row>
    <row r="783" spans="1:26" x14ac:dyDescent="0.2">
      <c r="A783" s="168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5"/>
    </row>
    <row r="784" spans="1:26" x14ac:dyDescent="0.2">
      <c r="A784" s="168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5"/>
    </row>
    <row r="785" spans="1:26" x14ac:dyDescent="0.2">
      <c r="A785" s="168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5"/>
    </row>
    <row r="786" spans="1:26" x14ac:dyDescent="0.2">
      <c r="A786" s="168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5"/>
    </row>
    <row r="787" spans="1:26" x14ac:dyDescent="0.2">
      <c r="A787" s="168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5"/>
    </row>
    <row r="788" spans="1:26" x14ac:dyDescent="0.2">
      <c r="A788" s="168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5"/>
    </row>
    <row r="789" spans="1:26" x14ac:dyDescent="0.2">
      <c r="A789" s="168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5"/>
    </row>
    <row r="790" spans="1:26" x14ac:dyDescent="0.2">
      <c r="A790" s="168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5"/>
    </row>
    <row r="791" spans="1:26" x14ac:dyDescent="0.2">
      <c r="A791" s="168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5"/>
    </row>
    <row r="792" spans="1:26" x14ac:dyDescent="0.2">
      <c r="A792" s="168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5"/>
    </row>
    <row r="793" spans="1:26" x14ac:dyDescent="0.2">
      <c r="A793" s="168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5"/>
    </row>
    <row r="794" spans="1:26" x14ac:dyDescent="0.2">
      <c r="A794" s="168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5"/>
    </row>
    <row r="795" spans="1:26" x14ac:dyDescent="0.2">
      <c r="A795" s="168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5"/>
    </row>
    <row r="796" spans="1:26" x14ac:dyDescent="0.2">
      <c r="A796" s="168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5"/>
    </row>
    <row r="797" spans="1:26" x14ac:dyDescent="0.2">
      <c r="A797" s="168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5"/>
    </row>
    <row r="798" spans="1:26" x14ac:dyDescent="0.2">
      <c r="A798" s="168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5"/>
    </row>
    <row r="799" spans="1:26" x14ac:dyDescent="0.2">
      <c r="A799" s="168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5"/>
    </row>
    <row r="800" spans="1:26" x14ac:dyDescent="0.2">
      <c r="A800" s="168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5"/>
    </row>
    <row r="801" spans="1:26" x14ac:dyDescent="0.2">
      <c r="A801" s="168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5"/>
    </row>
    <row r="802" spans="1:26" x14ac:dyDescent="0.2">
      <c r="A802" s="168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5"/>
    </row>
    <row r="803" spans="1:26" x14ac:dyDescent="0.2">
      <c r="A803" s="168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5"/>
    </row>
    <row r="804" spans="1:26" x14ac:dyDescent="0.2">
      <c r="A804" s="168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5"/>
    </row>
    <row r="805" spans="1:26" x14ac:dyDescent="0.2">
      <c r="A805" s="168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5"/>
    </row>
    <row r="806" spans="1:26" x14ac:dyDescent="0.2">
      <c r="A806" s="168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5"/>
    </row>
    <row r="807" spans="1:26" x14ac:dyDescent="0.2">
      <c r="A807" s="168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5"/>
    </row>
    <row r="808" spans="1:26" x14ac:dyDescent="0.2">
      <c r="A808" s="168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5"/>
    </row>
    <row r="809" spans="1:26" x14ac:dyDescent="0.2">
      <c r="A809" s="168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5"/>
    </row>
    <row r="810" spans="1:26" x14ac:dyDescent="0.2">
      <c r="A810" s="168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5"/>
    </row>
    <row r="811" spans="1:26" x14ac:dyDescent="0.2">
      <c r="A811" s="168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5"/>
    </row>
    <row r="812" spans="1:26" x14ac:dyDescent="0.2">
      <c r="A812" s="168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5"/>
    </row>
    <row r="813" spans="1:26" x14ac:dyDescent="0.2">
      <c r="A813" s="168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5"/>
    </row>
    <row r="814" spans="1:26" x14ac:dyDescent="0.2">
      <c r="A814" s="168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5"/>
    </row>
    <row r="815" spans="1:26" x14ac:dyDescent="0.2">
      <c r="A815" s="168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5"/>
    </row>
    <row r="816" spans="1:26" x14ac:dyDescent="0.2">
      <c r="A816" s="168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5"/>
    </row>
    <row r="817" spans="1:26" x14ac:dyDescent="0.2">
      <c r="A817" s="168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5"/>
    </row>
    <row r="818" spans="1:26" x14ac:dyDescent="0.2">
      <c r="A818" s="168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5"/>
    </row>
    <row r="819" spans="1:26" x14ac:dyDescent="0.2">
      <c r="A819" s="168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5"/>
    </row>
    <row r="820" spans="1:26" x14ac:dyDescent="0.2">
      <c r="A820" s="168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5"/>
    </row>
    <row r="821" spans="1:26" x14ac:dyDescent="0.2">
      <c r="A821" s="168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5"/>
    </row>
    <row r="822" spans="1:26" x14ac:dyDescent="0.2">
      <c r="A822" s="168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5"/>
    </row>
    <row r="823" spans="1:26" x14ac:dyDescent="0.2">
      <c r="A823" s="168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5"/>
    </row>
    <row r="824" spans="1:26" x14ac:dyDescent="0.2">
      <c r="A824" s="168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5"/>
    </row>
    <row r="825" spans="1:26" x14ac:dyDescent="0.2">
      <c r="A825" s="168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5"/>
    </row>
    <row r="826" spans="1:26" x14ac:dyDescent="0.2">
      <c r="A826" s="168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5"/>
    </row>
    <row r="827" spans="1:26" x14ac:dyDescent="0.2">
      <c r="A827" s="168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5"/>
    </row>
    <row r="828" spans="1:26" x14ac:dyDescent="0.2">
      <c r="A828" s="168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5"/>
    </row>
    <row r="829" spans="1:26" x14ac:dyDescent="0.2">
      <c r="A829" s="168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5"/>
    </row>
    <row r="830" spans="1:26" x14ac:dyDescent="0.2">
      <c r="A830" s="168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5"/>
    </row>
    <row r="831" spans="1:26" x14ac:dyDescent="0.2">
      <c r="A831" s="168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5"/>
    </row>
    <row r="832" spans="1:26" x14ac:dyDescent="0.2">
      <c r="A832" s="168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5"/>
    </row>
    <row r="833" spans="1:26" x14ac:dyDescent="0.2">
      <c r="A833" s="168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5"/>
    </row>
    <row r="834" spans="1:26" x14ac:dyDescent="0.2">
      <c r="A834" s="168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5"/>
    </row>
    <row r="835" spans="1:26" x14ac:dyDescent="0.2">
      <c r="A835" s="168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5"/>
    </row>
    <row r="836" spans="1:26" x14ac:dyDescent="0.2">
      <c r="A836" s="168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5"/>
    </row>
    <row r="837" spans="1:26" x14ac:dyDescent="0.2">
      <c r="A837" s="168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5"/>
    </row>
    <row r="838" spans="1:26" x14ac:dyDescent="0.2">
      <c r="A838" s="168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5"/>
    </row>
    <row r="839" spans="1:26" x14ac:dyDescent="0.2">
      <c r="A839" s="168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5"/>
    </row>
    <row r="840" spans="1:26" x14ac:dyDescent="0.2">
      <c r="A840" s="168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5"/>
    </row>
    <row r="841" spans="1:26" x14ac:dyDescent="0.2">
      <c r="A841" s="168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5"/>
    </row>
    <row r="842" spans="1:26" x14ac:dyDescent="0.2">
      <c r="A842" s="168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5"/>
    </row>
    <row r="843" spans="1:26" x14ac:dyDescent="0.2">
      <c r="A843" s="168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5"/>
    </row>
    <row r="844" spans="1:26" x14ac:dyDescent="0.2">
      <c r="A844" s="168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5"/>
    </row>
    <row r="845" spans="1:26" x14ac:dyDescent="0.2">
      <c r="A845" s="168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5"/>
    </row>
    <row r="846" spans="1:26" x14ac:dyDescent="0.2">
      <c r="A846" s="168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5"/>
    </row>
    <row r="847" spans="1:26" x14ac:dyDescent="0.2">
      <c r="A847" s="168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5"/>
    </row>
    <row r="848" spans="1:26" x14ac:dyDescent="0.2">
      <c r="A848" s="168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5"/>
    </row>
    <row r="849" spans="1:26" x14ac:dyDescent="0.2">
      <c r="A849" s="168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5"/>
    </row>
    <row r="850" spans="1:26" x14ac:dyDescent="0.2">
      <c r="A850" s="168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5"/>
    </row>
    <row r="851" spans="1:26" x14ac:dyDescent="0.2">
      <c r="A851" s="168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5"/>
    </row>
    <row r="852" spans="1:26" x14ac:dyDescent="0.2">
      <c r="A852" s="168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5"/>
    </row>
    <row r="853" spans="1:26" x14ac:dyDescent="0.2">
      <c r="A853" s="168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5"/>
    </row>
    <row r="854" spans="1:26" x14ac:dyDescent="0.2">
      <c r="A854" s="168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5"/>
    </row>
    <row r="855" spans="1:26" x14ac:dyDescent="0.2">
      <c r="A855" s="168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5"/>
    </row>
    <row r="856" spans="1:26" x14ac:dyDescent="0.2">
      <c r="A856" s="168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5"/>
    </row>
    <row r="857" spans="1:26" x14ac:dyDescent="0.2">
      <c r="A857" s="168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5"/>
    </row>
    <row r="858" spans="1:26" x14ac:dyDescent="0.2">
      <c r="A858" s="168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5"/>
    </row>
    <row r="859" spans="1:26" x14ac:dyDescent="0.2">
      <c r="A859" s="168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5"/>
    </row>
    <row r="860" spans="1:26" x14ac:dyDescent="0.2">
      <c r="A860" s="168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5"/>
    </row>
    <row r="861" spans="1:26" x14ac:dyDescent="0.2">
      <c r="A861" s="168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5"/>
    </row>
    <row r="862" spans="1:26" x14ac:dyDescent="0.2">
      <c r="A862" s="168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5"/>
    </row>
    <row r="863" spans="1:26" x14ac:dyDescent="0.2">
      <c r="A863" s="168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5"/>
    </row>
    <row r="864" spans="1:26" x14ac:dyDescent="0.2">
      <c r="A864" s="168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5"/>
    </row>
    <row r="865" spans="1:26" x14ac:dyDescent="0.2">
      <c r="A865" s="168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5"/>
    </row>
    <row r="866" spans="1:26" x14ac:dyDescent="0.2">
      <c r="A866" s="168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5"/>
    </row>
    <row r="867" spans="1:26" x14ac:dyDescent="0.2">
      <c r="A867" s="168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5"/>
    </row>
    <row r="868" spans="1:26" x14ac:dyDescent="0.2">
      <c r="A868" s="168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5"/>
    </row>
    <row r="869" spans="1:26" x14ac:dyDescent="0.2">
      <c r="A869" s="168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5"/>
    </row>
    <row r="870" spans="1:26" x14ac:dyDescent="0.2">
      <c r="A870" s="168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5"/>
    </row>
    <row r="871" spans="1:26" x14ac:dyDescent="0.2">
      <c r="A871" s="168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5"/>
    </row>
    <row r="872" spans="1:26" x14ac:dyDescent="0.2">
      <c r="A872" s="168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5"/>
    </row>
    <row r="873" spans="1:26" x14ac:dyDescent="0.2">
      <c r="A873" s="168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5"/>
    </row>
    <row r="874" spans="1:26" x14ac:dyDescent="0.2">
      <c r="A874" s="168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5"/>
    </row>
    <row r="875" spans="1:26" x14ac:dyDescent="0.2">
      <c r="A875" s="168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5"/>
    </row>
    <row r="876" spans="1:26" x14ac:dyDescent="0.2">
      <c r="A876" s="168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5"/>
    </row>
    <row r="877" spans="1:26" x14ac:dyDescent="0.2">
      <c r="A877" s="168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5"/>
    </row>
    <row r="878" spans="1:26" x14ac:dyDescent="0.2">
      <c r="A878" s="168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5"/>
    </row>
    <row r="879" spans="1:26" x14ac:dyDescent="0.2">
      <c r="A879" s="168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5"/>
    </row>
    <row r="880" spans="1:26" x14ac:dyDescent="0.2">
      <c r="A880" s="168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5"/>
    </row>
    <row r="881" spans="1:26" x14ac:dyDescent="0.2">
      <c r="A881" s="168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5"/>
    </row>
    <row r="882" spans="1:26" x14ac:dyDescent="0.2">
      <c r="A882" s="168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5"/>
    </row>
    <row r="883" spans="1:26" x14ac:dyDescent="0.2">
      <c r="A883" s="168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5"/>
    </row>
    <row r="884" spans="1:26" x14ac:dyDescent="0.2">
      <c r="A884" s="168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5"/>
    </row>
    <row r="885" spans="1:26" x14ac:dyDescent="0.2">
      <c r="A885" s="168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5"/>
    </row>
    <row r="886" spans="1:26" x14ac:dyDescent="0.2">
      <c r="A886" s="168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5"/>
    </row>
    <row r="887" spans="1:26" x14ac:dyDescent="0.2">
      <c r="A887" s="168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5"/>
    </row>
    <row r="888" spans="1:26" x14ac:dyDescent="0.2">
      <c r="A888" s="168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5"/>
    </row>
    <row r="889" spans="1:26" x14ac:dyDescent="0.2">
      <c r="A889" s="168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5"/>
    </row>
    <row r="890" spans="1:26" x14ac:dyDescent="0.2">
      <c r="A890" s="168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5"/>
    </row>
    <row r="891" spans="1:26" x14ac:dyDescent="0.2">
      <c r="A891" s="168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5"/>
    </row>
    <row r="892" spans="1:26" x14ac:dyDescent="0.2">
      <c r="A892" s="168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5"/>
    </row>
    <row r="893" spans="1:26" x14ac:dyDescent="0.2">
      <c r="A893" s="168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5"/>
    </row>
    <row r="894" spans="1:26" x14ac:dyDescent="0.2">
      <c r="A894" s="168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5"/>
    </row>
    <row r="895" spans="1:26" x14ac:dyDescent="0.2">
      <c r="A895" s="168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5"/>
    </row>
    <row r="896" spans="1:26" x14ac:dyDescent="0.2">
      <c r="A896" s="168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5"/>
    </row>
    <row r="897" spans="1:26" x14ac:dyDescent="0.2">
      <c r="A897" s="168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5"/>
    </row>
    <row r="898" spans="1:26" x14ac:dyDescent="0.2">
      <c r="A898" s="168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5"/>
    </row>
    <row r="899" spans="1:26" x14ac:dyDescent="0.2">
      <c r="A899" s="168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5"/>
    </row>
    <row r="900" spans="1:26" x14ac:dyDescent="0.2">
      <c r="A900" s="168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5"/>
    </row>
    <row r="901" spans="1:26" x14ac:dyDescent="0.2">
      <c r="A901" s="168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5"/>
    </row>
    <row r="902" spans="1:26" x14ac:dyDescent="0.2">
      <c r="A902" s="168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5"/>
    </row>
    <row r="903" spans="1:26" x14ac:dyDescent="0.2">
      <c r="A903" s="168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5"/>
    </row>
    <row r="904" spans="1:26" x14ac:dyDescent="0.2">
      <c r="A904" s="168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5"/>
    </row>
    <row r="905" spans="1:26" x14ac:dyDescent="0.2">
      <c r="A905" s="168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5"/>
    </row>
    <row r="906" spans="1:26" x14ac:dyDescent="0.2">
      <c r="A906" s="168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5"/>
    </row>
    <row r="907" spans="1:26" x14ac:dyDescent="0.2">
      <c r="A907" s="168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5"/>
    </row>
    <row r="908" spans="1:26" x14ac:dyDescent="0.2">
      <c r="A908" s="168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5"/>
    </row>
    <row r="909" spans="1:26" x14ac:dyDescent="0.2">
      <c r="A909" s="168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5"/>
    </row>
    <row r="910" spans="1:26" x14ac:dyDescent="0.2">
      <c r="A910" s="168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5"/>
    </row>
    <row r="911" spans="1:26" x14ac:dyDescent="0.2">
      <c r="A911" s="168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5"/>
    </row>
    <row r="912" spans="1:26" x14ac:dyDescent="0.2">
      <c r="A912" s="168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5"/>
    </row>
    <row r="913" spans="1:26" x14ac:dyDescent="0.2">
      <c r="A913" s="168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5"/>
    </row>
    <row r="914" spans="1:26" x14ac:dyDescent="0.2">
      <c r="A914" s="168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5"/>
    </row>
    <row r="915" spans="1:26" x14ac:dyDescent="0.2">
      <c r="A915" s="168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5"/>
    </row>
    <row r="916" spans="1:26" x14ac:dyDescent="0.2">
      <c r="A916" s="168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5"/>
    </row>
    <row r="917" spans="1:26" x14ac:dyDescent="0.2">
      <c r="A917" s="168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5"/>
    </row>
    <row r="918" spans="1:26" x14ac:dyDescent="0.2">
      <c r="A918" s="168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5"/>
    </row>
    <row r="919" spans="1:26" x14ac:dyDescent="0.2">
      <c r="A919" s="168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5"/>
    </row>
    <row r="920" spans="1:26" x14ac:dyDescent="0.2">
      <c r="A920" s="168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5"/>
    </row>
    <row r="921" spans="1:26" x14ac:dyDescent="0.2">
      <c r="A921" s="168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5"/>
    </row>
    <row r="922" spans="1:26" x14ac:dyDescent="0.2">
      <c r="A922" s="168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5"/>
    </row>
    <row r="923" spans="1:26" x14ac:dyDescent="0.2">
      <c r="A923" s="168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5"/>
    </row>
    <row r="924" spans="1:26" x14ac:dyDescent="0.2">
      <c r="A924" s="168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5"/>
    </row>
    <row r="925" spans="1:26" x14ac:dyDescent="0.2">
      <c r="A925" s="168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5"/>
    </row>
    <row r="926" spans="1:26" x14ac:dyDescent="0.2">
      <c r="A926" s="168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5"/>
    </row>
    <row r="927" spans="1:26" x14ac:dyDescent="0.2">
      <c r="A927" s="168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5"/>
    </row>
    <row r="928" spans="1:26" x14ac:dyDescent="0.2">
      <c r="A928" s="168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5"/>
    </row>
    <row r="929" spans="1:26" x14ac:dyDescent="0.2">
      <c r="A929" s="168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5"/>
    </row>
    <row r="930" spans="1:26" x14ac:dyDescent="0.2">
      <c r="A930" s="168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5"/>
    </row>
    <row r="931" spans="1:26" x14ac:dyDescent="0.2">
      <c r="A931" s="168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5"/>
    </row>
    <row r="932" spans="1:26" x14ac:dyDescent="0.2">
      <c r="A932" s="168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5"/>
    </row>
    <row r="933" spans="1:26" x14ac:dyDescent="0.2">
      <c r="A933" s="168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5"/>
    </row>
    <row r="934" spans="1:26" x14ac:dyDescent="0.2">
      <c r="A934" s="168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5"/>
    </row>
    <row r="935" spans="1:26" x14ac:dyDescent="0.2">
      <c r="A935" s="168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5"/>
    </row>
    <row r="936" spans="1:26" x14ac:dyDescent="0.2">
      <c r="A936" s="168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5"/>
    </row>
    <row r="937" spans="1:26" x14ac:dyDescent="0.2">
      <c r="A937" s="168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5"/>
    </row>
    <row r="938" spans="1:26" x14ac:dyDescent="0.2">
      <c r="A938" s="168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5"/>
    </row>
    <row r="939" spans="1:26" x14ac:dyDescent="0.2">
      <c r="A939" s="168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5"/>
    </row>
    <row r="940" spans="1:26" x14ac:dyDescent="0.2">
      <c r="A940" s="168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5"/>
    </row>
    <row r="941" spans="1:26" x14ac:dyDescent="0.2">
      <c r="A941" s="168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5"/>
    </row>
    <row r="942" spans="1:26" x14ac:dyDescent="0.2">
      <c r="A942" s="168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5"/>
    </row>
    <row r="943" spans="1:26" x14ac:dyDescent="0.2">
      <c r="A943" s="168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5"/>
    </row>
    <row r="944" spans="1:26" x14ac:dyDescent="0.2">
      <c r="A944" s="168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5"/>
    </row>
    <row r="945" spans="1:26" x14ac:dyDescent="0.2">
      <c r="A945" s="168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5"/>
    </row>
    <row r="946" spans="1:26" x14ac:dyDescent="0.2">
      <c r="A946" s="168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5"/>
    </row>
    <row r="947" spans="1:26" x14ac:dyDescent="0.2">
      <c r="A947" s="168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5"/>
    </row>
    <row r="948" spans="1:26" x14ac:dyDescent="0.2">
      <c r="A948" s="168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5"/>
    </row>
    <row r="949" spans="1:26" x14ac:dyDescent="0.2">
      <c r="A949" s="168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5"/>
    </row>
    <row r="950" spans="1:26" x14ac:dyDescent="0.2">
      <c r="A950" s="168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5"/>
    </row>
    <row r="951" spans="1:26" x14ac:dyDescent="0.2">
      <c r="A951" s="168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5"/>
    </row>
    <row r="952" spans="1:26" x14ac:dyDescent="0.2">
      <c r="A952" s="168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5"/>
    </row>
    <row r="953" spans="1:26" x14ac:dyDescent="0.2">
      <c r="A953" s="168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5"/>
    </row>
    <row r="954" spans="1:26" x14ac:dyDescent="0.2">
      <c r="A954" s="168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5"/>
    </row>
    <row r="955" spans="1:26" x14ac:dyDescent="0.2">
      <c r="A955" s="168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5"/>
    </row>
    <row r="956" spans="1:26" x14ac:dyDescent="0.2">
      <c r="A956" s="168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5"/>
    </row>
    <row r="957" spans="1:26" x14ac:dyDescent="0.2">
      <c r="A957" s="168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5"/>
    </row>
    <row r="958" spans="1:26" x14ac:dyDescent="0.2">
      <c r="A958" s="168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5"/>
    </row>
    <row r="959" spans="1:26" x14ac:dyDescent="0.2">
      <c r="A959" s="168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5"/>
    </row>
    <row r="960" spans="1:26" x14ac:dyDescent="0.2">
      <c r="A960" s="168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5"/>
    </row>
    <row r="961" spans="1:26" x14ac:dyDescent="0.2">
      <c r="A961" s="168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5"/>
    </row>
    <row r="962" spans="1:26" x14ac:dyDescent="0.2">
      <c r="A962" s="168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5"/>
    </row>
    <row r="963" spans="1:26" x14ac:dyDescent="0.2">
      <c r="A963" s="168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5"/>
    </row>
    <row r="964" spans="1:26" x14ac:dyDescent="0.2">
      <c r="A964" s="168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5"/>
    </row>
    <row r="965" spans="1:26" x14ac:dyDescent="0.2">
      <c r="A965" s="168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5"/>
    </row>
    <row r="966" spans="1:26" x14ac:dyDescent="0.2">
      <c r="A966" s="168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5"/>
    </row>
    <row r="967" spans="1:26" x14ac:dyDescent="0.2">
      <c r="A967" s="168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5"/>
    </row>
    <row r="968" spans="1:26" x14ac:dyDescent="0.2">
      <c r="A968" s="168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5"/>
    </row>
    <row r="969" spans="1:26" x14ac:dyDescent="0.2">
      <c r="A969" s="168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5"/>
    </row>
    <row r="970" spans="1:26" x14ac:dyDescent="0.2">
      <c r="A970" s="168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5"/>
    </row>
    <row r="971" spans="1:26" x14ac:dyDescent="0.2">
      <c r="A971" s="168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5"/>
    </row>
    <row r="972" spans="1:26" x14ac:dyDescent="0.2">
      <c r="A972" s="168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5"/>
    </row>
    <row r="973" spans="1:26" x14ac:dyDescent="0.2">
      <c r="A973" s="168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5"/>
    </row>
    <row r="974" spans="1:26" x14ac:dyDescent="0.2">
      <c r="A974" s="168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5"/>
    </row>
    <row r="975" spans="1:26" x14ac:dyDescent="0.2">
      <c r="A975" s="168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5"/>
    </row>
    <row r="976" spans="1:26" x14ac:dyDescent="0.2">
      <c r="A976" s="168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5"/>
    </row>
    <row r="977" spans="1:26" x14ac:dyDescent="0.2">
      <c r="A977" s="168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5"/>
    </row>
    <row r="978" spans="1:26" x14ac:dyDescent="0.2">
      <c r="A978" s="168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5"/>
    </row>
    <row r="979" spans="1:26" x14ac:dyDescent="0.2">
      <c r="A979" s="168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5"/>
    </row>
    <row r="980" spans="1:26" x14ac:dyDescent="0.2">
      <c r="A980" s="168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5"/>
    </row>
    <row r="981" spans="1:26" x14ac:dyDescent="0.2">
      <c r="A981" s="168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5"/>
    </row>
    <row r="982" spans="1:26" x14ac:dyDescent="0.2">
      <c r="A982" s="168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5"/>
    </row>
    <row r="983" spans="1:26" x14ac:dyDescent="0.2">
      <c r="A983" s="168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5"/>
    </row>
    <row r="984" spans="1:26" x14ac:dyDescent="0.2">
      <c r="A984" s="168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5"/>
    </row>
    <row r="985" spans="1:26" x14ac:dyDescent="0.2">
      <c r="A985" s="168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5"/>
    </row>
    <row r="986" spans="1:26" x14ac:dyDescent="0.2">
      <c r="A986" s="168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5"/>
    </row>
    <row r="987" spans="1:26" x14ac:dyDescent="0.2">
      <c r="A987" s="168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5"/>
    </row>
    <row r="988" spans="1:26" x14ac:dyDescent="0.2">
      <c r="A988" s="168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5"/>
    </row>
    <row r="989" spans="1:26" x14ac:dyDescent="0.2">
      <c r="A989" s="168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5"/>
    </row>
    <row r="990" spans="1:26" x14ac:dyDescent="0.2">
      <c r="A990" s="168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5"/>
    </row>
    <row r="991" spans="1:26" x14ac:dyDescent="0.2">
      <c r="A991" s="168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5"/>
    </row>
    <row r="992" spans="1:26" x14ac:dyDescent="0.2">
      <c r="A992" s="168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5"/>
    </row>
    <row r="993" spans="1:26" x14ac:dyDescent="0.2">
      <c r="A993" s="168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5"/>
    </row>
    <row r="994" spans="1:26" x14ac:dyDescent="0.2">
      <c r="A994" s="168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5"/>
    </row>
    <row r="995" spans="1:26" x14ac:dyDescent="0.2">
      <c r="A995" s="168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5"/>
    </row>
    <row r="996" spans="1:26" x14ac:dyDescent="0.2">
      <c r="A996" s="168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5"/>
    </row>
    <row r="997" spans="1:26" x14ac:dyDescent="0.2">
      <c r="A997" s="168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5"/>
    </row>
    <row r="998" spans="1:26" x14ac:dyDescent="0.2">
      <c r="A998" s="168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5"/>
    </row>
    <row r="999" spans="1:26" x14ac:dyDescent="0.2">
      <c r="A999" s="168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5"/>
    </row>
    <row r="1000" spans="1:26" x14ac:dyDescent="0.2">
      <c r="A1000" s="188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75"/>
    </row>
  </sheetData>
  <mergeCells count="2">
    <mergeCell ref="B1:Q1"/>
    <mergeCell ref="B30:C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3A94-932C-4D3F-AE42-774B12C779C3}">
  <dimension ref="A1:Z1001"/>
  <sheetViews>
    <sheetView workbookViewId="0">
      <selection activeCell="B30" sqref="B30"/>
    </sheetView>
  </sheetViews>
  <sheetFormatPr baseColWidth="10" defaultColWidth="9.1640625" defaultRowHeight="12" x14ac:dyDescent="0.15"/>
  <cols>
    <col min="1" max="1" width="9.1640625" style="17"/>
    <col min="2" max="2" width="44" style="17" customWidth="1"/>
    <col min="3" max="3" width="21.5" style="17" customWidth="1"/>
    <col min="4" max="6" width="14.33203125" style="17" bestFit="1" customWidth="1"/>
    <col min="7" max="7" width="15.6640625" style="17" bestFit="1" customWidth="1"/>
    <col min="8" max="8" width="17.33203125" style="17" customWidth="1"/>
    <col min="9" max="9" width="19" style="17" customWidth="1"/>
    <col min="10" max="10" width="18.33203125" style="17" customWidth="1"/>
    <col min="11" max="12" width="18.5" style="17" customWidth="1"/>
    <col min="13" max="15" width="18.1640625" style="17" customWidth="1"/>
    <col min="16" max="17" width="18.33203125" style="17" customWidth="1"/>
    <col min="18" max="18" width="18.5" style="17" customWidth="1"/>
    <col min="19" max="16384" width="9.1640625" style="17"/>
  </cols>
  <sheetData>
    <row r="1" spans="1:26" x14ac:dyDescent="0.15">
      <c r="A1" s="13"/>
      <c r="B1" s="248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50"/>
      <c r="R1" s="14"/>
      <c r="S1" s="15"/>
      <c r="T1" s="15"/>
      <c r="U1" s="15"/>
      <c r="V1" s="15"/>
      <c r="W1" s="15"/>
      <c r="X1" s="15"/>
      <c r="Y1" s="135"/>
      <c r="Z1" s="137"/>
    </row>
    <row r="2" spans="1:26" x14ac:dyDescent="0.15">
      <c r="A2" s="18"/>
      <c r="B2" s="19"/>
      <c r="C2" s="20">
        <v>0</v>
      </c>
      <c r="D2" s="20">
        <v>1</v>
      </c>
      <c r="E2" s="20">
        <v>2</v>
      </c>
      <c r="F2" s="20">
        <v>3</v>
      </c>
      <c r="G2" s="20">
        <v>4</v>
      </c>
      <c r="H2" s="20">
        <v>5</v>
      </c>
      <c r="I2" s="20">
        <v>6</v>
      </c>
      <c r="J2" s="20">
        <v>7</v>
      </c>
      <c r="K2" s="20">
        <v>8</v>
      </c>
      <c r="L2" s="20">
        <v>9</v>
      </c>
      <c r="M2" s="20">
        <v>10</v>
      </c>
      <c r="N2" s="20">
        <v>11</v>
      </c>
      <c r="O2" s="20">
        <v>12</v>
      </c>
      <c r="P2" s="20">
        <v>13</v>
      </c>
      <c r="Q2" s="20">
        <v>14</v>
      </c>
      <c r="R2" s="20">
        <v>15</v>
      </c>
      <c r="S2" s="21"/>
      <c r="T2" s="21"/>
      <c r="U2" s="21"/>
      <c r="V2" s="21"/>
      <c r="W2" s="21"/>
      <c r="X2" s="21"/>
      <c r="Y2" s="136"/>
      <c r="Z2" s="137"/>
    </row>
    <row r="3" spans="1:26" x14ac:dyDescent="0.15">
      <c r="A3" s="18"/>
      <c r="B3" s="23"/>
      <c r="C3" s="24">
        <v>45658</v>
      </c>
      <c r="D3" s="20">
        <v>2025</v>
      </c>
      <c r="E3" s="20">
        <v>2026</v>
      </c>
      <c r="F3" s="20">
        <v>2027</v>
      </c>
      <c r="G3" s="20">
        <v>2028</v>
      </c>
      <c r="H3" s="20">
        <v>2029</v>
      </c>
      <c r="I3" s="20">
        <v>2030</v>
      </c>
      <c r="J3" s="20">
        <v>2031</v>
      </c>
      <c r="K3" s="20">
        <v>2032</v>
      </c>
      <c r="L3" s="20">
        <v>2033</v>
      </c>
      <c r="M3" s="20">
        <v>2034</v>
      </c>
      <c r="N3" s="20">
        <v>2035</v>
      </c>
      <c r="O3" s="20">
        <v>2036</v>
      </c>
      <c r="P3" s="20">
        <v>2037</v>
      </c>
      <c r="Q3" s="20">
        <v>2038</v>
      </c>
      <c r="R3" s="20">
        <v>2039</v>
      </c>
      <c r="S3" s="21"/>
      <c r="T3" s="21"/>
      <c r="U3" s="21"/>
      <c r="V3" s="21"/>
      <c r="W3" s="21"/>
      <c r="X3" s="21"/>
      <c r="Y3" s="136"/>
      <c r="Z3" s="137"/>
    </row>
    <row r="4" spans="1:26" x14ac:dyDescent="0.15">
      <c r="A4" s="18"/>
      <c r="B4" s="25"/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8"/>
      <c r="S4" s="21"/>
      <c r="T4" s="21"/>
      <c r="U4" s="21"/>
      <c r="V4" s="21"/>
      <c r="W4" s="21"/>
      <c r="X4" s="21"/>
      <c r="Y4" s="136"/>
      <c r="Z4" s="137"/>
    </row>
    <row r="5" spans="1:26" x14ac:dyDescent="0.15">
      <c r="A5" s="18"/>
      <c r="B5" s="25" t="s">
        <v>0</v>
      </c>
      <c r="C5" s="26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f>C33</f>
        <v>10000</v>
      </c>
      <c r="J5" s="27">
        <f t="shared" ref="J5:R5" si="0">I5*(1+$C$34)</f>
        <v>13000</v>
      </c>
      <c r="K5" s="27">
        <f t="shared" si="0"/>
        <v>16900</v>
      </c>
      <c r="L5" s="27">
        <f t="shared" si="0"/>
        <v>21970</v>
      </c>
      <c r="M5" s="27">
        <f t="shared" si="0"/>
        <v>28561</v>
      </c>
      <c r="N5" s="27">
        <f t="shared" si="0"/>
        <v>37129.300000000003</v>
      </c>
      <c r="O5" s="27">
        <f t="shared" si="0"/>
        <v>48268.090000000004</v>
      </c>
      <c r="P5" s="27">
        <f t="shared" si="0"/>
        <v>62748.517000000007</v>
      </c>
      <c r="Q5" s="27">
        <f t="shared" si="0"/>
        <v>81573.072100000005</v>
      </c>
      <c r="R5" s="28">
        <f t="shared" si="0"/>
        <v>106044.99373000002</v>
      </c>
      <c r="S5" s="21"/>
      <c r="T5" s="21"/>
      <c r="U5" s="21"/>
      <c r="V5" s="21"/>
      <c r="W5" s="21"/>
      <c r="X5" s="21"/>
      <c r="Y5" s="136"/>
      <c r="Z5" s="137"/>
    </row>
    <row r="6" spans="1:26" x14ac:dyDescent="0.15">
      <c r="A6" s="18"/>
      <c r="B6" s="25"/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98"/>
      <c r="S6" s="51"/>
      <c r="T6" s="21"/>
      <c r="U6" s="21"/>
      <c r="V6" s="21"/>
      <c r="W6" s="21"/>
      <c r="X6" s="21"/>
      <c r="Y6" s="136"/>
      <c r="Z6" s="137"/>
    </row>
    <row r="7" spans="1:26" x14ac:dyDescent="0.15">
      <c r="A7" s="18"/>
      <c r="B7" s="25" t="s">
        <v>1</v>
      </c>
      <c r="C7" s="26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f t="shared" ref="I7:R7" si="1">I5*($C$35)</f>
        <v>1000000000</v>
      </c>
      <c r="J7" s="27">
        <f t="shared" si="1"/>
        <v>1300000000</v>
      </c>
      <c r="K7" s="27">
        <f t="shared" si="1"/>
        <v>1690000000</v>
      </c>
      <c r="L7" s="27">
        <f t="shared" si="1"/>
        <v>2197000000</v>
      </c>
      <c r="M7" s="27">
        <f t="shared" si="1"/>
        <v>2856100000</v>
      </c>
      <c r="N7" s="27">
        <f t="shared" si="1"/>
        <v>3712930000.0000005</v>
      </c>
      <c r="O7" s="27">
        <f t="shared" si="1"/>
        <v>4826809000</v>
      </c>
      <c r="P7" s="27">
        <f t="shared" si="1"/>
        <v>6274851700.000001</v>
      </c>
      <c r="Q7" s="27">
        <f t="shared" si="1"/>
        <v>8157307210.000001</v>
      </c>
      <c r="R7" s="98">
        <f t="shared" si="1"/>
        <v>10604499373.000002</v>
      </c>
      <c r="S7" s="51"/>
      <c r="T7" s="21"/>
      <c r="U7" s="21"/>
      <c r="V7" s="21"/>
      <c r="W7" s="21"/>
      <c r="X7" s="21"/>
      <c r="Y7" s="136"/>
      <c r="Z7" s="137"/>
    </row>
    <row r="8" spans="1:26" x14ac:dyDescent="0.15">
      <c r="A8" s="18"/>
      <c r="B8" s="25"/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98"/>
      <c r="S8" s="51"/>
      <c r="T8" s="21"/>
      <c r="U8" s="21"/>
      <c r="V8" s="21"/>
      <c r="W8" s="21"/>
      <c r="X8" s="21"/>
      <c r="Y8" s="136"/>
      <c r="Z8" s="137"/>
    </row>
    <row r="9" spans="1:26" x14ac:dyDescent="0.15">
      <c r="A9" s="18"/>
      <c r="B9" s="25" t="s">
        <v>2</v>
      </c>
      <c r="C9" s="26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f>I5*(I36)</f>
        <v>800000000</v>
      </c>
      <c r="J9" s="27">
        <f>J5*(J36)</f>
        <v>1040000000</v>
      </c>
      <c r="K9" s="27">
        <f t="shared" ref="K9:R9" si="2">K5*(K36)</f>
        <v>1352000000</v>
      </c>
      <c r="L9" s="27">
        <f t="shared" si="2"/>
        <v>1757600000</v>
      </c>
      <c r="M9" s="27">
        <f>M5*(M36)</f>
        <v>2227758000</v>
      </c>
      <c r="N9" s="27">
        <f t="shared" si="2"/>
        <v>2896085400</v>
      </c>
      <c r="O9" s="27">
        <f t="shared" si="2"/>
        <v>3668374840.0000005</v>
      </c>
      <c r="P9" s="27">
        <f t="shared" si="2"/>
        <v>4768887292.000001</v>
      </c>
      <c r="Q9" s="27">
        <f t="shared" si="2"/>
        <v>6117980407.5</v>
      </c>
      <c r="R9" s="98">
        <f t="shared" si="2"/>
        <v>7847329536.0200014</v>
      </c>
      <c r="S9" s="51"/>
      <c r="T9" s="21"/>
      <c r="U9" s="21"/>
      <c r="V9" s="21"/>
      <c r="W9" s="21"/>
      <c r="X9" s="21"/>
      <c r="Y9" s="136"/>
      <c r="Z9" s="137"/>
    </row>
    <row r="10" spans="1:26" x14ac:dyDescent="0.15">
      <c r="A10" s="18"/>
      <c r="B10" s="25" t="s">
        <v>3</v>
      </c>
      <c r="C10" s="26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f t="shared" ref="I10:R10" si="3">I5*($C$37)</f>
        <v>10000000</v>
      </c>
      <c r="J10" s="27">
        <f t="shared" si="3"/>
        <v>13000000</v>
      </c>
      <c r="K10" s="27">
        <f t="shared" si="3"/>
        <v>16900000</v>
      </c>
      <c r="L10" s="27">
        <f t="shared" si="3"/>
        <v>21970000</v>
      </c>
      <c r="M10" s="27">
        <f t="shared" si="3"/>
        <v>28561000</v>
      </c>
      <c r="N10" s="27">
        <f t="shared" si="3"/>
        <v>37129300</v>
      </c>
      <c r="O10" s="27">
        <f t="shared" si="3"/>
        <v>48268090.000000007</v>
      </c>
      <c r="P10" s="27">
        <f t="shared" si="3"/>
        <v>62748517.000000007</v>
      </c>
      <c r="Q10" s="27">
        <f t="shared" si="3"/>
        <v>81573072.100000009</v>
      </c>
      <c r="R10" s="98">
        <f t="shared" si="3"/>
        <v>106044993.73000002</v>
      </c>
      <c r="S10" s="51"/>
      <c r="T10" s="21"/>
      <c r="U10" s="21"/>
      <c r="V10" s="21"/>
      <c r="W10" s="21"/>
      <c r="X10" s="21"/>
      <c r="Y10" s="136"/>
      <c r="Z10" s="137"/>
    </row>
    <row r="11" spans="1:26" x14ac:dyDescent="0.15">
      <c r="A11" s="18"/>
      <c r="B11" s="25" t="s">
        <v>4</v>
      </c>
      <c r="C11" s="26">
        <v>0</v>
      </c>
      <c r="D11" s="107">
        <v>0</v>
      </c>
      <c r="E11" s="107">
        <v>0</v>
      </c>
      <c r="F11" s="107">
        <v>0</v>
      </c>
      <c r="G11" s="107">
        <v>0</v>
      </c>
      <c r="H11" s="107">
        <v>0</v>
      </c>
      <c r="I11" s="107">
        <f>I9+I10</f>
        <v>810000000</v>
      </c>
      <c r="J11" s="107">
        <f t="shared" ref="J11:R11" si="4">J9+J10</f>
        <v>1053000000</v>
      </c>
      <c r="K11" s="107">
        <f t="shared" si="4"/>
        <v>1368900000</v>
      </c>
      <c r="L11" s="107">
        <f t="shared" si="4"/>
        <v>1779570000</v>
      </c>
      <c r="M11" s="107">
        <f t="shared" si="4"/>
        <v>2256319000</v>
      </c>
      <c r="N11" s="107">
        <f t="shared" si="4"/>
        <v>2933214700</v>
      </c>
      <c r="O11" s="107">
        <f t="shared" si="4"/>
        <v>3716642930.0000005</v>
      </c>
      <c r="P11" s="107">
        <f t="shared" si="4"/>
        <v>4831635809.000001</v>
      </c>
      <c r="Q11" s="107">
        <f t="shared" si="4"/>
        <v>6199553479.6000004</v>
      </c>
      <c r="R11" s="108">
        <f t="shared" si="4"/>
        <v>7953374529.7500019</v>
      </c>
      <c r="S11" s="51"/>
      <c r="T11" s="21"/>
      <c r="U11" s="21"/>
      <c r="V11" s="21"/>
      <c r="W11" s="21"/>
      <c r="X11" s="21"/>
      <c r="Y11" s="136"/>
      <c r="Z11" s="137"/>
    </row>
    <row r="12" spans="1:26" x14ac:dyDescent="0.15">
      <c r="A12" s="18"/>
      <c r="B12" s="25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98"/>
      <c r="S12" s="51"/>
      <c r="T12" s="21"/>
      <c r="U12" s="21"/>
      <c r="V12" s="21"/>
      <c r="W12" s="21"/>
      <c r="X12" s="21"/>
      <c r="Y12" s="136"/>
      <c r="Z12" s="137"/>
    </row>
    <row r="13" spans="1:26" x14ac:dyDescent="0.15">
      <c r="A13" s="18"/>
      <c r="B13" s="29" t="s">
        <v>5</v>
      </c>
      <c r="C13" s="30">
        <v>0</v>
      </c>
      <c r="D13" s="107">
        <v>0</v>
      </c>
      <c r="E13" s="107">
        <v>0</v>
      </c>
      <c r="F13" s="107">
        <v>0</v>
      </c>
      <c r="G13" s="107">
        <v>0</v>
      </c>
      <c r="H13" s="107">
        <v>0</v>
      </c>
      <c r="I13" s="27">
        <f>I7-I11</f>
        <v>190000000</v>
      </c>
      <c r="J13" s="107">
        <f t="shared" ref="J13:R13" si="5">J7-J11</f>
        <v>247000000</v>
      </c>
      <c r="K13" s="107">
        <f t="shared" si="5"/>
        <v>321100000</v>
      </c>
      <c r="L13" s="107">
        <f t="shared" si="5"/>
        <v>417430000</v>
      </c>
      <c r="M13" s="107">
        <f t="shared" si="5"/>
        <v>599781000</v>
      </c>
      <c r="N13" s="107">
        <f t="shared" si="5"/>
        <v>779715300.00000048</v>
      </c>
      <c r="O13" s="107">
        <f t="shared" si="5"/>
        <v>1110166069.9999995</v>
      </c>
      <c r="P13" s="107">
        <f t="shared" si="5"/>
        <v>1443215891</v>
      </c>
      <c r="Q13" s="27">
        <f t="shared" si="5"/>
        <v>1957753730.4000006</v>
      </c>
      <c r="R13" s="98">
        <f t="shared" si="5"/>
        <v>2651124843.25</v>
      </c>
      <c r="S13" s="51"/>
      <c r="T13" s="21"/>
      <c r="U13" s="21"/>
      <c r="V13" s="21"/>
      <c r="W13" s="21"/>
      <c r="X13" s="21"/>
      <c r="Y13" s="136"/>
      <c r="Z13" s="137"/>
    </row>
    <row r="14" spans="1:26" x14ac:dyDescent="0.15">
      <c r="A14" s="18"/>
      <c r="B14" s="25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98"/>
      <c r="S14" s="51"/>
      <c r="T14" s="21"/>
      <c r="U14" s="21"/>
      <c r="V14" s="21"/>
      <c r="W14" s="21"/>
      <c r="X14" s="21"/>
      <c r="Y14" s="136"/>
      <c r="Z14" s="137"/>
    </row>
    <row r="15" spans="1:26" x14ac:dyDescent="0.15">
      <c r="A15" s="18"/>
      <c r="B15" s="25" t="s">
        <v>6</v>
      </c>
      <c r="C15" s="26">
        <v>0</v>
      </c>
      <c r="D15" s="27">
        <v>160000000</v>
      </c>
      <c r="E15" s="27">
        <f t="shared" ref="E15:R15" si="6">D15*(1+$C$39)</f>
        <v>168000000</v>
      </c>
      <c r="F15" s="27">
        <f t="shared" si="6"/>
        <v>176400000</v>
      </c>
      <c r="G15" s="27">
        <f t="shared" si="6"/>
        <v>185220000</v>
      </c>
      <c r="H15" s="27">
        <f t="shared" si="6"/>
        <v>194481000</v>
      </c>
      <c r="I15" s="27">
        <f t="shared" si="6"/>
        <v>204205050</v>
      </c>
      <c r="J15" s="27">
        <f t="shared" si="6"/>
        <v>214415302.5</v>
      </c>
      <c r="K15" s="27">
        <f t="shared" si="6"/>
        <v>225136067.625</v>
      </c>
      <c r="L15" s="27">
        <f t="shared" si="6"/>
        <v>236392871.00625002</v>
      </c>
      <c r="M15" s="27">
        <f t="shared" si="6"/>
        <v>248212514.55656254</v>
      </c>
      <c r="N15" s="27">
        <f t="shared" si="6"/>
        <v>260623140.28439069</v>
      </c>
      <c r="O15" s="27">
        <f t="shared" si="6"/>
        <v>273654297.29861021</v>
      </c>
      <c r="P15" s="27">
        <f t="shared" si="6"/>
        <v>287337012.16354072</v>
      </c>
      <c r="Q15" s="27">
        <f t="shared" si="6"/>
        <v>301703862.77171779</v>
      </c>
      <c r="R15" s="98">
        <f t="shared" si="6"/>
        <v>316789055.91030371</v>
      </c>
      <c r="S15" s="51"/>
      <c r="T15" s="21"/>
      <c r="U15" s="21"/>
      <c r="V15" s="21"/>
      <c r="W15" s="21"/>
      <c r="X15" s="21"/>
      <c r="Y15" s="136"/>
      <c r="Z15" s="137"/>
    </row>
    <row r="16" spans="1:26" x14ac:dyDescent="0.15">
      <c r="A16" s="18"/>
      <c r="B16" s="25" t="s">
        <v>7</v>
      </c>
      <c r="C16" s="26">
        <v>0</v>
      </c>
      <c r="D16" s="31">
        <f>$C$41</f>
        <v>150000000</v>
      </c>
      <c r="E16" s="31">
        <f t="shared" ref="E16:R16" si="7">$C$41</f>
        <v>150000000</v>
      </c>
      <c r="F16" s="31">
        <f t="shared" si="7"/>
        <v>150000000</v>
      </c>
      <c r="G16" s="31">
        <f t="shared" si="7"/>
        <v>150000000</v>
      </c>
      <c r="H16" s="31">
        <f t="shared" si="7"/>
        <v>150000000</v>
      </c>
      <c r="I16" s="31">
        <f t="shared" si="7"/>
        <v>150000000</v>
      </c>
      <c r="J16" s="31">
        <f t="shared" si="7"/>
        <v>150000000</v>
      </c>
      <c r="K16" s="31">
        <f t="shared" si="7"/>
        <v>150000000</v>
      </c>
      <c r="L16" s="31">
        <f t="shared" si="7"/>
        <v>150000000</v>
      </c>
      <c r="M16" s="31">
        <f t="shared" si="7"/>
        <v>150000000</v>
      </c>
      <c r="N16" s="31">
        <f t="shared" si="7"/>
        <v>150000000</v>
      </c>
      <c r="O16" s="31">
        <f t="shared" si="7"/>
        <v>150000000</v>
      </c>
      <c r="P16" s="31">
        <f t="shared" si="7"/>
        <v>150000000</v>
      </c>
      <c r="Q16" s="31">
        <f t="shared" si="7"/>
        <v>150000000</v>
      </c>
      <c r="R16" s="240">
        <f t="shared" si="7"/>
        <v>150000000</v>
      </c>
      <c r="S16" s="51"/>
      <c r="T16" s="21"/>
      <c r="U16" s="21"/>
      <c r="V16" s="21"/>
      <c r="W16" s="21"/>
      <c r="X16" s="21"/>
      <c r="Y16" s="136"/>
      <c r="Z16" s="137"/>
    </row>
    <row r="17" spans="1:26" x14ac:dyDescent="0.15">
      <c r="A17" s="18"/>
      <c r="B17" s="25"/>
      <c r="C17" s="26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1"/>
      <c r="S17" s="51"/>
      <c r="T17" s="21"/>
      <c r="U17" s="21"/>
      <c r="V17" s="21"/>
      <c r="W17" s="21"/>
      <c r="X17" s="21"/>
      <c r="Y17" s="136"/>
      <c r="Z17" s="137"/>
    </row>
    <row r="18" spans="1:26" x14ac:dyDescent="0.15">
      <c r="A18" s="18"/>
      <c r="B18" s="29" t="s">
        <v>8</v>
      </c>
      <c r="C18" s="102">
        <f t="shared" ref="C18:R18" si="8">C13-C15-C16</f>
        <v>0</v>
      </c>
      <c r="D18" s="103">
        <f t="shared" si="8"/>
        <v>-310000000</v>
      </c>
      <c r="E18" s="103">
        <f t="shared" si="8"/>
        <v>-318000000</v>
      </c>
      <c r="F18" s="103">
        <f t="shared" si="8"/>
        <v>-326400000</v>
      </c>
      <c r="G18" s="103">
        <f t="shared" si="8"/>
        <v>-335220000</v>
      </c>
      <c r="H18" s="103">
        <f t="shared" si="8"/>
        <v>-344481000</v>
      </c>
      <c r="I18" s="103">
        <f>I13-I15-I16</f>
        <v>-164205050</v>
      </c>
      <c r="J18" s="103">
        <f t="shared" si="8"/>
        <v>-117415302.5</v>
      </c>
      <c r="K18" s="103">
        <f t="shared" si="8"/>
        <v>-54036067.625</v>
      </c>
      <c r="L18" s="103">
        <f t="shared" si="8"/>
        <v>31037128.993749976</v>
      </c>
      <c r="M18" s="103">
        <f t="shared" si="8"/>
        <v>201568485.44343746</v>
      </c>
      <c r="N18" s="103">
        <f t="shared" si="8"/>
        <v>369092159.71560979</v>
      </c>
      <c r="O18" s="103">
        <f t="shared" si="8"/>
        <v>686511772.70138931</v>
      </c>
      <c r="P18" s="103">
        <f t="shared" si="8"/>
        <v>1005878878.8364592</v>
      </c>
      <c r="Q18" s="103">
        <f t="shared" si="8"/>
        <v>1506049867.6282828</v>
      </c>
      <c r="R18" s="104">
        <f t="shared" si="8"/>
        <v>2184335787.3396964</v>
      </c>
      <c r="S18" s="51"/>
      <c r="T18" s="21"/>
      <c r="U18" s="21"/>
      <c r="V18" s="21"/>
      <c r="W18" s="21"/>
      <c r="X18" s="21"/>
      <c r="Y18" s="136"/>
      <c r="Z18" s="137"/>
    </row>
    <row r="19" spans="1:26" x14ac:dyDescent="0.15">
      <c r="A19" s="18"/>
      <c r="B19" s="29" t="s">
        <v>9</v>
      </c>
      <c r="C19" s="30">
        <v>0</v>
      </c>
      <c r="D19" s="31">
        <v>5000000</v>
      </c>
      <c r="E19" s="31">
        <v>5000000</v>
      </c>
      <c r="F19" s="31">
        <v>5000000</v>
      </c>
      <c r="G19" s="31">
        <v>5000000</v>
      </c>
      <c r="H19" s="31">
        <v>5000000</v>
      </c>
      <c r="I19" s="31">
        <v>5000000</v>
      </c>
      <c r="J19" s="31">
        <v>5000000</v>
      </c>
      <c r="K19" s="31">
        <v>5000000</v>
      </c>
      <c r="L19" s="31">
        <v>5000000</v>
      </c>
      <c r="M19" s="31">
        <v>5000000</v>
      </c>
      <c r="N19" s="31">
        <v>5000000</v>
      </c>
      <c r="O19" s="31">
        <v>5000000</v>
      </c>
      <c r="P19" s="31">
        <v>5000000</v>
      </c>
      <c r="Q19" s="31">
        <v>5000000</v>
      </c>
      <c r="R19" s="99">
        <v>5000000</v>
      </c>
      <c r="S19" s="51"/>
      <c r="T19" s="21"/>
      <c r="U19" s="21"/>
      <c r="V19" s="21"/>
      <c r="W19" s="21"/>
      <c r="X19" s="21"/>
      <c r="Y19" s="136"/>
      <c r="Z19" s="137"/>
    </row>
    <row r="20" spans="1:26" x14ac:dyDescent="0.15">
      <c r="A20" s="18"/>
      <c r="B20" s="29" t="s">
        <v>10</v>
      </c>
      <c r="C20" s="30">
        <v>0</v>
      </c>
      <c r="D20" s="107">
        <v>0</v>
      </c>
      <c r="E20" s="107">
        <v>0</v>
      </c>
      <c r="F20" s="107">
        <v>0</v>
      </c>
      <c r="G20" s="107">
        <v>0</v>
      </c>
      <c r="H20" s="107">
        <v>0</v>
      </c>
      <c r="I20" s="107">
        <f t="shared" ref="I20:R20" si="9">(I18-I19)*0.25</f>
        <v>-42301262.5</v>
      </c>
      <c r="J20" s="107">
        <f t="shared" si="9"/>
        <v>-30603825.625</v>
      </c>
      <c r="K20" s="107">
        <f t="shared" si="9"/>
        <v>-14759016.90625</v>
      </c>
      <c r="L20" s="107">
        <f t="shared" si="9"/>
        <v>6509282.248437494</v>
      </c>
      <c r="M20" s="107">
        <f t="shared" si="9"/>
        <v>49142121.360859364</v>
      </c>
      <c r="N20" s="107">
        <f t="shared" si="9"/>
        <v>91023039.928902447</v>
      </c>
      <c r="O20" s="107">
        <f t="shared" si="9"/>
        <v>170377943.17534733</v>
      </c>
      <c r="P20" s="107">
        <f t="shared" si="9"/>
        <v>250219719.70911479</v>
      </c>
      <c r="Q20" s="107">
        <f t="shared" si="9"/>
        <v>375262466.9070707</v>
      </c>
      <c r="R20" s="108">
        <f t="shared" si="9"/>
        <v>544833946.8349241</v>
      </c>
      <c r="S20" s="51"/>
      <c r="T20" s="21"/>
      <c r="U20" s="21"/>
      <c r="V20" s="21"/>
      <c r="W20" s="21"/>
      <c r="X20" s="21"/>
      <c r="Y20" s="136"/>
      <c r="Z20" s="137"/>
    </row>
    <row r="21" spans="1:26" x14ac:dyDescent="0.15">
      <c r="A21" s="18"/>
      <c r="B21" s="25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98"/>
      <c r="S21" s="51"/>
      <c r="T21" s="21"/>
      <c r="U21" s="21"/>
      <c r="V21" s="21"/>
      <c r="W21" s="21"/>
      <c r="X21" s="21"/>
      <c r="Y21" s="136"/>
      <c r="Z21" s="137"/>
    </row>
    <row r="22" spans="1:26" x14ac:dyDescent="0.15">
      <c r="A22" s="18"/>
      <c r="B22" s="29" t="s">
        <v>11</v>
      </c>
      <c r="C22" s="30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f t="shared" ref="I22:R22" si="10">I7*($C$42)</f>
        <v>50000000</v>
      </c>
      <c r="J22" s="27">
        <f t="shared" si="10"/>
        <v>65000000</v>
      </c>
      <c r="K22" s="27">
        <f t="shared" si="10"/>
        <v>84500000</v>
      </c>
      <c r="L22" s="27">
        <f t="shared" si="10"/>
        <v>109850000</v>
      </c>
      <c r="M22" s="27">
        <f t="shared" si="10"/>
        <v>142805000</v>
      </c>
      <c r="N22" s="27">
        <f t="shared" si="10"/>
        <v>185646500.00000003</v>
      </c>
      <c r="O22" s="27">
        <f t="shared" si="10"/>
        <v>241340450</v>
      </c>
      <c r="P22" s="27">
        <f t="shared" si="10"/>
        <v>313742585.00000006</v>
      </c>
      <c r="Q22" s="27">
        <f t="shared" si="10"/>
        <v>407865360.50000006</v>
      </c>
      <c r="R22" s="98">
        <f t="shared" si="10"/>
        <v>530224968.6500001</v>
      </c>
      <c r="S22" s="51"/>
      <c r="T22" s="21"/>
      <c r="U22" s="21"/>
      <c r="V22" s="21"/>
      <c r="W22" s="21"/>
      <c r="X22" s="21"/>
      <c r="Y22" s="136"/>
      <c r="Z22" s="137"/>
    </row>
    <row r="23" spans="1:26" x14ac:dyDescent="0.15">
      <c r="A23" s="18"/>
      <c r="B23" s="29" t="s">
        <v>12</v>
      </c>
      <c r="C23" s="30">
        <v>0</v>
      </c>
      <c r="D23" s="27">
        <v>0</v>
      </c>
      <c r="E23" s="107">
        <v>0</v>
      </c>
      <c r="F23" s="107">
        <v>0</v>
      </c>
      <c r="G23" s="107">
        <v>0</v>
      </c>
      <c r="H23" s="107">
        <v>0</v>
      </c>
      <c r="I23" s="107">
        <f>I22-H22</f>
        <v>50000000</v>
      </c>
      <c r="J23" s="107">
        <f t="shared" ref="J23:R23" si="11">J22-I22</f>
        <v>15000000</v>
      </c>
      <c r="K23" s="107">
        <f t="shared" si="11"/>
        <v>19500000</v>
      </c>
      <c r="L23" s="107">
        <f t="shared" si="11"/>
        <v>25350000</v>
      </c>
      <c r="M23" s="107">
        <f t="shared" si="11"/>
        <v>32955000</v>
      </c>
      <c r="N23" s="107">
        <f t="shared" si="11"/>
        <v>42841500.00000003</v>
      </c>
      <c r="O23" s="107">
        <f t="shared" si="11"/>
        <v>55693949.99999997</v>
      </c>
      <c r="P23" s="107">
        <f t="shared" si="11"/>
        <v>72402135.00000006</v>
      </c>
      <c r="Q23" s="107">
        <f t="shared" si="11"/>
        <v>94122775.5</v>
      </c>
      <c r="R23" s="108">
        <f t="shared" si="11"/>
        <v>122359608.15000004</v>
      </c>
      <c r="S23" s="51"/>
      <c r="T23" s="21"/>
      <c r="U23" s="21"/>
      <c r="V23" s="21"/>
      <c r="W23" s="21"/>
      <c r="X23" s="21"/>
      <c r="Y23" s="136"/>
      <c r="Z23" s="137"/>
    </row>
    <row r="24" spans="1:26" x14ac:dyDescent="0.15">
      <c r="A24" s="18"/>
      <c r="B24" s="29" t="s">
        <v>13</v>
      </c>
      <c r="C24" s="30">
        <v>0</v>
      </c>
      <c r="D24" s="31">
        <f>$C$43</f>
        <v>40000000</v>
      </c>
      <c r="E24" s="31">
        <f t="shared" ref="E24:H24" si="12">$C$43</f>
        <v>40000000</v>
      </c>
      <c r="F24" s="31">
        <f t="shared" si="12"/>
        <v>40000000</v>
      </c>
      <c r="G24" s="31">
        <f t="shared" si="12"/>
        <v>40000000</v>
      </c>
      <c r="H24" s="31">
        <f t="shared" si="12"/>
        <v>40000000</v>
      </c>
      <c r="I24" s="31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98">
        <v>0</v>
      </c>
      <c r="S24" s="51"/>
      <c r="T24" s="21"/>
      <c r="U24" s="21"/>
      <c r="V24" s="21"/>
      <c r="W24" s="21"/>
      <c r="X24" s="21"/>
      <c r="Y24" s="136"/>
      <c r="Z24" s="137"/>
    </row>
    <row r="25" spans="1:26" x14ac:dyDescent="0.15">
      <c r="A25" s="18"/>
      <c r="B25" s="25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98"/>
      <c r="S25" s="51"/>
      <c r="T25" s="21"/>
      <c r="U25" s="21"/>
      <c r="V25" s="21"/>
      <c r="W25" s="21"/>
      <c r="X25" s="21"/>
      <c r="Y25" s="136"/>
      <c r="Z25" s="137"/>
    </row>
    <row r="26" spans="1:26" x14ac:dyDescent="0.15">
      <c r="A26" s="18"/>
      <c r="B26" s="29" t="s">
        <v>14</v>
      </c>
      <c r="C26" s="30">
        <v>0</v>
      </c>
      <c r="D26" s="27">
        <f>D18+D19-D20-D23-D24</f>
        <v>-345000000</v>
      </c>
      <c r="E26" s="27">
        <f t="shared" ref="E26:R26" si="13">E18+E19-E20-E23-E24</f>
        <v>-353000000</v>
      </c>
      <c r="F26" s="27">
        <f t="shared" si="13"/>
        <v>-361400000</v>
      </c>
      <c r="G26" s="27">
        <f t="shared" si="13"/>
        <v>-370220000</v>
      </c>
      <c r="H26" s="27">
        <f t="shared" si="13"/>
        <v>-379481000</v>
      </c>
      <c r="I26" s="27">
        <f t="shared" si="13"/>
        <v>-166903787.5</v>
      </c>
      <c r="J26" s="27">
        <f t="shared" si="13"/>
        <v>-96811476.875</v>
      </c>
      <c r="K26" s="27">
        <f t="shared" si="13"/>
        <v>-53777050.71875</v>
      </c>
      <c r="L26" s="27">
        <f t="shared" si="13"/>
        <v>4177846.7453124821</v>
      </c>
      <c r="M26" s="27">
        <f t="shared" si="13"/>
        <v>124471364.08257809</v>
      </c>
      <c r="N26" s="27">
        <f t="shared" si="13"/>
        <v>240227619.78670731</v>
      </c>
      <c r="O26" s="27">
        <f t="shared" si="13"/>
        <v>465439879.52604198</v>
      </c>
      <c r="P26" s="27">
        <f t="shared" si="13"/>
        <v>688257024.12734437</v>
      </c>
      <c r="Q26" s="27">
        <f t="shared" si="13"/>
        <v>1041664625.2212121</v>
      </c>
      <c r="R26" s="98">
        <f t="shared" si="13"/>
        <v>1522142232.3547721</v>
      </c>
      <c r="S26" s="51"/>
      <c r="T26" s="21"/>
      <c r="U26" s="21"/>
      <c r="V26" s="21"/>
      <c r="W26" s="21"/>
      <c r="X26" s="21"/>
      <c r="Y26" s="136"/>
      <c r="Z26" s="137"/>
    </row>
    <row r="27" spans="1:26" x14ac:dyDescent="0.15">
      <c r="A27" s="18"/>
      <c r="B27" s="32" t="s">
        <v>15</v>
      </c>
      <c r="C27" s="33">
        <v>0</v>
      </c>
      <c r="D27" s="34">
        <f t="shared" ref="D27:Q27" si="14">C27+D26</f>
        <v>-345000000</v>
      </c>
      <c r="E27" s="34">
        <f t="shared" si="14"/>
        <v>-698000000</v>
      </c>
      <c r="F27" s="114">
        <f t="shared" si="14"/>
        <v>-1059400000</v>
      </c>
      <c r="G27" s="114">
        <f t="shared" si="14"/>
        <v>-1429620000</v>
      </c>
      <c r="H27" s="114">
        <f t="shared" si="14"/>
        <v>-1809101000</v>
      </c>
      <c r="I27" s="114">
        <f t="shared" si="14"/>
        <v>-1976004787.5</v>
      </c>
      <c r="J27" s="34">
        <f t="shared" si="14"/>
        <v>-2072816264.375</v>
      </c>
      <c r="K27" s="114">
        <f t="shared" si="14"/>
        <v>-2126593315.09375</v>
      </c>
      <c r="L27" s="114">
        <f>K27+L26</f>
        <v>-2122415468.3484375</v>
      </c>
      <c r="M27" s="114">
        <f t="shared" si="14"/>
        <v>-1997944104.2658594</v>
      </c>
      <c r="N27" s="34">
        <f t="shared" si="14"/>
        <v>-1757716484.479152</v>
      </c>
      <c r="O27" s="114">
        <f t="shared" si="14"/>
        <v>-1292276604.95311</v>
      </c>
      <c r="P27" s="114">
        <f t="shared" si="14"/>
        <v>-604019580.82576561</v>
      </c>
      <c r="Q27" s="114">
        <f t="shared" si="14"/>
        <v>437645044.39544654</v>
      </c>
      <c r="R27" s="242">
        <f>Q27+R26</f>
        <v>1959787276.7502186</v>
      </c>
      <c r="S27" s="21"/>
      <c r="T27" s="21"/>
      <c r="U27" s="21"/>
      <c r="V27" s="21"/>
      <c r="W27" s="21"/>
      <c r="X27" s="21"/>
      <c r="Y27" s="136"/>
      <c r="Z27" s="137"/>
    </row>
    <row r="28" spans="1:26" x14ac:dyDescent="0.15">
      <c r="A28" s="36"/>
      <c r="B28" s="37"/>
      <c r="C28" s="37"/>
      <c r="D28" s="37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136"/>
      <c r="Z28" s="137"/>
    </row>
    <row r="29" spans="1:26" ht="13" x14ac:dyDescent="0.15">
      <c r="A29" s="138"/>
      <c r="B29" s="143" t="s">
        <v>39</v>
      </c>
      <c r="C29" s="140"/>
      <c r="D29" s="8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136"/>
      <c r="Z29" s="137"/>
    </row>
    <row r="30" spans="1:26" x14ac:dyDescent="0.15">
      <c r="A30" s="18"/>
      <c r="B30" s="21" t="s">
        <v>33</v>
      </c>
      <c r="C30" s="21"/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136"/>
      <c r="Z30" s="137"/>
    </row>
    <row r="31" spans="1:26" x14ac:dyDescent="0.15">
      <c r="A31" s="18"/>
      <c r="B31" s="251" t="s">
        <v>17</v>
      </c>
      <c r="C31" s="252"/>
      <c r="D31" s="42"/>
      <c r="E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136"/>
      <c r="Z31" s="137"/>
    </row>
    <row r="32" spans="1:26" x14ac:dyDescent="0.15">
      <c r="A32" s="18"/>
      <c r="B32" s="37" t="s">
        <v>18</v>
      </c>
      <c r="C32" s="37"/>
      <c r="D32" s="42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136"/>
      <c r="Z32" s="137"/>
    </row>
    <row r="33" spans="1:26" x14ac:dyDescent="0.15">
      <c r="A33" s="18"/>
      <c r="B33" s="21" t="s">
        <v>19</v>
      </c>
      <c r="C33" s="43">
        <f>20000*50%</f>
        <v>10000</v>
      </c>
      <c r="D33" s="22" t="s">
        <v>20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136"/>
      <c r="Z33" s="137"/>
    </row>
    <row r="34" spans="1:26" x14ac:dyDescent="0.15">
      <c r="A34" s="18"/>
      <c r="B34" s="21" t="s">
        <v>21</v>
      </c>
      <c r="C34" s="44">
        <v>0.3</v>
      </c>
      <c r="D34" s="22"/>
      <c r="E34" s="21"/>
      <c r="F34" s="21"/>
      <c r="G34" s="21"/>
      <c r="H34" s="21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21"/>
      <c r="T34" s="21"/>
      <c r="U34" s="21"/>
      <c r="V34" s="21"/>
      <c r="W34" s="21"/>
      <c r="X34" s="21"/>
      <c r="Y34" s="136"/>
      <c r="Z34" s="137"/>
    </row>
    <row r="35" spans="1:26" x14ac:dyDescent="0.15">
      <c r="A35" s="18"/>
      <c r="B35" s="21" t="s">
        <v>22</v>
      </c>
      <c r="C35" s="45">
        <v>100000</v>
      </c>
      <c r="D35" s="22"/>
      <c r="E35" s="21"/>
      <c r="F35" s="21"/>
      <c r="G35" s="21"/>
      <c r="H35" s="22"/>
      <c r="I35" s="37">
        <v>2030</v>
      </c>
      <c r="J35" s="37">
        <v>2031</v>
      </c>
      <c r="K35" s="37">
        <v>2032</v>
      </c>
      <c r="L35" s="37">
        <v>2033</v>
      </c>
      <c r="M35" s="37">
        <v>2034</v>
      </c>
      <c r="N35" s="37">
        <v>2035</v>
      </c>
      <c r="O35" s="37">
        <v>2036</v>
      </c>
      <c r="P35" s="37">
        <v>2037</v>
      </c>
      <c r="Q35" s="37">
        <v>2038</v>
      </c>
      <c r="R35" s="42">
        <v>2039</v>
      </c>
      <c r="S35" s="21"/>
      <c r="T35" s="21"/>
      <c r="U35" s="21"/>
      <c r="V35" s="21"/>
      <c r="W35" s="21"/>
      <c r="X35" s="21"/>
      <c r="Y35" s="136"/>
      <c r="Z35" s="137"/>
    </row>
    <row r="36" spans="1:26" x14ac:dyDescent="0.15">
      <c r="A36" s="18"/>
      <c r="B36" s="21" t="s">
        <v>23</v>
      </c>
      <c r="C36" s="21"/>
      <c r="D36" s="22"/>
      <c r="E36" s="21"/>
      <c r="F36" s="21"/>
      <c r="G36" s="21"/>
      <c r="H36" s="22"/>
      <c r="I36" s="34">
        <v>80000</v>
      </c>
      <c r="J36" s="34">
        <v>80000</v>
      </c>
      <c r="K36" s="34">
        <v>80000</v>
      </c>
      <c r="L36" s="34">
        <v>80000</v>
      </c>
      <c r="M36" s="34">
        <v>78000</v>
      </c>
      <c r="N36" s="34">
        <v>78000</v>
      </c>
      <c r="O36" s="34">
        <v>76000</v>
      </c>
      <c r="P36" s="34">
        <v>76000</v>
      </c>
      <c r="Q36" s="34">
        <v>75000</v>
      </c>
      <c r="R36" s="35">
        <v>74000</v>
      </c>
      <c r="S36" s="21"/>
      <c r="T36" s="21"/>
      <c r="U36" s="21"/>
      <c r="V36" s="21"/>
      <c r="W36" s="21"/>
      <c r="X36" s="21"/>
      <c r="Y36" s="136"/>
      <c r="Z36" s="137"/>
    </row>
    <row r="37" spans="1:26" x14ac:dyDescent="0.15">
      <c r="A37" s="18"/>
      <c r="B37" s="21" t="s">
        <v>24</v>
      </c>
      <c r="C37" s="45">
        <v>1000</v>
      </c>
      <c r="D37" s="22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136"/>
      <c r="Z37" s="137"/>
    </row>
    <row r="38" spans="1:26" x14ac:dyDescent="0.15">
      <c r="A38" s="18"/>
      <c r="B38" s="21" t="s">
        <v>25</v>
      </c>
      <c r="C38" s="45">
        <v>160000000</v>
      </c>
      <c r="D38" s="22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6"/>
      <c r="Z38" s="137"/>
    </row>
    <row r="39" spans="1:26" x14ac:dyDescent="0.15">
      <c r="A39" s="18"/>
      <c r="B39" s="21" t="s">
        <v>26</v>
      </c>
      <c r="C39" s="44">
        <v>0.05</v>
      </c>
      <c r="D39" s="22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136"/>
      <c r="Z39" s="137"/>
    </row>
    <row r="40" spans="1:26" x14ac:dyDescent="0.15">
      <c r="A40" s="18"/>
      <c r="B40" s="21" t="s">
        <v>9</v>
      </c>
      <c r="C40" s="45">
        <v>5000000</v>
      </c>
      <c r="D40" s="22" t="s">
        <v>27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136"/>
      <c r="Z40" s="137"/>
    </row>
    <row r="41" spans="1:26" x14ac:dyDescent="0.15">
      <c r="A41" s="18"/>
      <c r="B41" s="21" t="s">
        <v>7</v>
      </c>
      <c r="C41" s="45">
        <v>150000000</v>
      </c>
      <c r="D41" s="22" t="s">
        <v>27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6"/>
      <c r="Z41" s="137"/>
    </row>
    <row r="42" spans="1:26" x14ac:dyDescent="0.15">
      <c r="A42" s="18"/>
      <c r="B42" s="21" t="s">
        <v>28</v>
      </c>
      <c r="C42" s="44">
        <v>0.05</v>
      </c>
      <c r="D42" s="22" t="s">
        <v>29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136"/>
      <c r="Z42" s="137"/>
    </row>
    <row r="43" spans="1:26" x14ac:dyDescent="0.15">
      <c r="A43" s="18"/>
      <c r="B43" s="21" t="s">
        <v>13</v>
      </c>
      <c r="C43" s="45">
        <v>40000000</v>
      </c>
      <c r="D43" s="22" t="s">
        <v>27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136"/>
      <c r="Z43" s="137"/>
    </row>
    <row r="44" spans="1:26" x14ac:dyDescent="0.15">
      <c r="A44" s="18"/>
      <c r="B44" s="21" t="s">
        <v>30</v>
      </c>
      <c r="C44" s="44">
        <v>0.25</v>
      </c>
      <c r="D44" s="22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136"/>
      <c r="Z44" s="137"/>
    </row>
    <row r="45" spans="1:26" x14ac:dyDescent="0.15">
      <c r="A45" s="18"/>
      <c r="B45" s="37" t="s">
        <v>31</v>
      </c>
      <c r="C45" s="46">
        <v>0.15</v>
      </c>
      <c r="D45" s="42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6"/>
      <c r="Z45" s="137"/>
    </row>
    <row r="46" spans="1:26" x14ac:dyDescent="0.15">
      <c r="A46" s="36"/>
      <c r="B46" s="37"/>
      <c r="C46" s="37"/>
      <c r="D46" s="37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6"/>
      <c r="Z46" s="137"/>
    </row>
    <row r="47" spans="1:26" x14ac:dyDescent="0.15">
      <c r="A47" s="18"/>
      <c r="B47" s="37" t="s">
        <v>32</v>
      </c>
      <c r="C47" s="47">
        <f>NPV($C$45,D26:R26)+C26</f>
        <v>-714295318.74010551</v>
      </c>
      <c r="D47" s="42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136"/>
      <c r="Z47" s="137"/>
    </row>
    <row r="48" spans="1:26" x14ac:dyDescent="0.15">
      <c r="A48" s="36"/>
      <c r="B48" s="21"/>
      <c r="C48" s="45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136"/>
      <c r="Z48" s="137"/>
    </row>
    <row r="49" spans="1:26" x14ac:dyDescent="0.15">
      <c r="A49" s="36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136"/>
      <c r="Z49" s="137"/>
    </row>
    <row r="50" spans="1:26" x14ac:dyDescent="0.15">
      <c r="A50" s="36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6"/>
      <c r="Z50" s="137"/>
    </row>
    <row r="51" spans="1:26" x14ac:dyDescent="0.15">
      <c r="A51" s="36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6"/>
      <c r="Z51" s="137"/>
    </row>
    <row r="52" spans="1:26" x14ac:dyDescent="0.15">
      <c r="A52" s="36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6"/>
      <c r="Z52" s="137"/>
    </row>
    <row r="53" spans="1:26" x14ac:dyDescent="0.15">
      <c r="A53" s="36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136"/>
      <c r="Z53" s="137"/>
    </row>
    <row r="54" spans="1:26" x14ac:dyDescent="0.15">
      <c r="A54" s="36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136"/>
      <c r="Z54" s="137"/>
    </row>
    <row r="55" spans="1:26" x14ac:dyDescent="0.15">
      <c r="A55" s="36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136"/>
      <c r="Z55" s="137"/>
    </row>
    <row r="56" spans="1:26" x14ac:dyDescent="0.15">
      <c r="A56" s="36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136"/>
      <c r="Z56" s="137"/>
    </row>
    <row r="57" spans="1:26" x14ac:dyDescent="0.15">
      <c r="A57" s="36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136"/>
      <c r="Z57" s="137"/>
    </row>
    <row r="58" spans="1:26" x14ac:dyDescent="0.15">
      <c r="A58" s="36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136"/>
      <c r="Z58" s="137"/>
    </row>
    <row r="59" spans="1:26" x14ac:dyDescent="0.15">
      <c r="A59" s="36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6"/>
      <c r="Z59" s="137"/>
    </row>
    <row r="60" spans="1:26" x14ac:dyDescent="0.15">
      <c r="A60" s="36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136"/>
      <c r="Z60" s="137"/>
    </row>
    <row r="61" spans="1:26" x14ac:dyDescent="0.15">
      <c r="A61" s="36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136"/>
      <c r="Z61" s="137"/>
    </row>
    <row r="62" spans="1:26" x14ac:dyDescent="0.15">
      <c r="A62" s="36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136"/>
      <c r="Z62" s="137"/>
    </row>
    <row r="63" spans="1:26" x14ac:dyDescent="0.15">
      <c r="A63" s="36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6"/>
      <c r="Z63" s="137"/>
    </row>
    <row r="64" spans="1:26" x14ac:dyDescent="0.15">
      <c r="A64" s="36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136"/>
      <c r="Z64" s="137"/>
    </row>
    <row r="65" spans="1:26" x14ac:dyDescent="0.15">
      <c r="A65" s="36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136"/>
      <c r="Z65" s="137"/>
    </row>
    <row r="66" spans="1:26" x14ac:dyDescent="0.15">
      <c r="A66" s="36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136"/>
      <c r="Z66" s="137"/>
    </row>
    <row r="67" spans="1:26" x14ac:dyDescent="0.15">
      <c r="A67" s="36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136"/>
      <c r="Z67" s="137"/>
    </row>
    <row r="68" spans="1:26" x14ac:dyDescent="0.15">
      <c r="A68" s="36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136"/>
      <c r="Z68" s="137"/>
    </row>
    <row r="69" spans="1:26" x14ac:dyDescent="0.15">
      <c r="A69" s="36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136"/>
      <c r="Z69" s="137"/>
    </row>
    <row r="70" spans="1:26" x14ac:dyDescent="0.15">
      <c r="A70" s="36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136"/>
      <c r="Z70" s="137"/>
    </row>
    <row r="71" spans="1:26" x14ac:dyDescent="0.15">
      <c r="A71" s="36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136"/>
      <c r="Z71" s="137"/>
    </row>
    <row r="72" spans="1:26" x14ac:dyDescent="0.15">
      <c r="A72" s="36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136"/>
      <c r="Z72" s="137"/>
    </row>
    <row r="73" spans="1:26" x14ac:dyDescent="0.15">
      <c r="A73" s="36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136"/>
      <c r="Z73" s="137"/>
    </row>
    <row r="74" spans="1:26" x14ac:dyDescent="0.15">
      <c r="A74" s="36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136"/>
      <c r="Z74" s="137"/>
    </row>
    <row r="75" spans="1:26" x14ac:dyDescent="0.15">
      <c r="A75" s="36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136"/>
      <c r="Z75" s="137"/>
    </row>
    <row r="76" spans="1:26" x14ac:dyDescent="0.15">
      <c r="A76" s="36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136"/>
      <c r="Z76" s="137"/>
    </row>
    <row r="77" spans="1:26" x14ac:dyDescent="0.15">
      <c r="A77" s="36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136"/>
      <c r="Z77" s="137"/>
    </row>
    <row r="78" spans="1:26" x14ac:dyDescent="0.15">
      <c r="A78" s="36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136"/>
      <c r="Z78" s="137"/>
    </row>
    <row r="79" spans="1:26" x14ac:dyDescent="0.15">
      <c r="A79" s="36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136"/>
      <c r="Z79" s="137"/>
    </row>
    <row r="80" spans="1:26" x14ac:dyDescent="0.15">
      <c r="A80" s="36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136"/>
      <c r="Z80" s="137"/>
    </row>
    <row r="81" spans="1:26" x14ac:dyDescent="0.15">
      <c r="A81" s="36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136"/>
      <c r="Z81" s="137"/>
    </row>
    <row r="82" spans="1:26" x14ac:dyDescent="0.15">
      <c r="A82" s="36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136"/>
      <c r="Z82" s="137"/>
    </row>
    <row r="83" spans="1:26" x14ac:dyDescent="0.15">
      <c r="A83" s="36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136"/>
      <c r="Z83" s="137"/>
    </row>
    <row r="84" spans="1:26" x14ac:dyDescent="0.15">
      <c r="A84" s="36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136"/>
      <c r="Z84" s="137"/>
    </row>
    <row r="85" spans="1:26" x14ac:dyDescent="0.15">
      <c r="A85" s="36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136"/>
      <c r="Z85" s="137"/>
    </row>
    <row r="86" spans="1:26" x14ac:dyDescent="0.15">
      <c r="A86" s="36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136"/>
      <c r="Z86" s="137"/>
    </row>
    <row r="87" spans="1:26" x14ac:dyDescent="0.15">
      <c r="A87" s="36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136"/>
      <c r="Z87" s="137"/>
    </row>
    <row r="88" spans="1:26" x14ac:dyDescent="0.15">
      <c r="A88" s="36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136"/>
      <c r="Z88" s="137"/>
    </row>
    <row r="89" spans="1:26" x14ac:dyDescent="0.15">
      <c r="A89" s="36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136"/>
      <c r="Z89" s="137"/>
    </row>
    <row r="90" spans="1:26" x14ac:dyDescent="0.15">
      <c r="A90" s="36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6"/>
      <c r="Z90" s="137"/>
    </row>
    <row r="91" spans="1:26" x14ac:dyDescent="0.15">
      <c r="A91" s="36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136"/>
      <c r="Z91" s="137"/>
    </row>
    <row r="92" spans="1:26" x14ac:dyDescent="0.15">
      <c r="A92" s="36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136"/>
      <c r="Z92" s="137"/>
    </row>
    <row r="93" spans="1:26" x14ac:dyDescent="0.15">
      <c r="A93" s="36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136"/>
      <c r="Z93" s="137"/>
    </row>
    <row r="94" spans="1:26" x14ac:dyDescent="0.15">
      <c r="A94" s="36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136"/>
      <c r="Z94" s="137"/>
    </row>
    <row r="95" spans="1:26" x14ac:dyDescent="0.15">
      <c r="A95" s="36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136"/>
      <c r="Z95" s="137"/>
    </row>
    <row r="96" spans="1:26" x14ac:dyDescent="0.15">
      <c r="A96" s="36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136"/>
      <c r="Z96" s="137"/>
    </row>
    <row r="97" spans="1:26" x14ac:dyDescent="0.15">
      <c r="A97" s="36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136"/>
      <c r="Z97" s="137"/>
    </row>
    <row r="98" spans="1:26" x14ac:dyDescent="0.15">
      <c r="A98" s="36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136"/>
      <c r="Z98" s="137"/>
    </row>
    <row r="99" spans="1:26" x14ac:dyDescent="0.15">
      <c r="A99" s="36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136"/>
      <c r="Z99" s="137"/>
    </row>
    <row r="100" spans="1:26" x14ac:dyDescent="0.15">
      <c r="A100" s="36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136"/>
      <c r="Z100" s="137"/>
    </row>
    <row r="101" spans="1:26" x14ac:dyDescent="0.15">
      <c r="A101" s="36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136"/>
      <c r="Z101" s="137"/>
    </row>
    <row r="102" spans="1:26" x14ac:dyDescent="0.15">
      <c r="A102" s="36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136"/>
      <c r="Z102" s="137"/>
    </row>
    <row r="103" spans="1:26" x14ac:dyDescent="0.15">
      <c r="A103" s="36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136"/>
      <c r="Z103" s="137"/>
    </row>
    <row r="104" spans="1:26" x14ac:dyDescent="0.15">
      <c r="A104" s="36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136"/>
      <c r="Z104" s="137"/>
    </row>
    <row r="105" spans="1:26" x14ac:dyDescent="0.15">
      <c r="A105" s="36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136"/>
      <c r="Z105" s="137"/>
    </row>
    <row r="106" spans="1:26" x14ac:dyDescent="0.15">
      <c r="A106" s="36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136"/>
      <c r="Z106" s="137"/>
    </row>
    <row r="107" spans="1:26" x14ac:dyDescent="0.15">
      <c r="A107" s="36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136"/>
      <c r="Z107" s="137"/>
    </row>
    <row r="108" spans="1:26" x14ac:dyDescent="0.15">
      <c r="A108" s="36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136"/>
      <c r="Z108" s="137"/>
    </row>
    <row r="109" spans="1:26" x14ac:dyDescent="0.15">
      <c r="A109" s="36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136"/>
      <c r="Z109" s="137"/>
    </row>
    <row r="110" spans="1:26" x14ac:dyDescent="0.15">
      <c r="A110" s="36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136"/>
      <c r="Z110" s="137"/>
    </row>
    <row r="111" spans="1:26" x14ac:dyDescent="0.15">
      <c r="A111" s="36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136"/>
      <c r="Z111" s="137"/>
    </row>
    <row r="112" spans="1:26" x14ac:dyDescent="0.15">
      <c r="A112" s="36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136"/>
      <c r="Z112" s="137"/>
    </row>
    <row r="113" spans="1:26" x14ac:dyDescent="0.15">
      <c r="A113" s="36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136"/>
      <c r="Z113" s="137"/>
    </row>
    <row r="114" spans="1:26" x14ac:dyDescent="0.15">
      <c r="A114" s="36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136"/>
      <c r="Z114" s="137"/>
    </row>
    <row r="115" spans="1:26" x14ac:dyDescent="0.15">
      <c r="A115" s="36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136"/>
      <c r="Z115" s="137"/>
    </row>
    <row r="116" spans="1:26" x14ac:dyDescent="0.15">
      <c r="A116" s="36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136"/>
      <c r="Z116" s="137"/>
    </row>
    <row r="117" spans="1:26" x14ac:dyDescent="0.15">
      <c r="A117" s="36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136"/>
      <c r="Z117" s="137"/>
    </row>
    <row r="118" spans="1:26" x14ac:dyDescent="0.15">
      <c r="A118" s="36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136"/>
      <c r="Z118" s="137"/>
    </row>
    <row r="119" spans="1:26" x14ac:dyDescent="0.15">
      <c r="A119" s="36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136"/>
      <c r="Z119" s="137"/>
    </row>
    <row r="120" spans="1:26" x14ac:dyDescent="0.15">
      <c r="A120" s="36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136"/>
      <c r="Z120" s="137"/>
    </row>
    <row r="121" spans="1:26" x14ac:dyDescent="0.15">
      <c r="A121" s="36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136"/>
      <c r="Z121" s="137"/>
    </row>
    <row r="122" spans="1:26" x14ac:dyDescent="0.15">
      <c r="A122" s="36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136"/>
      <c r="Z122" s="137"/>
    </row>
    <row r="123" spans="1:26" x14ac:dyDescent="0.15">
      <c r="A123" s="36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136"/>
      <c r="Z123" s="137"/>
    </row>
    <row r="124" spans="1:26" x14ac:dyDescent="0.15">
      <c r="A124" s="36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136"/>
      <c r="Z124" s="137"/>
    </row>
    <row r="125" spans="1:26" x14ac:dyDescent="0.15">
      <c r="A125" s="36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136"/>
      <c r="Z125" s="137"/>
    </row>
    <row r="126" spans="1:26" x14ac:dyDescent="0.15">
      <c r="A126" s="36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136"/>
      <c r="Z126" s="137"/>
    </row>
    <row r="127" spans="1:26" x14ac:dyDescent="0.15">
      <c r="A127" s="36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136"/>
      <c r="Z127" s="137"/>
    </row>
    <row r="128" spans="1:26" x14ac:dyDescent="0.15">
      <c r="A128" s="36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136"/>
      <c r="Z128" s="137"/>
    </row>
    <row r="129" spans="1:26" x14ac:dyDescent="0.15">
      <c r="A129" s="36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136"/>
      <c r="Z129" s="137"/>
    </row>
    <row r="130" spans="1:26" x14ac:dyDescent="0.15">
      <c r="A130" s="36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136"/>
      <c r="Z130" s="137"/>
    </row>
    <row r="131" spans="1:26" x14ac:dyDescent="0.15">
      <c r="A131" s="36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136"/>
      <c r="Z131" s="137"/>
    </row>
    <row r="132" spans="1:26" x14ac:dyDescent="0.15">
      <c r="A132" s="36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136"/>
      <c r="Z132" s="137"/>
    </row>
    <row r="133" spans="1:26" x14ac:dyDescent="0.15">
      <c r="A133" s="36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136"/>
      <c r="Z133" s="137"/>
    </row>
    <row r="134" spans="1:26" x14ac:dyDescent="0.15">
      <c r="A134" s="36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136"/>
      <c r="Z134" s="137"/>
    </row>
    <row r="135" spans="1:26" x14ac:dyDescent="0.15">
      <c r="A135" s="36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136"/>
      <c r="Z135" s="137"/>
    </row>
    <row r="136" spans="1:26" x14ac:dyDescent="0.15">
      <c r="A136" s="36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136"/>
      <c r="Z136" s="137"/>
    </row>
    <row r="137" spans="1:26" x14ac:dyDescent="0.15">
      <c r="A137" s="36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136"/>
      <c r="Z137" s="137"/>
    </row>
    <row r="138" spans="1:26" x14ac:dyDescent="0.15">
      <c r="A138" s="36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136"/>
      <c r="Z138" s="137"/>
    </row>
    <row r="139" spans="1:26" x14ac:dyDescent="0.15">
      <c r="A139" s="36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136"/>
      <c r="Z139" s="137"/>
    </row>
    <row r="140" spans="1:26" x14ac:dyDescent="0.15">
      <c r="A140" s="36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136"/>
      <c r="Z140" s="137"/>
    </row>
    <row r="141" spans="1:26" x14ac:dyDescent="0.15">
      <c r="A141" s="36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136"/>
      <c r="Z141" s="137"/>
    </row>
    <row r="142" spans="1:26" x14ac:dyDescent="0.15">
      <c r="A142" s="36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136"/>
      <c r="Z142" s="137"/>
    </row>
    <row r="143" spans="1:26" x14ac:dyDescent="0.15">
      <c r="A143" s="36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136"/>
      <c r="Z143" s="137"/>
    </row>
    <row r="144" spans="1:26" x14ac:dyDescent="0.15">
      <c r="A144" s="36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136"/>
      <c r="Z144" s="137"/>
    </row>
    <row r="145" spans="1:26" x14ac:dyDescent="0.15">
      <c r="A145" s="36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136"/>
      <c r="Z145" s="137"/>
    </row>
    <row r="146" spans="1:26" x14ac:dyDescent="0.15">
      <c r="A146" s="36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136"/>
      <c r="Z146" s="137"/>
    </row>
    <row r="147" spans="1:26" x14ac:dyDescent="0.15">
      <c r="A147" s="36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136"/>
      <c r="Z147" s="137"/>
    </row>
    <row r="148" spans="1:26" x14ac:dyDescent="0.15">
      <c r="A148" s="36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136"/>
      <c r="Z148" s="137"/>
    </row>
    <row r="149" spans="1:26" x14ac:dyDescent="0.15">
      <c r="A149" s="36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136"/>
      <c r="Z149" s="137"/>
    </row>
    <row r="150" spans="1:26" x14ac:dyDescent="0.15">
      <c r="A150" s="36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136"/>
      <c r="Z150" s="137"/>
    </row>
    <row r="151" spans="1:26" x14ac:dyDescent="0.15">
      <c r="A151" s="36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136"/>
      <c r="Z151" s="137"/>
    </row>
    <row r="152" spans="1:26" x14ac:dyDescent="0.15">
      <c r="A152" s="36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136"/>
      <c r="Z152" s="137"/>
    </row>
    <row r="153" spans="1:26" x14ac:dyDescent="0.15">
      <c r="A153" s="36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136"/>
      <c r="Z153" s="137"/>
    </row>
    <row r="154" spans="1:26" x14ac:dyDescent="0.15">
      <c r="A154" s="36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136"/>
      <c r="Z154" s="137"/>
    </row>
    <row r="155" spans="1:26" x14ac:dyDescent="0.15">
      <c r="A155" s="36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136"/>
      <c r="Z155" s="137"/>
    </row>
    <row r="156" spans="1:26" x14ac:dyDescent="0.15">
      <c r="A156" s="36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136"/>
      <c r="Z156" s="137"/>
    </row>
    <row r="157" spans="1:26" x14ac:dyDescent="0.15">
      <c r="A157" s="36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136"/>
      <c r="Z157" s="137"/>
    </row>
    <row r="158" spans="1:26" x14ac:dyDescent="0.15">
      <c r="A158" s="36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136"/>
      <c r="Z158" s="137"/>
    </row>
    <row r="159" spans="1:26" x14ac:dyDescent="0.15">
      <c r="A159" s="36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136"/>
      <c r="Z159" s="137"/>
    </row>
    <row r="160" spans="1:26" x14ac:dyDescent="0.15">
      <c r="A160" s="36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136"/>
      <c r="Z160" s="137"/>
    </row>
    <row r="161" spans="1:26" x14ac:dyDescent="0.15">
      <c r="A161" s="36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136"/>
      <c r="Z161" s="137"/>
    </row>
    <row r="162" spans="1:26" x14ac:dyDescent="0.15">
      <c r="A162" s="36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136"/>
      <c r="Z162" s="137"/>
    </row>
    <row r="163" spans="1:26" x14ac:dyDescent="0.15">
      <c r="A163" s="36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136"/>
      <c r="Z163" s="137"/>
    </row>
    <row r="164" spans="1:26" x14ac:dyDescent="0.15">
      <c r="A164" s="36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136"/>
      <c r="Z164" s="137"/>
    </row>
    <row r="165" spans="1:26" x14ac:dyDescent="0.15">
      <c r="A165" s="36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136"/>
      <c r="Z165" s="137"/>
    </row>
    <row r="166" spans="1:26" x14ac:dyDescent="0.15">
      <c r="A166" s="36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136"/>
      <c r="Z166" s="137"/>
    </row>
    <row r="167" spans="1:26" x14ac:dyDescent="0.15">
      <c r="A167" s="36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136"/>
      <c r="Z167" s="137"/>
    </row>
    <row r="168" spans="1:26" x14ac:dyDescent="0.15">
      <c r="A168" s="36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136"/>
      <c r="Z168" s="137"/>
    </row>
    <row r="169" spans="1:26" x14ac:dyDescent="0.15">
      <c r="A169" s="36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136"/>
      <c r="Z169" s="137"/>
    </row>
    <row r="170" spans="1:26" x14ac:dyDescent="0.15">
      <c r="A170" s="36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136"/>
      <c r="Z170" s="137"/>
    </row>
    <row r="171" spans="1:26" x14ac:dyDescent="0.15">
      <c r="A171" s="36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136"/>
      <c r="Z171" s="137"/>
    </row>
    <row r="172" spans="1:26" x14ac:dyDescent="0.15">
      <c r="A172" s="36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136"/>
      <c r="Z172" s="137"/>
    </row>
    <row r="173" spans="1:26" x14ac:dyDescent="0.15">
      <c r="A173" s="36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136"/>
      <c r="Z173" s="137"/>
    </row>
    <row r="174" spans="1:26" x14ac:dyDescent="0.15">
      <c r="A174" s="36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136"/>
      <c r="Z174" s="137"/>
    </row>
    <row r="175" spans="1:26" x14ac:dyDescent="0.15">
      <c r="A175" s="36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136"/>
      <c r="Z175" s="137"/>
    </row>
    <row r="176" spans="1:26" x14ac:dyDescent="0.15">
      <c r="A176" s="36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136"/>
      <c r="Z176" s="137"/>
    </row>
    <row r="177" spans="1:26" x14ac:dyDescent="0.15">
      <c r="A177" s="36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136"/>
      <c r="Z177" s="137"/>
    </row>
    <row r="178" spans="1:26" x14ac:dyDescent="0.15">
      <c r="A178" s="36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136"/>
      <c r="Z178" s="137"/>
    </row>
    <row r="179" spans="1:26" x14ac:dyDescent="0.15">
      <c r="A179" s="36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136"/>
      <c r="Z179" s="137"/>
    </row>
    <row r="180" spans="1:26" x14ac:dyDescent="0.15">
      <c r="A180" s="36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136"/>
      <c r="Z180" s="137"/>
    </row>
    <row r="181" spans="1:26" x14ac:dyDescent="0.15">
      <c r="A181" s="36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136"/>
      <c r="Z181" s="137"/>
    </row>
    <row r="182" spans="1:26" x14ac:dyDescent="0.15">
      <c r="A182" s="36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136"/>
      <c r="Z182" s="137"/>
    </row>
    <row r="183" spans="1:26" x14ac:dyDescent="0.15">
      <c r="A183" s="36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136"/>
      <c r="Z183" s="137"/>
    </row>
    <row r="184" spans="1:26" x14ac:dyDescent="0.15">
      <c r="A184" s="36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136"/>
      <c r="Z184" s="137"/>
    </row>
    <row r="185" spans="1:26" x14ac:dyDescent="0.15">
      <c r="A185" s="36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136"/>
      <c r="Z185" s="137"/>
    </row>
    <row r="186" spans="1:26" x14ac:dyDescent="0.15">
      <c r="A186" s="36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136"/>
      <c r="Z186" s="137"/>
    </row>
    <row r="187" spans="1:26" x14ac:dyDescent="0.15">
      <c r="A187" s="36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136"/>
      <c r="Z187" s="137"/>
    </row>
    <row r="188" spans="1:26" x14ac:dyDescent="0.15">
      <c r="A188" s="36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136"/>
      <c r="Z188" s="137"/>
    </row>
    <row r="189" spans="1:26" x14ac:dyDescent="0.15">
      <c r="A189" s="36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136"/>
      <c r="Z189" s="137"/>
    </row>
    <row r="190" spans="1:26" x14ac:dyDescent="0.15">
      <c r="A190" s="36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136"/>
      <c r="Z190" s="137"/>
    </row>
    <row r="191" spans="1:26" x14ac:dyDescent="0.15">
      <c r="A191" s="36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136"/>
      <c r="Z191" s="137"/>
    </row>
    <row r="192" spans="1:26" x14ac:dyDescent="0.15">
      <c r="A192" s="36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136"/>
      <c r="Z192" s="137"/>
    </row>
    <row r="193" spans="1:26" x14ac:dyDescent="0.15">
      <c r="A193" s="36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136"/>
      <c r="Z193" s="137"/>
    </row>
    <row r="194" spans="1:26" x14ac:dyDescent="0.15">
      <c r="A194" s="36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136"/>
      <c r="Z194" s="137"/>
    </row>
    <row r="195" spans="1:26" x14ac:dyDescent="0.15">
      <c r="A195" s="36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136"/>
      <c r="Z195" s="137"/>
    </row>
    <row r="196" spans="1:26" x14ac:dyDescent="0.15">
      <c r="A196" s="36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136"/>
      <c r="Z196" s="137"/>
    </row>
    <row r="197" spans="1:26" x14ac:dyDescent="0.15">
      <c r="A197" s="36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136"/>
      <c r="Z197" s="137"/>
    </row>
    <row r="198" spans="1:26" x14ac:dyDescent="0.15">
      <c r="A198" s="36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136"/>
      <c r="Z198" s="137"/>
    </row>
    <row r="199" spans="1:26" x14ac:dyDescent="0.15">
      <c r="A199" s="36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136"/>
      <c r="Z199" s="137"/>
    </row>
    <row r="200" spans="1:26" x14ac:dyDescent="0.15">
      <c r="A200" s="36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136"/>
      <c r="Z200" s="137"/>
    </row>
    <row r="201" spans="1:26" x14ac:dyDescent="0.15">
      <c r="A201" s="36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136"/>
      <c r="Z201" s="137"/>
    </row>
    <row r="202" spans="1:26" x14ac:dyDescent="0.15">
      <c r="A202" s="36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136"/>
      <c r="Z202" s="137"/>
    </row>
    <row r="203" spans="1:26" x14ac:dyDescent="0.15">
      <c r="A203" s="36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136"/>
      <c r="Z203" s="137"/>
    </row>
    <row r="204" spans="1:26" x14ac:dyDescent="0.15">
      <c r="A204" s="36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136"/>
      <c r="Z204" s="137"/>
    </row>
    <row r="205" spans="1:26" x14ac:dyDescent="0.15">
      <c r="A205" s="36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136"/>
      <c r="Z205" s="137"/>
    </row>
    <row r="206" spans="1:26" x14ac:dyDescent="0.15">
      <c r="A206" s="36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136"/>
      <c r="Z206" s="137"/>
    </row>
    <row r="207" spans="1:26" x14ac:dyDescent="0.15">
      <c r="A207" s="36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136"/>
      <c r="Z207" s="137"/>
    </row>
    <row r="208" spans="1:26" x14ac:dyDescent="0.15">
      <c r="A208" s="36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136"/>
      <c r="Z208" s="137"/>
    </row>
    <row r="209" spans="1:26" x14ac:dyDescent="0.15">
      <c r="A209" s="36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136"/>
      <c r="Z209" s="137"/>
    </row>
    <row r="210" spans="1:26" x14ac:dyDescent="0.15">
      <c r="A210" s="36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136"/>
      <c r="Z210" s="137"/>
    </row>
    <row r="211" spans="1:26" x14ac:dyDescent="0.15">
      <c r="A211" s="36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136"/>
      <c r="Z211" s="137"/>
    </row>
    <row r="212" spans="1:26" x14ac:dyDescent="0.15">
      <c r="A212" s="36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136"/>
      <c r="Z212" s="137"/>
    </row>
    <row r="213" spans="1:26" x14ac:dyDescent="0.15">
      <c r="A213" s="36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136"/>
      <c r="Z213" s="137"/>
    </row>
    <row r="214" spans="1:26" x14ac:dyDescent="0.15">
      <c r="A214" s="36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136"/>
      <c r="Z214" s="137"/>
    </row>
    <row r="215" spans="1:26" x14ac:dyDescent="0.15">
      <c r="A215" s="36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136"/>
      <c r="Z215" s="137"/>
    </row>
    <row r="216" spans="1:26" x14ac:dyDescent="0.15">
      <c r="A216" s="36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136"/>
      <c r="Z216" s="137"/>
    </row>
    <row r="217" spans="1:26" x14ac:dyDescent="0.15">
      <c r="A217" s="36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136"/>
      <c r="Z217" s="137"/>
    </row>
    <row r="218" spans="1:26" x14ac:dyDescent="0.15">
      <c r="A218" s="36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136"/>
      <c r="Z218" s="137"/>
    </row>
    <row r="219" spans="1:26" x14ac:dyDescent="0.15">
      <c r="A219" s="36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136"/>
      <c r="Z219" s="137"/>
    </row>
    <row r="220" spans="1:26" x14ac:dyDescent="0.15">
      <c r="A220" s="36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136"/>
      <c r="Z220" s="137"/>
    </row>
    <row r="221" spans="1:26" x14ac:dyDescent="0.15">
      <c r="A221" s="36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136"/>
      <c r="Z221" s="137"/>
    </row>
    <row r="222" spans="1:26" x14ac:dyDescent="0.15">
      <c r="A222" s="36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136"/>
      <c r="Z222" s="137"/>
    </row>
    <row r="223" spans="1:26" x14ac:dyDescent="0.15">
      <c r="A223" s="36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136"/>
      <c r="Z223" s="137"/>
    </row>
    <row r="224" spans="1:26" x14ac:dyDescent="0.15">
      <c r="A224" s="36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136"/>
      <c r="Z224" s="137"/>
    </row>
    <row r="225" spans="1:26" x14ac:dyDescent="0.15">
      <c r="A225" s="36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136"/>
      <c r="Z225" s="137"/>
    </row>
    <row r="226" spans="1:26" x14ac:dyDescent="0.15">
      <c r="A226" s="36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136"/>
      <c r="Z226" s="137"/>
    </row>
    <row r="227" spans="1:26" x14ac:dyDescent="0.15">
      <c r="A227" s="36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136"/>
      <c r="Z227" s="137"/>
    </row>
    <row r="228" spans="1:26" x14ac:dyDescent="0.15">
      <c r="A228" s="36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136"/>
      <c r="Z228" s="137"/>
    </row>
    <row r="229" spans="1:26" x14ac:dyDescent="0.15">
      <c r="A229" s="36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136"/>
      <c r="Z229" s="137"/>
    </row>
    <row r="230" spans="1:26" x14ac:dyDescent="0.15">
      <c r="A230" s="36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136"/>
      <c r="Z230" s="137"/>
    </row>
    <row r="231" spans="1:26" x14ac:dyDescent="0.15">
      <c r="A231" s="36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136"/>
      <c r="Z231" s="137"/>
    </row>
    <row r="232" spans="1:26" x14ac:dyDescent="0.15">
      <c r="A232" s="36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136"/>
      <c r="Z232" s="137"/>
    </row>
    <row r="233" spans="1:26" x14ac:dyDescent="0.15">
      <c r="A233" s="36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136"/>
      <c r="Z233" s="137"/>
    </row>
    <row r="234" spans="1:26" x14ac:dyDescent="0.15">
      <c r="A234" s="36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136"/>
      <c r="Z234" s="137"/>
    </row>
    <row r="235" spans="1:26" x14ac:dyDescent="0.15">
      <c r="A235" s="36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136"/>
      <c r="Z235" s="137"/>
    </row>
    <row r="236" spans="1:26" x14ac:dyDescent="0.15">
      <c r="A236" s="36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136"/>
      <c r="Z236" s="137"/>
    </row>
    <row r="237" spans="1:26" x14ac:dyDescent="0.15">
      <c r="A237" s="36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136"/>
      <c r="Z237" s="137"/>
    </row>
    <row r="238" spans="1:26" x14ac:dyDescent="0.15">
      <c r="A238" s="36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136"/>
      <c r="Z238" s="137"/>
    </row>
    <row r="239" spans="1:26" x14ac:dyDescent="0.15">
      <c r="A239" s="36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136"/>
      <c r="Z239" s="137"/>
    </row>
    <row r="240" spans="1:26" x14ac:dyDescent="0.15">
      <c r="A240" s="36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136"/>
      <c r="Z240" s="137"/>
    </row>
    <row r="241" spans="1:26" x14ac:dyDescent="0.15">
      <c r="A241" s="36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136"/>
      <c r="Z241" s="137"/>
    </row>
    <row r="242" spans="1:26" x14ac:dyDescent="0.15">
      <c r="A242" s="36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136"/>
      <c r="Z242" s="137"/>
    </row>
    <row r="243" spans="1:26" x14ac:dyDescent="0.15">
      <c r="A243" s="36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136"/>
      <c r="Z243" s="137"/>
    </row>
    <row r="244" spans="1:26" x14ac:dyDescent="0.15">
      <c r="A244" s="36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136"/>
      <c r="Z244" s="137"/>
    </row>
    <row r="245" spans="1:26" x14ac:dyDescent="0.15">
      <c r="A245" s="36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136"/>
      <c r="Z245" s="137"/>
    </row>
    <row r="246" spans="1:26" x14ac:dyDescent="0.15">
      <c r="A246" s="36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136"/>
      <c r="Z246" s="137"/>
    </row>
    <row r="247" spans="1:26" x14ac:dyDescent="0.15">
      <c r="A247" s="36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136"/>
      <c r="Z247" s="137"/>
    </row>
    <row r="248" spans="1:26" x14ac:dyDescent="0.15">
      <c r="A248" s="36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136"/>
      <c r="Z248" s="137"/>
    </row>
    <row r="249" spans="1:26" x14ac:dyDescent="0.15">
      <c r="A249" s="36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136"/>
      <c r="Z249" s="137"/>
    </row>
    <row r="250" spans="1:26" x14ac:dyDescent="0.15">
      <c r="A250" s="36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136"/>
      <c r="Z250" s="137"/>
    </row>
    <row r="251" spans="1:26" x14ac:dyDescent="0.15">
      <c r="A251" s="36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136"/>
      <c r="Z251" s="137"/>
    </row>
    <row r="252" spans="1:26" x14ac:dyDescent="0.15">
      <c r="A252" s="36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136"/>
      <c r="Z252" s="137"/>
    </row>
    <row r="253" spans="1:26" x14ac:dyDescent="0.15">
      <c r="A253" s="36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136"/>
      <c r="Z253" s="137"/>
    </row>
    <row r="254" spans="1:26" x14ac:dyDescent="0.15">
      <c r="A254" s="36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136"/>
      <c r="Z254" s="137"/>
    </row>
    <row r="255" spans="1:26" x14ac:dyDescent="0.15">
      <c r="A255" s="36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136"/>
      <c r="Z255" s="137"/>
    </row>
    <row r="256" spans="1:26" x14ac:dyDescent="0.15">
      <c r="A256" s="36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136"/>
      <c r="Z256" s="137"/>
    </row>
    <row r="257" spans="1:26" x14ac:dyDescent="0.15">
      <c r="A257" s="36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136"/>
      <c r="Z257" s="137"/>
    </row>
    <row r="258" spans="1:26" x14ac:dyDescent="0.15">
      <c r="A258" s="36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136"/>
      <c r="Z258" s="137"/>
    </row>
    <row r="259" spans="1:26" x14ac:dyDescent="0.15">
      <c r="A259" s="36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136"/>
      <c r="Z259" s="137"/>
    </row>
    <row r="260" spans="1:26" x14ac:dyDescent="0.15">
      <c r="A260" s="36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136"/>
      <c r="Z260" s="137"/>
    </row>
    <row r="261" spans="1:26" x14ac:dyDescent="0.15">
      <c r="A261" s="36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136"/>
      <c r="Z261" s="137"/>
    </row>
    <row r="262" spans="1:26" x14ac:dyDescent="0.15">
      <c r="A262" s="36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136"/>
      <c r="Z262" s="137"/>
    </row>
    <row r="263" spans="1:26" x14ac:dyDescent="0.15">
      <c r="A263" s="36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136"/>
      <c r="Z263" s="137"/>
    </row>
    <row r="264" spans="1:26" x14ac:dyDescent="0.15">
      <c r="A264" s="36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136"/>
      <c r="Z264" s="137"/>
    </row>
    <row r="265" spans="1:26" x14ac:dyDescent="0.15">
      <c r="A265" s="36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136"/>
      <c r="Z265" s="137"/>
    </row>
    <row r="266" spans="1:26" x14ac:dyDescent="0.15">
      <c r="A266" s="36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136"/>
      <c r="Z266" s="137"/>
    </row>
    <row r="267" spans="1:26" x14ac:dyDescent="0.15">
      <c r="A267" s="36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136"/>
      <c r="Z267" s="137"/>
    </row>
    <row r="268" spans="1:26" x14ac:dyDescent="0.15">
      <c r="A268" s="36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136"/>
      <c r="Z268" s="137"/>
    </row>
    <row r="269" spans="1:26" x14ac:dyDescent="0.15">
      <c r="A269" s="36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136"/>
      <c r="Z269" s="137"/>
    </row>
    <row r="270" spans="1:26" x14ac:dyDescent="0.15">
      <c r="A270" s="36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136"/>
      <c r="Z270" s="137"/>
    </row>
    <row r="271" spans="1:26" x14ac:dyDescent="0.15">
      <c r="A271" s="36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136"/>
      <c r="Z271" s="137"/>
    </row>
    <row r="272" spans="1:26" x14ac:dyDescent="0.15">
      <c r="A272" s="36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136"/>
      <c r="Z272" s="137"/>
    </row>
    <row r="273" spans="1:26" x14ac:dyDescent="0.15">
      <c r="A273" s="36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136"/>
      <c r="Z273" s="137"/>
    </row>
    <row r="274" spans="1:26" x14ac:dyDescent="0.15">
      <c r="A274" s="36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136"/>
      <c r="Z274" s="137"/>
    </row>
    <row r="275" spans="1:26" x14ac:dyDescent="0.15">
      <c r="A275" s="36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136"/>
      <c r="Z275" s="137"/>
    </row>
    <row r="276" spans="1:26" x14ac:dyDescent="0.15">
      <c r="A276" s="36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136"/>
      <c r="Z276" s="137"/>
    </row>
    <row r="277" spans="1:26" x14ac:dyDescent="0.15">
      <c r="A277" s="36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136"/>
      <c r="Z277" s="137"/>
    </row>
    <row r="278" spans="1:26" x14ac:dyDescent="0.15">
      <c r="A278" s="36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136"/>
      <c r="Z278" s="137"/>
    </row>
    <row r="279" spans="1:26" x14ac:dyDescent="0.15">
      <c r="A279" s="36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136"/>
      <c r="Z279" s="137"/>
    </row>
    <row r="280" spans="1:26" x14ac:dyDescent="0.15">
      <c r="A280" s="36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136"/>
      <c r="Z280" s="137"/>
    </row>
    <row r="281" spans="1:26" x14ac:dyDescent="0.15">
      <c r="A281" s="36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136"/>
      <c r="Z281" s="137"/>
    </row>
    <row r="282" spans="1:26" x14ac:dyDescent="0.15">
      <c r="A282" s="36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136"/>
      <c r="Z282" s="137"/>
    </row>
    <row r="283" spans="1:26" x14ac:dyDescent="0.15">
      <c r="A283" s="36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136"/>
      <c r="Z283" s="137"/>
    </row>
    <row r="284" spans="1:26" x14ac:dyDescent="0.15">
      <c r="A284" s="36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136"/>
      <c r="Z284" s="137"/>
    </row>
    <row r="285" spans="1:26" x14ac:dyDescent="0.15">
      <c r="A285" s="36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136"/>
      <c r="Z285" s="137"/>
    </row>
    <row r="286" spans="1:26" x14ac:dyDescent="0.15">
      <c r="A286" s="36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136"/>
      <c r="Z286" s="137"/>
    </row>
    <row r="287" spans="1:26" x14ac:dyDescent="0.15">
      <c r="A287" s="36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136"/>
      <c r="Z287" s="137"/>
    </row>
    <row r="288" spans="1:26" x14ac:dyDescent="0.15">
      <c r="A288" s="36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136"/>
      <c r="Z288" s="137"/>
    </row>
    <row r="289" spans="1:26" x14ac:dyDescent="0.15">
      <c r="A289" s="36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136"/>
      <c r="Z289" s="137"/>
    </row>
    <row r="290" spans="1:26" x14ac:dyDescent="0.15">
      <c r="A290" s="36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136"/>
      <c r="Z290" s="137"/>
    </row>
    <row r="291" spans="1:26" x14ac:dyDescent="0.15">
      <c r="A291" s="36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136"/>
      <c r="Z291" s="137"/>
    </row>
    <row r="292" spans="1:26" x14ac:dyDescent="0.15">
      <c r="A292" s="36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136"/>
      <c r="Z292" s="137"/>
    </row>
    <row r="293" spans="1:26" x14ac:dyDescent="0.15">
      <c r="A293" s="36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136"/>
      <c r="Z293" s="137"/>
    </row>
    <row r="294" spans="1:26" x14ac:dyDescent="0.15">
      <c r="A294" s="36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136"/>
      <c r="Z294" s="137"/>
    </row>
    <row r="295" spans="1:26" x14ac:dyDescent="0.15">
      <c r="A295" s="36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136"/>
      <c r="Z295" s="137"/>
    </row>
    <row r="296" spans="1:26" x14ac:dyDescent="0.15">
      <c r="A296" s="36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136"/>
      <c r="Z296" s="137"/>
    </row>
    <row r="297" spans="1:26" x14ac:dyDescent="0.15">
      <c r="A297" s="36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136"/>
      <c r="Z297" s="137"/>
    </row>
    <row r="298" spans="1:26" x14ac:dyDescent="0.15">
      <c r="A298" s="36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136"/>
      <c r="Z298" s="137"/>
    </row>
    <row r="299" spans="1:26" x14ac:dyDescent="0.15">
      <c r="A299" s="36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136"/>
      <c r="Z299" s="137"/>
    </row>
    <row r="300" spans="1:26" x14ac:dyDescent="0.15">
      <c r="A300" s="36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136"/>
      <c r="Z300" s="137"/>
    </row>
    <row r="301" spans="1:26" x14ac:dyDescent="0.15">
      <c r="A301" s="36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136"/>
      <c r="Z301" s="137"/>
    </row>
    <row r="302" spans="1:26" x14ac:dyDescent="0.15">
      <c r="A302" s="36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136"/>
      <c r="Z302" s="137"/>
    </row>
    <row r="303" spans="1:26" x14ac:dyDescent="0.15">
      <c r="A303" s="36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136"/>
      <c r="Z303" s="137"/>
    </row>
    <row r="304" spans="1:26" x14ac:dyDescent="0.15">
      <c r="A304" s="36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136"/>
      <c r="Z304" s="137"/>
    </row>
    <row r="305" spans="1:26" x14ac:dyDescent="0.15">
      <c r="A305" s="36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136"/>
      <c r="Z305" s="137"/>
    </row>
    <row r="306" spans="1:26" x14ac:dyDescent="0.15">
      <c r="A306" s="36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136"/>
      <c r="Z306" s="137"/>
    </row>
    <row r="307" spans="1:26" x14ac:dyDescent="0.15">
      <c r="A307" s="36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136"/>
      <c r="Z307" s="137"/>
    </row>
    <row r="308" spans="1:26" x14ac:dyDescent="0.15">
      <c r="A308" s="36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136"/>
      <c r="Z308" s="137"/>
    </row>
    <row r="309" spans="1:26" x14ac:dyDescent="0.15">
      <c r="A309" s="36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136"/>
      <c r="Z309" s="137"/>
    </row>
    <row r="310" spans="1:26" x14ac:dyDescent="0.15">
      <c r="A310" s="36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136"/>
      <c r="Z310" s="137"/>
    </row>
    <row r="311" spans="1:26" x14ac:dyDescent="0.15">
      <c r="A311" s="36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136"/>
      <c r="Z311" s="137"/>
    </row>
    <row r="312" spans="1:26" x14ac:dyDescent="0.15">
      <c r="A312" s="36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136"/>
      <c r="Z312" s="137"/>
    </row>
    <row r="313" spans="1:26" x14ac:dyDescent="0.15">
      <c r="A313" s="36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136"/>
      <c r="Z313" s="137"/>
    </row>
    <row r="314" spans="1:26" x14ac:dyDescent="0.15">
      <c r="A314" s="36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136"/>
      <c r="Z314" s="137"/>
    </row>
    <row r="315" spans="1:26" x14ac:dyDescent="0.15">
      <c r="A315" s="36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136"/>
      <c r="Z315" s="137"/>
    </row>
    <row r="316" spans="1:26" x14ac:dyDescent="0.15">
      <c r="A316" s="36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136"/>
      <c r="Z316" s="137"/>
    </row>
    <row r="317" spans="1:26" x14ac:dyDescent="0.15">
      <c r="A317" s="36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136"/>
      <c r="Z317" s="137"/>
    </row>
    <row r="318" spans="1:26" x14ac:dyDescent="0.15">
      <c r="A318" s="36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136"/>
      <c r="Z318" s="137"/>
    </row>
    <row r="319" spans="1:26" x14ac:dyDescent="0.15">
      <c r="A319" s="36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136"/>
      <c r="Z319" s="137"/>
    </row>
    <row r="320" spans="1:26" x14ac:dyDescent="0.15">
      <c r="A320" s="36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136"/>
      <c r="Z320" s="137"/>
    </row>
    <row r="321" spans="1:26" x14ac:dyDescent="0.15">
      <c r="A321" s="36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136"/>
      <c r="Z321" s="137"/>
    </row>
    <row r="322" spans="1:26" x14ac:dyDescent="0.15">
      <c r="A322" s="36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136"/>
      <c r="Z322" s="137"/>
    </row>
    <row r="323" spans="1:26" x14ac:dyDescent="0.15">
      <c r="A323" s="36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136"/>
      <c r="Z323" s="137"/>
    </row>
    <row r="324" spans="1:26" x14ac:dyDescent="0.15">
      <c r="A324" s="36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136"/>
      <c r="Z324" s="137"/>
    </row>
    <row r="325" spans="1:26" x14ac:dyDescent="0.15">
      <c r="A325" s="36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136"/>
      <c r="Z325" s="137"/>
    </row>
    <row r="326" spans="1:26" x14ac:dyDescent="0.15">
      <c r="A326" s="36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136"/>
      <c r="Z326" s="137"/>
    </row>
    <row r="327" spans="1:26" x14ac:dyDescent="0.15">
      <c r="A327" s="36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136"/>
      <c r="Z327" s="137"/>
    </row>
    <row r="328" spans="1:26" x14ac:dyDescent="0.15">
      <c r="A328" s="36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136"/>
      <c r="Z328" s="137"/>
    </row>
    <row r="329" spans="1:26" x14ac:dyDescent="0.15">
      <c r="A329" s="36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136"/>
      <c r="Z329" s="137"/>
    </row>
    <row r="330" spans="1:26" x14ac:dyDescent="0.15">
      <c r="A330" s="36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136"/>
      <c r="Z330" s="137"/>
    </row>
    <row r="331" spans="1:26" x14ac:dyDescent="0.15">
      <c r="A331" s="36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136"/>
      <c r="Z331" s="137"/>
    </row>
    <row r="332" spans="1:26" x14ac:dyDescent="0.15">
      <c r="A332" s="36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136"/>
      <c r="Z332" s="137"/>
    </row>
    <row r="333" spans="1:26" x14ac:dyDescent="0.15">
      <c r="A333" s="36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136"/>
      <c r="Z333" s="137"/>
    </row>
    <row r="334" spans="1:26" x14ac:dyDescent="0.15">
      <c r="A334" s="36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136"/>
      <c r="Z334" s="137"/>
    </row>
    <row r="335" spans="1:26" x14ac:dyDescent="0.15">
      <c r="A335" s="36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136"/>
      <c r="Z335" s="137"/>
    </row>
    <row r="336" spans="1:26" x14ac:dyDescent="0.15">
      <c r="A336" s="36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136"/>
      <c r="Z336" s="137"/>
    </row>
    <row r="337" spans="1:26" x14ac:dyDescent="0.15">
      <c r="A337" s="36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136"/>
      <c r="Z337" s="137"/>
    </row>
    <row r="338" spans="1:26" x14ac:dyDescent="0.15">
      <c r="A338" s="36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136"/>
      <c r="Z338" s="137"/>
    </row>
    <row r="339" spans="1:26" x14ac:dyDescent="0.15">
      <c r="A339" s="36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136"/>
      <c r="Z339" s="137"/>
    </row>
    <row r="340" spans="1:26" x14ac:dyDescent="0.15">
      <c r="A340" s="36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136"/>
      <c r="Z340" s="137"/>
    </row>
    <row r="341" spans="1:26" x14ac:dyDescent="0.15">
      <c r="A341" s="36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136"/>
      <c r="Z341" s="137"/>
    </row>
    <row r="342" spans="1:26" x14ac:dyDescent="0.15">
      <c r="A342" s="36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136"/>
      <c r="Z342" s="137"/>
    </row>
    <row r="343" spans="1:26" x14ac:dyDescent="0.15">
      <c r="A343" s="36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136"/>
      <c r="Z343" s="137"/>
    </row>
    <row r="344" spans="1:26" x14ac:dyDescent="0.15">
      <c r="A344" s="36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136"/>
      <c r="Z344" s="137"/>
    </row>
    <row r="345" spans="1:26" x14ac:dyDescent="0.15">
      <c r="A345" s="36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136"/>
      <c r="Z345" s="137"/>
    </row>
    <row r="346" spans="1:26" x14ac:dyDescent="0.15">
      <c r="A346" s="36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136"/>
      <c r="Z346" s="137"/>
    </row>
    <row r="347" spans="1:26" x14ac:dyDescent="0.15">
      <c r="A347" s="36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136"/>
      <c r="Z347" s="137"/>
    </row>
    <row r="348" spans="1:26" x14ac:dyDescent="0.15">
      <c r="A348" s="36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136"/>
      <c r="Z348" s="137"/>
    </row>
    <row r="349" spans="1:26" x14ac:dyDescent="0.15">
      <c r="A349" s="36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136"/>
      <c r="Z349" s="137"/>
    </row>
    <row r="350" spans="1:26" x14ac:dyDescent="0.15">
      <c r="A350" s="36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136"/>
      <c r="Z350" s="137"/>
    </row>
    <row r="351" spans="1:26" x14ac:dyDescent="0.15">
      <c r="A351" s="36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136"/>
      <c r="Z351" s="137"/>
    </row>
    <row r="352" spans="1:26" x14ac:dyDescent="0.15">
      <c r="A352" s="36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136"/>
      <c r="Z352" s="137"/>
    </row>
    <row r="353" spans="1:26" x14ac:dyDescent="0.15">
      <c r="A353" s="36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136"/>
      <c r="Z353" s="137"/>
    </row>
    <row r="354" spans="1:26" x14ac:dyDescent="0.15">
      <c r="A354" s="36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136"/>
      <c r="Z354" s="137"/>
    </row>
    <row r="355" spans="1:26" x14ac:dyDescent="0.15">
      <c r="A355" s="36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136"/>
      <c r="Z355" s="137"/>
    </row>
    <row r="356" spans="1:26" x14ac:dyDescent="0.15">
      <c r="A356" s="36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136"/>
      <c r="Z356" s="137"/>
    </row>
    <row r="357" spans="1:26" x14ac:dyDescent="0.15">
      <c r="A357" s="36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136"/>
      <c r="Z357" s="137"/>
    </row>
    <row r="358" spans="1:26" x14ac:dyDescent="0.15">
      <c r="A358" s="36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136"/>
      <c r="Z358" s="137"/>
    </row>
    <row r="359" spans="1:26" x14ac:dyDescent="0.15">
      <c r="A359" s="36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136"/>
      <c r="Z359" s="137"/>
    </row>
    <row r="360" spans="1:26" x14ac:dyDescent="0.15">
      <c r="A360" s="36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136"/>
      <c r="Z360" s="137"/>
    </row>
    <row r="361" spans="1:26" x14ac:dyDescent="0.15">
      <c r="A361" s="36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136"/>
      <c r="Z361" s="137"/>
    </row>
    <row r="362" spans="1:26" x14ac:dyDescent="0.15">
      <c r="A362" s="36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136"/>
      <c r="Z362" s="137"/>
    </row>
    <row r="363" spans="1:26" x14ac:dyDescent="0.15">
      <c r="A363" s="36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136"/>
      <c r="Z363" s="137"/>
    </row>
    <row r="364" spans="1:26" x14ac:dyDescent="0.15">
      <c r="A364" s="36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136"/>
      <c r="Z364" s="137"/>
    </row>
    <row r="365" spans="1:26" x14ac:dyDescent="0.15">
      <c r="A365" s="36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136"/>
      <c r="Z365" s="137"/>
    </row>
    <row r="366" spans="1:26" x14ac:dyDescent="0.15">
      <c r="A366" s="36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136"/>
      <c r="Z366" s="137"/>
    </row>
    <row r="367" spans="1:26" x14ac:dyDescent="0.15">
      <c r="A367" s="36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136"/>
      <c r="Z367" s="137"/>
    </row>
    <row r="368" spans="1:26" x14ac:dyDescent="0.15">
      <c r="A368" s="36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136"/>
      <c r="Z368" s="137"/>
    </row>
    <row r="369" spans="1:26" x14ac:dyDescent="0.15">
      <c r="A369" s="36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136"/>
      <c r="Z369" s="137"/>
    </row>
    <row r="370" spans="1:26" x14ac:dyDescent="0.15">
      <c r="A370" s="36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136"/>
      <c r="Z370" s="137"/>
    </row>
    <row r="371" spans="1:26" x14ac:dyDescent="0.15">
      <c r="A371" s="36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136"/>
      <c r="Z371" s="137"/>
    </row>
    <row r="372" spans="1:26" x14ac:dyDescent="0.15">
      <c r="A372" s="36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136"/>
      <c r="Z372" s="137"/>
    </row>
    <row r="373" spans="1:26" x14ac:dyDescent="0.15">
      <c r="A373" s="36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136"/>
      <c r="Z373" s="137"/>
    </row>
    <row r="374" spans="1:26" x14ac:dyDescent="0.15">
      <c r="A374" s="36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136"/>
      <c r="Z374" s="137"/>
    </row>
    <row r="375" spans="1:26" x14ac:dyDescent="0.15">
      <c r="A375" s="36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136"/>
      <c r="Z375" s="137"/>
    </row>
    <row r="376" spans="1:26" x14ac:dyDescent="0.15">
      <c r="A376" s="36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136"/>
      <c r="Z376" s="137"/>
    </row>
    <row r="377" spans="1:26" x14ac:dyDescent="0.15">
      <c r="A377" s="36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136"/>
      <c r="Z377" s="137"/>
    </row>
    <row r="378" spans="1:26" x14ac:dyDescent="0.15">
      <c r="A378" s="36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136"/>
      <c r="Z378" s="137"/>
    </row>
    <row r="379" spans="1:26" x14ac:dyDescent="0.15">
      <c r="A379" s="36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136"/>
      <c r="Z379" s="137"/>
    </row>
    <row r="380" spans="1:26" x14ac:dyDescent="0.15">
      <c r="A380" s="36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136"/>
      <c r="Z380" s="137"/>
    </row>
    <row r="381" spans="1:26" x14ac:dyDescent="0.15">
      <c r="A381" s="36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136"/>
      <c r="Z381" s="137"/>
    </row>
    <row r="382" spans="1:26" x14ac:dyDescent="0.15">
      <c r="A382" s="36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136"/>
      <c r="Z382" s="137"/>
    </row>
    <row r="383" spans="1:26" x14ac:dyDescent="0.15">
      <c r="A383" s="36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136"/>
      <c r="Z383" s="137"/>
    </row>
    <row r="384" spans="1:26" x14ac:dyDescent="0.15">
      <c r="A384" s="36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136"/>
      <c r="Z384" s="137"/>
    </row>
    <row r="385" spans="1:26" x14ac:dyDescent="0.15">
      <c r="A385" s="36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136"/>
      <c r="Z385" s="137"/>
    </row>
    <row r="386" spans="1:26" x14ac:dyDescent="0.15">
      <c r="A386" s="36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136"/>
      <c r="Z386" s="137"/>
    </row>
    <row r="387" spans="1:26" x14ac:dyDescent="0.15">
      <c r="A387" s="36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136"/>
      <c r="Z387" s="137"/>
    </row>
    <row r="388" spans="1:26" x14ac:dyDescent="0.15">
      <c r="A388" s="36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136"/>
      <c r="Z388" s="137"/>
    </row>
    <row r="389" spans="1:26" x14ac:dyDescent="0.15">
      <c r="A389" s="36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136"/>
      <c r="Z389" s="137"/>
    </row>
    <row r="390" spans="1:26" x14ac:dyDescent="0.15">
      <c r="A390" s="36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136"/>
      <c r="Z390" s="137"/>
    </row>
    <row r="391" spans="1:26" x14ac:dyDescent="0.15">
      <c r="A391" s="36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136"/>
      <c r="Z391" s="137"/>
    </row>
    <row r="392" spans="1:26" x14ac:dyDescent="0.15">
      <c r="A392" s="36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136"/>
      <c r="Z392" s="137"/>
    </row>
    <row r="393" spans="1:26" x14ac:dyDescent="0.15">
      <c r="A393" s="36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136"/>
      <c r="Z393" s="137"/>
    </row>
    <row r="394" spans="1:26" x14ac:dyDescent="0.15">
      <c r="A394" s="36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136"/>
      <c r="Z394" s="137"/>
    </row>
    <row r="395" spans="1:26" x14ac:dyDescent="0.15">
      <c r="A395" s="36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136"/>
      <c r="Z395" s="137"/>
    </row>
    <row r="396" spans="1:26" x14ac:dyDescent="0.15">
      <c r="A396" s="36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136"/>
      <c r="Z396" s="137"/>
    </row>
    <row r="397" spans="1:26" x14ac:dyDescent="0.15">
      <c r="A397" s="36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136"/>
      <c r="Z397" s="137"/>
    </row>
    <row r="398" spans="1:26" x14ac:dyDescent="0.15">
      <c r="A398" s="36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136"/>
      <c r="Z398" s="137"/>
    </row>
    <row r="399" spans="1:26" x14ac:dyDescent="0.15">
      <c r="A399" s="36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136"/>
      <c r="Z399" s="137"/>
    </row>
    <row r="400" spans="1:26" x14ac:dyDescent="0.15">
      <c r="A400" s="36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136"/>
      <c r="Z400" s="137"/>
    </row>
    <row r="401" spans="1:26" x14ac:dyDescent="0.15">
      <c r="A401" s="36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136"/>
      <c r="Z401" s="137"/>
    </row>
    <row r="402" spans="1:26" x14ac:dyDescent="0.15">
      <c r="A402" s="36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136"/>
      <c r="Z402" s="137"/>
    </row>
    <row r="403" spans="1:26" x14ac:dyDescent="0.15">
      <c r="A403" s="36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136"/>
      <c r="Z403" s="137"/>
    </row>
    <row r="404" spans="1:26" x14ac:dyDescent="0.15">
      <c r="A404" s="36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136"/>
      <c r="Z404" s="137"/>
    </row>
    <row r="405" spans="1:26" x14ac:dyDescent="0.15">
      <c r="A405" s="36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136"/>
      <c r="Z405" s="137"/>
    </row>
    <row r="406" spans="1:26" x14ac:dyDescent="0.15">
      <c r="A406" s="36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136"/>
      <c r="Z406" s="137"/>
    </row>
    <row r="407" spans="1:26" x14ac:dyDescent="0.15">
      <c r="A407" s="36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136"/>
      <c r="Z407" s="137"/>
    </row>
    <row r="408" spans="1:26" x14ac:dyDescent="0.15">
      <c r="A408" s="36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136"/>
      <c r="Z408" s="137"/>
    </row>
    <row r="409" spans="1:26" x14ac:dyDescent="0.15">
      <c r="A409" s="36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136"/>
      <c r="Z409" s="137"/>
    </row>
    <row r="410" spans="1:26" x14ac:dyDescent="0.15">
      <c r="A410" s="36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136"/>
      <c r="Z410" s="137"/>
    </row>
    <row r="411" spans="1:26" x14ac:dyDescent="0.15">
      <c r="A411" s="36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136"/>
      <c r="Z411" s="137"/>
    </row>
    <row r="412" spans="1:26" x14ac:dyDescent="0.15">
      <c r="A412" s="36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136"/>
      <c r="Z412" s="137"/>
    </row>
    <row r="413" spans="1:26" x14ac:dyDescent="0.15">
      <c r="A413" s="36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136"/>
      <c r="Z413" s="137"/>
    </row>
    <row r="414" spans="1:26" x14ac:dyDescent="0.15">
      <c r="A414" s="36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136"/>
      <c r="Z414" s="137"/>
    </row>
    <row r="415" spans="1:26" x14ac:dyDescent="0.15">
      <c r="A415" s="36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136"/>
      <c r="Z415" s="137"/>
    </row>
    <row r="416" spans="1:26" x14ac:dyDescent="0.15">
      <c r="A416" s="36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136"/>
      <c r="Z416" s="137"/>
    </row>
    <row r="417" spans="1:26" x14ac:dyDescent="0.15">
      <c r="A417" s="36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136"/>
      <c r="Z417" s="137"/>
    </row>
    <row r="418" spans="1:26" x14ac:dyDescent="0.15">
      <c r="A418" s="36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136"/>
      <c r="Z418" s="137"/>
    </row>
    <row r="419" spans="1:26" x14ac:dyDescent="0.15">
      <c r="A419" s="36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136"/>
      <c r="Z419" s="137"/>
    </row>
    <row r="420" spans="1:26" x14ac:dyDescent="0.15">
      <c r="A420" s="36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136"/>
      <c r="Z420" s="137"/>
    </row>
    <row r="421" spans="1:26" x14ac:dyDescent="0.15">
      <c r="A421" s="36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136"/>
      <c r="Z421" s="137"/>
    </row>
    <row r="422" spans="1:26" x14ac:dyDescent="0.15">
      <c r="A422" s="36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136"/>
      <c r="Z422" s="137"/>
    </row>
    <row r="423" spans="1:26" x14ac:dyDescent="0.15">
      <c r="A423" s="36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136"/>
      <c r="Z423" s="137"/>
    </row>
    <row r="424" spans="1:26" x14ac:dyDescent="0.15">
      <c r="A424" s="36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136"/>
      <c r="Z424" s="137"/>
    </row>
    <row r="425" spans="1:26" x14ac:dyDescent="0.15">
      <c r="A425" s="36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136"/>
      <c r="Z425" s="137"/>
    </row>
    <row r="426" spans="1:26" x14ac:dyDescent="0.15">
      <c r="A426" s="36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136"/>
      <c r="Z426" s="137"/>
    </row>
    <row r="427" spans="1:26" x14ac:dyDescent="0.15">
      <c r="A427" s="36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136"/>
      <c r="Z427" s="137"/>
    </row>
    <row r="428" spans="1:26" x14ac:dyDescent="0.15">
      <c r="A428" s="36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136"/>
      <c r="Z428" s="137"/>
    </row>
    <row r="429" spans="1:26" x14ac:dyDescent="0.15">
      <c r="A429" s="36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136"/>
      <c r="Z429" s="137"/>
    </row>
    <row r="430" spans="1:26" x14ac:dyDescent="0.15">
      <c r="A430" s="36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136"/>
      <c r="Z430" s="137"/>
    </row>
    <row r="431" spans="1:26" x14ac:dyDescent="0.15">
      <c r="A431" s="36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136"/>
      <c r="Z431" s="137"/>
    </row>
    <row r="432" spans="1:26" x14ac:dyDescent="0.15">
      <c r="A432" s="36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136"/>
      <c r="Z432" s="137"/>
    </row>
    <row r="433" spans="1:26" x14ac:dyDescent="0.15">
      <c r="A433" s="36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136"/>
      <c r="Z433" s="137"/>
    </row>
    <row r="434" spans="1:26" x14ac:dyDescent="0.15">
      <c r="A434" s="36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136"/>
      <c r="Z434" s="137"/>
    </row>
    <row r="435" spans="1:26" x14ac:dyDescent="0.15">
      <c r="A435" s="36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136"/>
      <c r="Z435" s="137"/>
    </row>
    <row r="436" spans="1:26" x14ac:dyDescent="0.15">
      <c r="A436" s="36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136"/>
      <c r="Z436" s="137"/>
    </row>
    <row r="437" spans="1:26" x14ac:dyDescent="0.15">
      <c r="A437" s="36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136"/>
      <c r="Z437" s="137"/>
    </row>
    <row r="438" spans="1:26" x14ac:dyDescent="0.15">
      <c r="A438" s="36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136"/>
      <c r="Z438" s="137"/>
    </row>
    <row r="439" spans="1:26" x14ac:dyDescent="0.15">
      <c r="A439" s="36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136"/>
      <c r="Z439" s="137"/>
    </row>
    <row r="440" spans="1:26" x14ac:dyDescent="0.15">
      <c r="A440" s="36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136"/>
      <c r="Z440" s="137"/>
    </row>
    <row r="441" spans="1:26" x14ac:dyDescent="0.15">
      <c r="A441" s="36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136"/>
      <c r="Z441" s="137"/>
    </row>
    <row r="442" spans="1:26" x14ac:dyDescent="0.15">
      <c r="A442" s="36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136"/>
      <c r="Z442" s="137"/>
    </row>
    <row r="443" spans="1:26" x14ac:dyDescent="0.15">
      <c r="A443" s="36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136"/>
      <c r="Z443" s="137"/>
    </row>
    <row r="444" spans="1:26" x14ac:dyDescent="0.15">
      <c r="A444" s="36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136"/>
      <c r="Z444" s="137"/>
    </row>
    <row r="445" spans="1:26" x14ac:dyDescent="0.15">
      <c r="A445" s="36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136"/>
      <c r="Z445" s="137"/>
    </row>
    <row r="446" spans="1:26" x14ac:dyDescent="0.15">
      <c r="A446" s="36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136"/>
      <c r="Z446" s="137"/>
    </row>
    <row r="447" spans="1:26" x14ac:dyDescent="0.15">
      <c r="A447" s="36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136"/>
      <c r="Z447" s="137"/>
    </row>
    <row r="448" spans="1:26" x14ac:dyDescent="0.15">
      <c r="A448" s="36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136"/>
      <c r="Z448" s="137"/>
    </row>
    <row r="449" spans="1:26" x14ac:dyDescent="0.15">
      <c r="A449" s="36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136"/>
      <c r="Z449" s="137"/>
    </row>
    <row r="450" spans="1:26" x14ac:dyDescent="0.15">
      <c r="A450" s="36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136"/>
      <c r="Z450" s="137"/>
    </row>
    <row r="451" spans="1:26" x14ac:dyDescent="0.15">
      <c r="A451" s="36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136"/>
      <c r="Z451" s="137"/>
    </row>
    <row r="452" spans="1:26" x14ac:dyDescent="0.15">
      <c r="A452" s="36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136"/>
      <c r="Z452" s="137"/>
    </row>
    <row r="453" spans="1:26" x14ac:dyDescent="0.15">
      <c r="A453" s="36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136"/>
      <c r="Z453" s="137"/>
    </row>
    <row r="454" spans="1:26" x14ac:dyDescent="0.15">
      <c r="A454" s="36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136"/>
      <c r="Z454" s="137"/>
    </row>
    <row r="455" spans="1:26" x14ac:dyDescent="0.15">
      <c r="A455" s="36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136"/>
      <c r="Z455" s="137"/>
    </row>
    <row r="456" spans="1:26" x14ac:dyDescent="0.15">
      <c r="A456" s="36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136"/>
      <c r="Z456" s="137"/>
    </row>
    <row r="457" spans="1:26" x14ac:dyDescent="0.15">
      <c r="A457" s="36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136"/>
      <c r="Z457" s="137"/>
    </row>
    <row r="458" spans="1:26" x14ac:dyDescent="0.15">
      <c r="A458" s="36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136"/>
      <c r="Z458" s="137"/>
    </row>
    <row r="459" spans="1:26" x14ac:dyDescent="0.15">
      <c r="A459" s="36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136"/>
      <c r="Z459" s="137"/>
    </row>
    <row r="460" spans="1:26" x14ac:dyDescent="0.15">
      <c r="A460" s="36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136"/>
      <c r="Z460" s="137"/>
    </row>
    <row r="461" spans="1:26" x14ac:dyDescent="0.15">
      <c r="A461" s="36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136"/>
      <c r="Z461" s="137"/>
    </row>
    <row r="462" spans="1:26" x14ac:dyDescent="0.15">
      <c r="A462" s="36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136"/>
      <c r="Z462" s="137"/>
    </row>
    <row r="463" spans="1:26" x14ac:dyDescent="0.15">
      <c r="A463" s="36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136"/>
      <c r="Z463" s="137"/>
    </row>
    <row r="464" spans="1:26" x14ac:dyDescent="0.15">
      <c r="A464" s="36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136"/>
      <c r="Z464" s="137"/>
    </row>
    <row r="465" spans="1:26" x14ac:dyDescent="0.15">
      <c r="A465" s="36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136"/>
      <c r="Z465" s="137"/>
    </row>
    <row r="466" spans="1:26" x14ac:dyDescent="0.15">
      <c r="A466" s="36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136"/>
      <c r="Z466" s="137"/>
    </row>
    <row r="467" spans="1:26" x14ac:dyDescent="0.15">
      <c r="A467" s="36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136"/>
      <c r="Z467" s="137"/>
    </row>
    <row r="468" spans="1:26" x14ac:dyDescent="0.15">
      <c r="A468" s="36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136"/>
      <c r="Z468" s="137"/>
    </row>
    <row r="469" spans="1:26" x14ac:dyDescent="0.15">
      <c r="A469" s="36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136"/>
      <c r="Z469" s="137"/>
    </row>
    <row r="470" spans="1:26" x14ac:dyDescent="0.15">
      <c r="A470" s="36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136"/>
      <c r="Z470" s="137"/>
    </row>
    <row r="471" spans="1:26" x14ac:dyDescent="0.15">
      <c r="A471" s="36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136"/>
      <c r="Z471" s="137"/>
    </row>
    <row r="472" spans="1:26" x14ac:dyDescent="0.15">
      <c r="A472" s="36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136"/>
      <c r="Z472" s="137"/>
    </row>
    <row r="473" spans="1:26" x14ac:dyDescent="0.15">
      <c r="A473" s="36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136"/>
      <c r="Z473" s="137"/>
    </row>
    <row r="474" spans="1:26" x14ac:dyDescent="0.15">
      <c r="A474" s="36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136"/>
      <c r="Z474" s="137"/>
    </row>
    <row r="475" spans="1:26" x14ac:dyDescent="0.15">
      <c r="A475" s="36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136"/>
      <c r="Z475" s="137"/>
    </row>
    <row r="476" spans="1:26" x14ac:dyDescent="0.15">
      <c r="A476" s="36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136"/>
      <c r="Z476" s="137"/>
    </row>
    <row r="477" spans="1:26" x14ac:dyDescent="0.15">
      <c r="A477" s="36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136"/>
      <c r="Z477" s="137"/>
    </row>
    <row r="478" spans="1:26" x14ac:dyDescent="0.15">
      <c r="A478" s="36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136"/>
      <c r="Z478" s="137"/>
    </row>
    <row r="479" spans="1:26" x14ac:dyDescent="0.15">
      <c r="A479" s="36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136"/>
      <c r="Z479" s="137"/>
    </row>
    <row r="480" spans="1:26" x14ac:dyDescent="0.15">
      <c r="A480" s="36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136"/>
      <c r="Z480" s="137"/>
    </row>
    <row r="481" spans="1:26" x14ac:dyDescent="0.15">
      <c r="A481" s="36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136"/>
      <c r="Z481" s="137"/>
    </row>
    <row r="482" spans="1:26" x14ac:dyDescent="0.15">
      <c r="A482" s="36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136"/>
      <c r="Z482" s="137"/>
    </row>
    <row r="483" spans="1:26" x14ac:dyDescent="0.15">
      <c r="A483" s="36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136"/>
      <c r="Z483" s="137"/>
    </row>
    <row r="484" spans="1:26" x14ac:dyDescent="0.15">
      <c r="A484" s="36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136"/>
      <c r="Z484" s="137"/>
    </row>
    <row r="485" spans="1:26" x14ac:dyDescent="0.15">
      <c r="A485" s="36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136"/>
      <c r="Z485" s="137"/>
    </row>
    <row r="486" spans="1:26" x14ac:dyDescent="0.15">
      <c r="A486" s="36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136"/>
      <c r="Z486" s="137"/>
    </row>
    <row r="487" spans="1:26" x14ac:dyDescent="0.15">
      <c r="A487" s="36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136"/>
      <c r="Z487" s="137"/>
    </row>
    <row r="488" spans="1:26" x14ac:dyDescent="0.15">
      <c r="A488" s="36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136"/>
      <c r="Z488" s="137"/>
    </row>
    <row r="489" spans="1:26" x14ac:dyDescent="0.15">
      <c r="A489" s="36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136"/>
      <c r="Z489" s="137"/>
    </row>
    <row r="490" spans="1:26" x14ac:dyDescent="0.15">
      <c r="A490" s="36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136"/>
      <c r="Z490" s="137"/>
    </row>
    <row r="491" spans="1:26" x14ac:dyDescent="0.15">
      <c r="A491" s="36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136"/>
      <c r="Z491" s="137"/>
    </row>
    <row r="492" spans="1:26" x14ac:dyDescent="0.15">
      <c r="A492" s="36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136"/>
      <c r="Z492" s="137"/>
    </row>
    <row r="493" spans="1:26" x14ac:dyDescent="0.15">
      <c r="A493" s="36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136"/>
      <c r="Z493" s="137"/>
    </row>
    <row r="494" spans="1:26" x14ac:dyDescent="0.15">
      <c r="A494" s="36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136"/>
      <c r="Z494" s="137"/>
    </row>
    <row r="495" spans="1:26" x14ac:dyDescent="0.15">
      <c r="A495" s="36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136"/>
      <c r="Z495" s="137"/>
    </row>
    <row r="496" spans="1:26" x14ac:dyDescent="0.15">
      <c r="A496" s="36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136"/>
      <c r="Z496" s="137"/>
    </row>
    <row r="497" spans="1:26" x14ac:dyDescent="0.15">
      <c r="A497" s="36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136"/>
      <c r="Z497" s="137"/>
    </row>
    <row r="498" spans="1:26" x14ac:dyDescent="0.15">
      <c r="A498" s="36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136"/>
      <c r="Z498" s="137"/>
    </row>
    <row r="499" spans="1:26" x14ac:dyDescent="0.15">
      <c r="A499" s="36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136"/>
      <c r="Z499" s="137"/>
    </row>
    <row r="500" spans="1:26" x14ac:dyDescent="0.15">
      <c r="A500" s="36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136"/>
      <c r="Z500" s="137"/>
    </row>
    <row r="501" spans="1:26" x14ac:dyDescent="0.15">
      <c r="A501" s="36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136"/>
      <c r="Z501" s="137"/>
    </row>
    <row r="502" spans="1:26" x14ac:dyDescent="0.15">
      <c r="A502" s="36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136"/>
      <c r="Z502" s="137"/>
    </row>
    <row r="503" spans="1:26" x14ac:dyDescent="0.15">
      <c r="A503" s="36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136"/>
      <c r="Z503" s="137"/>
    </row>
    <row r="504" spans="1:26" x14ac:dyDescent="0.15">
      <c r="A504" s="36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136"/>
      <c r="Z504" s="137"/>
    </row>
    <row r="505" spans="1:26" x14ac:dyDescent="0.15">
      <c r="A505" s="36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136"/>
      <c r="Z505" s="137"/>
    </row>
    <row r="506" spans="1:26" x14ac:dyDescent="0.15">
      <c r="A506" s="36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136"/>
      <c r="Z506" s="137"/>
    </row>
    <row r="507" spans="1:26" x14ac:dyDescent="0.15">
      <c r="A507" s="36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136"/>
      <c r="Z507" s="137"/>
    </row>
    <row r="508" spans="1:26" x14ac:dyDescent="0.15">
      <c r="A508" s="36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136"/>
      <c r="Z508" s="137"/>
    </row>
    <row r="509" spans="1:26" x14ac:dyDescent="0.15">
      <c r="A509" s="36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136"/>
      <c r="Z509" s="137"/>
    </row>
    <row r="510" spans="1:26" x14ac:dyDescent="0.15">
      <c r="A510" s="36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136"/>
      <c r="Z510" s="137"/>
    </row>
    <row r="511" spans="1:26" x14ac:dyDescent="0.15">
      <c r="A511" s="36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136"/>
      <c r="Z511" s="137"/>
    </row>
    <row r="512" spans="1:26" x14ac:dyDescent="0.15">
      <c r="A512" s="36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136"/>
      <c r="Z512" s="137"/>
    </row>
    <row r="513" spans="1:26" x14ac:dyDescent="0.15">
      <c r="A513" s="36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136"/>
      <c r="Z513" s="137"/>
    </row>
    <row r="514" spans="1:26" x14ac:dyDescent="0.15">
      <c r="A514" s="36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136"/>
      <c r="Z514" s="137"/>
    </row>
    <row r="515" spans="1:26" x14ac:dyDescent="0.15">
      <c r="A515" s="36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136"/>
      <c r="Z515" s="137"/>
    </row>
    <row r="516" spans="1:26" x14ac:dyDescent="0.15">
      <c r="A516" s="36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136"/>
      <c r="Z516" s="137"/>
    </row>
    <row r="517" spans="1:26" x14ac:dyDescent="0.15">
      <c r="A517" s="36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136"/>
      <c r="Z517" s="137"/>
    </row>
    <row r="518" spans="1:26" x14ac:dyDescent="0.15">
      <c r="A518" s="36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136"/>
      <c r="Z518" s="137"/>
    </row>
    <row r="519" spans="1:26" x14ac:dyDescent="0.15">
      <c r="A519" s="36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136"/>
      <c r="Z519" s="137"/>
    </row>
    <row r="520" spans="1:26" x14ac:dyDescent="0.15">
      <c r="A520" s="36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136"/>
      <c r="Z520" s="137"/>
    </row>
    <row r="521" spans="1:26" x14ac:dyDescent="0.15">
      <c r="A521" s="36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136"/>
      <c r="Z521" s="137"/>
    </row>
    <row r="522" spans="1:26" x14ac:dyDescent="0.15">
      <c r="A522" s="36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136"/>
      <c r="Z522" s="137"/>
    </row>
    <row r="523" spans="1:26" x14ac:dyDescent="0.15">
      <c r="A523" s="36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136"/>
      <c r="Z523" s="137"/>
    </row>
    <row r="524" spans="1:26" x14ac:dyDescent="0.15">
      <c r="A524" s="36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136"/>
      <c r="Z524" s="137"/>
    </row>
    <row r="525" spans="1:26" x14ac:dyDescent="0.15">
      <c r="A525" s="36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136"/>
      <c r="Z525" s="137"/>
    </row>
    <row r="526" spans="1:26" x14ac:dyDescent="0.15">
      <c r="A526" s="36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136"/>
      <c r="Z526" s="137"/>
    </row>
    <row r="527" spans="1:26" x14ac:dyDescent="0.15">
      <c r="A527" s="36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136"/>
      <c r="Z527" s="137"/>
    </row>
    <row r="528" spans="1:26" x14ac:dyDescent="0.15">
      <c r="A528" s="36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136"/>
      <c r="Z528" s="137"/>
    </row>
    <row r="529" spans="1:26" x14ac:dyDescent="0.15">
      <c r="A529" s="36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136"/>
      <c r="Z529" s="137"/>
    </row>
    <row r="530" spans="1:26" x14ac:dyDescent="0.15">
      <c r="A530" s="36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136"/>
      <c r="Z530" s="137"/>
    </row>
    <row r="531" spans="1:26" x14ac:dyDescent="0.15">
      <c r="A531" s="36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136"/>
      <c r="Z531" s="137"/>
    </row>
    <row r="532" spans="1:26" x14ac:dyDescent="0.15">
      <c r="A532" s="36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136"/>
      <c r="Z532" s="137"/>
    </row>
    <row r="533" spans="1:26" x14ac:dyDescent="0.15">
      <c r="A533" s="36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136"/>
      <c r="Z533" s="137"/>
    </row>
    <row r="534" spans="1:26" x14ac:dyDescent="0.15">
      <c r="A534" s="36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136"/>
      <c r="Z534" s="137"/>
    </row>
    <row r="535" spans="1:26" x14ac:dyDescent="0.15">
      <c r="A535" s="36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136"/>
      <c r="Z535" s="137"/>
    </row>
    <row r="536" spans="1:26" x14ac:dyDescent="0.15">
      <c r="A536" s="36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136"/>
      <c r="Z536" s="137"/>
    </row>
    <row r="537" spans="1:26" x14ac:dyDescent="0.15">
      <c r="A537" s="36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136"/>
      <c r="Z537" s="137"/>
    </row>
    <row r="538" spans="1:26" x14ac:dyDescent="0.15">
      <c r="A538" s="36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136"/>
      <c r="Z538" s="137"/>
    </row>
    <row r="539" spans="1:26" x14ac:dyDescent="0.15">
      <c r="A539" s="36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136"/>
      <c r="Z539" s="137"/>
    </row>
    <row r="540" spans="1:26" x14ac:dyDescent="0.15">
      <c r="A540" s="36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136"/>
      <c r="Z540" s="137"/>
    </row>
    <row r="541" spans="1:26" x14ac:dyDescent="0.15">
      <c r="A541" s="36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136"/>
      <c r="Z541" s="137"/>
    </row>
    <row r="542" spans="1:26" x14ac:dyDescent="0.15">
      <c r="A542" s="36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136"/>
      <c r="Z542" s="137"/>
    </row>
    <row r="543" spans="1:26" x14ac:dyDescent="0.15">
      <c r="A543" s="36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136"/>
      <c r="Z543" s="137"/>
    </row>
    <row r="544" spans="1:26" x14ac:dyDescent="0.15">
      <c r="A544" s="36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136"/>
      <c r="Z544" s="137"/>
    </row>
    <row r="545" spans="1:26" x14ac:dyDescent="0.15">
      <c r="A545" s="36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136"/>
      <c r="Z545" s="137"/>
    </row>
    <row r="546" spans="1:26" x14ac:dyDescent="0.15">
      <c r="A546" s="36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136"/>
      <c r="Z546" s="137"/>
    </row>
    <row r="547" spans="1:26" x14ac:dyDescent="0.15">
      <c r="A547" s="36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136"/>
      <c r="Z547" s="137"/>
    </row>
    <row r="548" spans="1:26" x14ac:dyDescent="0.15">
      <c r="A548" s="36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136"/>
      <c r="Z548" s="137"/>
    </row>
    <row r="549" spans="1:26" x14ac:dyDescent="0.15">
      <c r="A549" s="36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136"/>
      <c r="Z549" s="137"/>
    </row>
    <row r="550" spans="1:26" x14ac:dyDescent="0.15">
      <c r="A550" s="36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136"/>
      <c r="Z550" s="137"/>
    </row>
    <row r="551" spans="1:26" x14ac:dyDescent="0.15">
      <c r="A551" s="36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136"/>
      <c r="Z551" s="137"/>
    </row>
    <row r="552" spans="1:26" x14ac:dyDescent="0.15">
      <c r="A552" s="36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136"/>
      <c r="Z552" s="137"/>
    </row>
    <row r="553" spans="1:26" x14ac:dyDescent="0.15">
      <c r="A553" s="36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136"/>
      <c r="Z553" s="137"/>
    </row>
    <row r="554" spans="1:26" x14ac:dyDescent="0.15">
      <c r="A554" s="36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136"/>
      <c r="Z554" s="137"/>
    </row>
    <row r="555" spans="1:26" x14ac:dyDescent="0.15">
      <c r="A555" s="36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136"/>
      <c r="Z555" s="137"/>
    </row>
    <row r="556" spans="1:26" x14ac:dyDescent="0.15">
      <c r="A556" s="36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136"/>
      <c r="Z556" s="137"/>
    </row>
    <row r="557" spans="1:26" x14ac:dyDescent="0.15">
      <c r="A557" s="36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136"/>
      <c r="Z557" s="137"/>
    </row>
    <row r="558" spans="1:26" x14ac:dyDescent="0.15">
      <c r="A558" s="36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136"/>
      <c r="Z558" s="137"/>
    </row>
    <row r="559" spans="1:26" x14ac:dyDescent="0.15">
      <c r="A559" s="36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136"/>
      <c r="Z559" s="137"/>
    </row>
    <row r="560" spans="1:26" x14ac:dyDescent="0.15">
      <c r="A560" s="36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136"/>
      <c r="Z560" s="137"/>
    </row>
    <row r="561" spans="1:26" x14ac:dyDescent="0.15">
      <c r="A561" s="36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136"/>
      <c r="Z561" s="137"/>
    </row>
    <row r="562" spans="1:26" x14ac:dyDescent="0.15">
      <c r="A562" s="36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136"/>
      <c r="Z562" s="137"/>
    </row>
    <row r="563" spans="1:26" x14ac:dyDescent="0.15">
      <c r="A563" s="36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136"/>
      <c r="Z563" s="137"/>
    </row>
    <row r="564" spans="1:26" x14ac:dyDescent="0.15">
      <c r="A564" s="36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136"/>
      <c r="Z564" s="137"/>
    </row>
    <row r="565" spans="1:26" x14ac:dyDescent="0.15">
      <c r="A565" s="36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136"/>
      <c r="Z565" s="137"/>
    </row>
    <row r="566" spans="1:26" x14ac:dyDescent="0.15">
      <c r="A566" s="36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136"/>
      <c r="Z566" s="137"/>
    </row>
    <row r="567" spans="1:26" x14ac:dyDescent="0.15">
      <c r="A567" s="36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136"/>
      <c r="Z567" s="137"/>
    </row>
    <row r="568" spans="1:26" x14ac:dyDescent="0.15">
      <c r="A568" s="36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136"/>
      <c r="Z568" s="137"/>
    </row>
    <row r="569" spans="1:26" x14ac:dyDescent="0.15">
      <c r="A569" s="36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136"/>
      <c r="Z569" s="137"/>
    </row>
    <row r="570" spans="1:26" x14ac:dyDescent="0.15">
      <c r="A570" s="36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136"/>
      <c r="Z570" s="137"/>
    </row>
    <row r="571" spans="1:26" x14ac:dyDescent="0.15">
      <c r="A571" s="36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136"/>
      <c r="Z571" s="137"/>
    </row>
    <row r="572" spans="1:26" x14ac:dyDescent="0.15">
      <c r="A572" s="36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136"/>
      <c r="Z572" s="137"/>
    </row>
    <row r="573" spans="1:26" x14ac:dyDescent="0.15">
      <c r="A573" s="36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136"/>
      <c r="Z573" s="137"/>
    </row>
    <row r="574" spans="1:26" x14ac:dyDescent="0.15">
      <c r="A574" s="36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136"/>
      <c r="Z574" s="137"/>
    </row>
    <row r="575" spans="1:26" x14ac:dyDescent="0.15">
      <c r="A575" s="36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136"/>
      <c r="Z575" s="137"/>
    </row>
    <row r="576" spans="1:26" x14ac:dyDescent="0.15">
      <c r="A576" s="36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136"/>
      <c r="Z576" s="137"/>
    </row>
    <row r="577" spans="1:26" x14ac:dyDescent="0.15">
      <c r="A577" s="36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136"/>
      <c r="Z577" s="137"/>
    </row>
    <row r="578" spans="1:26" x14ac:dyDescent="0.15">
      <c r="A578" s="36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136"/>
      <c r="Z578" s="137"/>
    </row>
    <row r="579" spans="1:26" x14ac:dyDescent="0.15">
      <c r="A579" s="36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136"/>
      <c r="Z579" s="137"/>
    </row>
    <row r="580" spans="1:26" x14ac:dyDescent="0.15">
      <c r="A580" s="36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136"/>
      <c r="Z580" s="137"/>
    </row>
    <row r="581" spans="1:26" x14ac:dyDescent="0.15">
      <c r="A581" s="36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136"/>
      <c r="Z581" s="137"/>
    </row>
    <row r="582" spans="1:26" x14ac:dyDescent="0.15">
      <c r="A582" s="36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136"/>
      <c r="Z582" s="137"/>
    </row>
    <row r="583" spans="1:26" x14ac:dyDescent="0.15">
      <c r="A583" s="36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136"/>
      <c r="Z583" s="137"/>
    </row>
    <row r="584" spans="1:26" x14ac:dyDescent="0.15">
      <c r="A584" s="36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136"/>
      <c r="Z584" s="137"/>
    </row>
    <row r="585" spans="1:26" x14ac:dyDescent="0.15">
      <c r="A585" s="36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136"/>
      <c r="Z585" s="137"/>
    </row>
    <row r="586" spans="1:26" x14ac:dyDescent="0.15">
      <c r="A586" s="36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136"/>
      <c r="Z586" s="137"/>
    </row>
    <row r="587" spans="1:26" x14ac:dyDescent="0.15">
      <c r="A587" s="36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136"/>
      <c r="Z587" s="137"/>
    </row>
    <row r="588" spans="1:26" x14ac:dyDescent="0.15">
      <c r="A588" s="36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136"/>
      <c r="Z588" s="137"/>
    </row>
    <row r="589" spans="1:26" x14ac:dyDescent="0.15">
      <c r="A589" s="36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136"/>
      <c r="Z589" s="137"/>
    </row>
    <row r="590" spans="1:26" x14ac:dyDescent="0.15">
      <c r="A590" s="36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136"/>
      <c r="Z590" s="137"/>
    </row>
    <row r="591" spans="1:26" x14ac:dyDescent="0.15">
      <c r="A591" s="36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136"/>
      <c r="Z591" s="137"/>
    </row>
    <row r="592" spans="1:26" x14ac:dyDescent="0.15">
      <c r="A592" s="36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136"/>
      <c r="Z592" s="137"/>
    </row>
    <row r="593" spans="1:26" x14ac:dyDescent="0.15">
      <c r="A593" s="36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136"/>
      <c r="Z593" s="137"/>
    </row>
    <row r="594" spans="1:26" x14ac:dyDescent="0.15">
      <c r="A594" s="36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136"/>
      <c r="Z594" s="137"/>
    </row>
    <row r="595" spans="1:26" x14ac:dyDescent="0.15">
      <c r="A595" s="36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136"/>
      <c r="Z595" s="137"/>
    </row>
    <row r="596" spans="1:26" x14ac:dyDescent="0.15">
      <c r="A596" s="36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136"/>
      <c r="Z596" s="137"/>
    </row>
    <row r="597" spans="1:26" x14ac:dyDescent="0.15">
      <c r="A597" s="36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136"/>
      <c r="Z597" s="137"/>
    </row>
    <row r="598" spans="1:26" x14ac:dyDescent="0.15">
      <c r="A598" s="36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136"/>
      <c r="Z598" s="137"/>
    </row>
    <row r="599" spans="1:26" x14ac:dyDescent="0.15">
      <c r="A599" s="36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136"/>
      <c r="Z599" s="137"/>
    </row>
    <row r="600" spans="1:26" x14ac:dyDescent="0.15">
      <c r="A600" s="36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136"/>
      <c r="Z600" s="137"/>
    </row>
    <row r="601" spans="1:26" x14ac:dyDescent="0.15">
      <c r="A601" s="36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136"/>
      <c r="Z601" s="137"/>
    </row>
    <row r="602" spans="1:26" x14ac:dyDescent="0.15">
      <c r="A602" s="36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136"/>
      <c r="Z602" s="137"/>
    </row>
    <row r="603" spans="1:26" x14ac:dyDescent="0.15">
      <c r="A603" s="36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136"/>
      <c r="Z603" s="137"/>
    </row>
    <row r="604" spans="1:26" x14ac:dyDescent="0.15">
      <c r="A604" s="36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136"/>
      <c r="Z604" s="137"/>
    </row>
    <row r="605" spans="1:26" x14ac:dyDescent="0.15">
      <c r="A605" s="36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136"/>
      <c r="Z605" s="137"/>
    </row>
    <row r="606" spans="1:26" x14ac:dyDescent="0.15">
      <c r="A606" s="36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136"/>
      <c r="Z606" s="137"/>
    </row>
    <row r="607" spans="1:26" x14ac:dyDescent="0.15">
      <c r="A607" s="36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136"/>
      <c r="Z607" s="137"/>
    </row>
    <row r="608" spans="1:26" x14ac:dyDescent="0.15">
      <c r="A608" s="36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136"/>
      <c r="Z608" s="137"/>
    </row>
    <row r="609" spans="1:26" x14ac:dyDescent="0.15">
      <c r="A609" s="36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136"/>
      <c r="Z609" s="137"/>
    </row>
    <row r="610" spans="1:26" x14ac:dyDescent="0.15">
      <c r="A610" s="36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136"/>
      <c r="Z610" s="137"/>
    </row>
    <row r="611" spans="1:26" x14ac:dyDescent="0.15">
      <c r="A611" s="36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136"/>
      <c r="Z611" s="137"/>
    </row>
    <row r="612" spans="1:26" x14ac:dyDescent="0.15">
      <c r="A612" s="36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136"/>
      <c r="Z612" s="137"/>
    </row>
    <row r="613" spans="1:26" x14ac:dyDescent="0.15">
      <c r="A613" s="36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136"/>
      <c r="Z613" s="137"/>
    </row>
    <row r="614" spans="1:26" x14ac:dyDescent="0.15">
      <c r="A614" s="36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136"/>
      <c r="Z614" s="137"/>
    </row>
    <row r="615" spans="1:26" x14ac:dyDescent="0.15">
      <c r="A615" s="36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136"/>
      <c r="Z615" s="137"/>
    </row>
    <row r="616" spans="1:26" x14ac:dyDescent="0.15">
      <c r="A616" s="36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136"/>
      <c r="Z616" s="137"/>
    </row>
    <row r="617" spans="1:26" x14ac:dyDescent="0.15">
      <c r="A617" s="36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136"/>
      <c r="Z617" s="137"/>
    </row>
    <row r="618" spans="1:26" x14ac:dyDescent="0.15">
      <c r="A618" s="36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136"/>
      <c r="Z618" s="137"/>
    </row>
    <row r="619" spans="1:26" x14ac:dyDescent="0.15">
      <c r="A619" s="36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136"/>
      <c r="Z619" s="137"/>
    </row>
    <row r="620" spans="1:26" x14ac:dyDescent="0.15">
      <c r="A620" s="36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136"/>
      <c r="Z620" s="137"/>
    </row>
    <row r="621" spans="1:26" x14ac:dyDescent="0.15">
      <c r="A621" s="36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136"/>
      <c r="Z621" s="137"/>
    </row>
    <row r="622" spans="1:26" x14ac:dyDescent="0.15">
      <c r="A622" s="36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136"/>
      <c r="Z622" s="137"/>
    </row>
    <row r="623" spans="1:26" x14ac:dyDescent="0.15">
      <c r="A623" s="36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136"/>
      <c r="Z623" s="137"/>
    </row>
    <row r="624" spans="1:26" x14ac:dyDescent="0.15">
      <c r="A624" s="36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136"/>
      <c r="Z624" s="137"/>
    </row>
    <row r="625" spans="1:26" x14ac:dyDescent="0.15">
      <c r="A625" s="36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136"/>
      <c r="Z625" s="137"/>
    </row>
    <row r="626" spans="1:26" x14ac:dyDescent="0.15">
      <c r="A626" s="36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136"/>
      <c r="Z626" s="137"/>
    </row>
    <row r="627" spans="1:26" x14ac:dyDescent="0.15">
      <c r="A627" s="36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136"/>
      <c r="Z627" s="137"/>
    </row>
    <row r="628" spans="1:26" x14ac:dyDescent="0.15">
      <c r="A628" s="36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136"/>
      <c r="Z628" s="137"/>
    </row>
    <row r="629" spans="1:26" x14ac:dyDescent="0.15">
      <c r="A629" s="36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136"/>
      <c r="Z629" s="137"/>
    </row>
    <row r="630" spans="1:26" x14ac:dyDescent="0.15">
      <c r="A630" s="36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136"/>
      <c r="Z630" s="137"/>
    </row>
    <row r="631" spans="1:26" x14ac:dyDescent="0.15">
      <c r="A631" s="36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136"/>
      <c r="Z631" s="137"/>
    </row>
    <row r="632" spans="1:26" x14ac:dyDescent="0.15">
      <c r="A632" s="36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136"/>
      <c r="Z632" s="137"/>
    </row>
    <row r="633" spans="1:26" x14ac:dyDescent="0.15">
      <c r="A633" s="36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136"/>
      <c r="Z633" s="137"/>
    </row>
    <row r="634" spans="1:26" x14ac:dyDescent="0.15">
      <c r="A634" s="36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136"/>
      <c r="Z634" s="137"/>
    </row>
    <row r="635" spans="1:26" x14ac:dyDescent="0.15">
      <c r="A635" s="36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136"/>
      <c r="Z635" s="137"/>
    </row>
    <row r="636" spans="1:26" x14ac:dyDescent="0.15">
      <c r="A636" s="36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136"/>
      <c r="Z636" s="137"/>
    </row>
    <row r="637" spans="1:26" x14ac:dyDescent="0.15">
      <c r="A637" s="36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136"/>
      <c r="Z637" s="137"/>
    </row>
    <row r="638" spans="1:26" x14ac:dyDescent="0.15">
      <c r="A638" s="36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136"/>
      <c r="Z638" s="137"/>
    </row>
    <row r="639" spans="1:26" x14ac:dyDescent="0.15">
      <c r="A639" s="36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136"/>
      <c r="Z639" s="137"/>
    </row>
    <row r="640" spans="1:26" x14ac:dyDescent="0.15">
      <c r="A640" s="36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136"/>
      <c r="Z640" s="137"/>
    </row>
    <row r="641" spans="1:26" x14ac:dyDescent="0.15">
      <c r="A641" s="36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136"/>
      <c r="Z641" s="137"/>
    </row>
    <row r="642" spans="1:26" x14ac:dyDescent="0.15">
      <c r="A642" s="36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136"/>
      <c r="Z642" s="137"/>
    </row>
    <row r="643" spans="1:26" x14ac:dyDescent="0.15">
      <c r="A643" s="36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136"/>
      <c r="Z643" s="137"/>
    </row>
    <row r="644" spans="1:26" x14ac:dyDescent="0.15">
      <c r="A644" s="36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136"/>
      <c r="Z644" s="137"/>
    </row>
    <row r="645" spans="1:26" x14ac:dyDescent="0.15">
      <c r="A645" s="36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136"/>
      <c r="Z645" s="137"/>
    </row>
    <row r="646" spans="1:26" x14ac:dyDescent="0.15">
      <c r="A646" s="36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136"/>
      <c r="Z646" s="137"/>
    </row>
    <row r="647" spans="1:26" x14ac:dyDescent="0.15">
      <c r="A647" s="36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136"/>
      <c r="Z647" s="137"/>
    </row>
    <row r="648" spans="1:26" x14ac:dyDescent="0.15">
      <c r="A648" s="36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136"/>
      <c r="Z648" s="137"/>
    </row>
    <row r="649" spans="1:26" x14ac:dyDescent="0.15">
      <c r="A649" s="36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136"/>
      <c r="Z649" s="137"/>
    </row>
    <row r="650" spans="1:26" x14ac:dyDescent="0.15">
      <c r="A650" s="36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136"/>
      <c r="Z650" s="137"/>
    </row>
    <row r="651" spans="1:26" x14ac:dyDescent="0.15">
      <c r="A651" s="36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136"/>
      <c r="Z651" s="137"/>
    </row>
    <row r="652" spans="1:26" x14ac:dyDescent="0.15">
      <c r="A652" s="36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136"/>
      <c r="Z652" s="137"/>
    </row>
    <row r="653" spans="1:26" x14ac:dyDescent="0.15">
      <c r="A653" s="36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136"/>
      <c r="Z653" s="137"/>
    </row>
    <row r="654" spans="1:26" x14ac:dyDescent="0.15">
      <c r="A654" s="36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136"/>
      <c r="Z654" s="137"/>
    </row>
    <row r="655" spans="1:26" x14ac:dyDescent="0.15">
      <c r="A655" s="36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136"/>
      <c r="Z655" s="137"/>
    </row>
    <row r="656" spans="1:26" x14ac:dyDescent="0.15">
      <c r="A656" s="36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136"/>
      <c r="Z656" s="137"/>
    </row>
    <row r="657" spans="1:26" x14ac:dyDescent="0.15">
      <c r="A657" s="36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136"/>
      <c r="Z657" s="137"/>
    </row>
    <row r="658" spans="1:26" x14ac:dyDescent="0.15">
      <c r="A658" s="36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136"/>
      <c r="Z658" s="137"/>
    </row>
    <row r="659" spans="1:26" x14ac:dyDescent="0.15">
      <c r="A659" s="36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136"/>
      <c r="Z659" s="137"/>
    </row>
    <row r="660" spans="1:26" x14ac:dyDescent="0.15">
      <c r="A660" s="36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136"/>
      <c r="Z660" s="137"/>
    </row>
    <row r="661" spans="1:26" x14ac:dyDescent="0.15">
      <c r="A661" s="36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136"/>
      <c r="Z661" s="137"/>
    </row>
    <row r="662" spans="1:26" x14ac:dyDescent="0.15">
      <c r="A662" s="36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136"/>
      <c r="Z662" s="137"/>
    </row>
    <row r="663" spans="1:26" x14ac:dyDescent="0.15">
      <c r="A663" s="36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136"/>
      <c r="Z663" s="137"/>
    </row>
    <row r="664" spans="1:26" x14ac:dyDescent="0.15">
      <c r="A664" s="36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136"/>
      <c r="Z664" s="137"/>
    </row>
    <row r="665" spans="1:26" x14ac:dyDescent="0.15">
      <c r="A665" s="36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136"/>
      <c r="Z665" s="137"/>
    </row>
    <row r="666" spans="1:26" x14ac:dyDescent="0.15">
      <c r="A666" s="36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136"/>
      <c r="Z666" s="137"/>
    </row>
    <row r="667" spans="1:26" x14ac:dyDescent="0.15">
      <c r="A667" s="36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136"/>
      <c r="Z667" s="137"/>
    </row>
    <row r="668" spans="1:26" x14ac:dyDescent="0.15">
      <c r="A668" s="36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136"/>
      <c r="Z668" s="137"/>
    </row>
    <row r="669" spans="1:26" x14ac:dyDescent="0.15">
      <c r="A669" s="36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136"/>
      <c r="Z669" s="137"/>
    </row>
    <row r="670" spans="1:26" x14ac:dyDescent="0.15">
      <c r="A670" s="36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136"/>
      <c r="Z670" s="137"/>
    </row>
    <row r="671" spans="1:26" x14ac:dyDescent="0.15">
      <c r="A671" s="36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136"/>
      <c r="Z671" s="137"/>
    </row>
    <row r="672" spans="1:26" x14ac:dyDescent="0.15">
      <c r="A672" s="36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136"/>
      <c r="Z672" s="137"/>
    </row>
    <row r="673" spans="1:26" x14ac:dyDescent="0.15">
      <c r="A673" s="36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136"/>
      <c r="Z673" s="137"/>
    </row>
    <row r="674" spans="1:26" x14ac:dyDescent="0.15">
      <c r="A674" s="36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136"/>
      <c r="Z674" s="137"/>
    </row>
    <row r="675" spans="1:26" x14ac:dyDescent="0.15">
      <c r="A675" s="36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136"/>
      <c r="Z675" s="137"/>
    </row>
    <row r="676" spans="1:26" x14ac:dyDescent="0.15">
      <c r="A676" s="36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136"/>
      <c r="Z676" s="137"/>
    </row>
    <row r="677" spans="1:26" x14ac:dyDescent="0.15">
      <c r="A677" s="36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136"/>
      <c r="Z677" s="137"/>
    </row>
    <row r="678" spans="1:26" x14ac:dyDescent="0.15">
      <c r="A678" s="36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136"/>
      <c r="Z678" s="137"/>
    </row>
    <row r="679" spans="1:26" x14ac:dyDescent="0.15">
      <c r="A679" s="36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136"/>
      <c r="Z679" s="137"/>
    </row>
    <row r="680" spans="1:26" x14ac:dyDescent="0.15">
      <c r="A680" s="36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136"/>
      <c r="Z680" s="137"/>
    </row>
    <row r="681" spans="1:26" x14ac:dyDescent="0.15">
      <c r="A681" s="36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136"/>
      <c r="Z681" s="137"/>
    </row>
    <row r="682" spans="1:26" x14ac:dyDescent="0.15">
      <c r="A682" s="36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136"/>
      <c r="Z682" s="137"/>
    </row>
    <row r="683" spans="1:26" x14ac:dyDescent="0.15">
      <c r="A683" s="36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136"/>
      <c r="Z683" s="137"/>
    </row>
    <row r="684" spans="1:26" x14ac:dyDescent="0.15">
      <c r="A684" s="36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136"/>
      <c r="Z684" s="137"/>
    </row>
    <row r="685" spans="1:26" x14ac:dyDescent="0.15">
      <c r="A685" s="36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136"/>
      <c r="Z685" s="137"/>
    </row>
    <row r="686" spans="1:26" x14ac:dyDescent="0.15">
      <c r="A686" s="36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136"/>
      <c r="Z686" s="137"/>
    </row>
    <row r="687" spans="1:26" x14ac:dyDescent="0.15">
      <c r="A687" s="36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136"/>
      <c r="Z687" s="137"/>
    </row>
    <row r="688" spans="1:26" x14ac:dyDescent="0.15">
      <c r="A688" s="36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136"/>
      <c r="Z688" s="137"/>
    </row>
    <row r="689" spans="1:26" x14ac:dyDescent="0.15">
      <c r="A689" s="36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136"/>
      <c r="Z689" s="137"/>
    </row>
    <row r="690" spans="1:26" x14ac:dyDescent="0.15">
      <c r="A690" s="36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136"/>
      <c r="Z690" s="137"/>
    </row>
    <row r="691" spans="1:26" x14ac:dyDescent="0.15">
      <c r="A691" s="36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136"/>
      <c r="Z691" s="137"/>
    </row>
    <row r="692" spans="1:26" x14ac:dyDescent="0.15">
      <c r="A692" s="36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136"/>
      <c r="Z692" s="137"/>
    </row>
    <row r="693" spans="1:26" x14ac:dyDescent="0.15">
      <c r="A693" s="36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136"/>
      <c r="Z693" s="137"/>
    </row>
    <row r="694" spans="1:26" x14ac:dyDescent="0.15">
      <c r="A694" s="36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136"/>
      <c r="Z694" s="137"/>
    </row>
    <row r="695" spans="1:26" x14ac:dyDescent="0.15">
      <c r="A695" s="36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136"/>
      <c r="Z695" s="137"/>
    </row>
    <row r="696" spans="1:26" x14ac:dyDescent="0.15">
      <c r="A696" s="36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136"/>
      <c r="Z696" s="137"/>
    </row>
    <row r="697" spans="1:26" x14ac:dyDescent="0.15">
      <c r="A697" s="36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136"/>
      <c r="Z697" s="137"/>
    </row>
    <row r="698" spans="1:26" x14ac:dyDescent="0.15">
      <c r="A698" s="36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136"/>
      <c r="Z698" s="137"/>
    </row>
    <row r="699" spans="1:26" x14ac:dyDescent="0.15">
      <c r="A699" s="36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136"/>
      <c r="Z699" s="137"/>
    </row>
    <row r="700" spans="1:26" x14ac:dyDescent="0.15">
      <c r="A700" s="36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136"/>
      <c r="Z700" s="137"/>
    </row>
    <row r="701" spans="1:26" x14ac:dyDescent="0.15">
      <c r="A701" s="36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136"/>
      <c r="Z701" s="137"/>
    </row>
    <row r="702" spans="1:26" x14ac:dyDescent="0.15">
      <c r="A702" s="36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136"/>
      <c r="Z702" s="137"/>
    </row>
    <row r="703" spans="1:26" x14ac:dyDescent="0.15">
      <c r="A703" s="36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136"/>
      <c r="Z703" s="137"/>
    </row>
    <row r="704" spans="1:26" x14ac:dyDescent="0.15">
      <c r="A704" s="36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136"/>
      <c r="Z704" s="137"/>
    </row>
    <row r="705" spans="1:26" x14ac:dyDescent="0.15">
      <c r="A705" s="36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136"/>
      <c r="Z705" s="137"/>
    </row>
    <row r="706" spans="1:26" x14ac:dyDescent="0.15">
      <c r="A706" s="36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136"/>
      <c r="Z706" s="137"/>
    </row>
    <row r="707" spans="1:26" x14ac:dyDescent="0.15">
      <c r="A707" s="36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136"/>
      <c r="Z707" s="137"/>
    </row>
    <row r="708" spans="1:26" x14ac:dyDescent="0.15">
      <c r="A708" s="36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136"/>
      <c r="Z708" s="137"/>
    </row>
    <row r="709" spans="1:26" x14ac:dyDescent="0.15">
      <c r="A709" s="36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136"/>
      <c r="Z709" s="137"/>
    </row>
    <row r="710" spans="1:26" x14ac:dyDescent="0.15">
      <c r="A710" s="36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136"/>
      <c r="Z710" s="137"/>
    </row>
    <row r="711" spans="1:26" x14ac:dyDescent="0.15">
      <c r="A711" s="36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136"/>
      <c r="Z711" s="137"/>
    </row>
    <row r="712" spans="1:26" x14ac:dyDescent="0.15">
      <c r="A712" s="36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136"/>
      <c r="Z712" s="137"/>
    </row>
    <row r="713" spans="1:26" x14ac:dyDescent="0.15">
      <c r="A713" s="36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136"/>
      <c r="Z713" s="137"/>
    </row>
    <row r="714" spans="1:26" x14ac:dyDescent="0.15">
      <c r="A714" s="36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136"/>
      <c r="Z714" s="137"/>
    </row>
    <row r="715" spans="1:26" x14ac:dyDescent="0.15">
      <c r="A715" s="36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136"/>
      <c r="Z715" s="137"/>
    </row>
    <row r="716" spans="1:26" x14ac:dyDescent="0.15">
      <c r="A716" s="36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136"/>
      <c r="Z716" s="137"/>
    </row>
    <row r="717" spans="1:26" x14ac:dyDescent="0.15">
      <c r="A717" s="36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136"/>
      <c r="Z717" s="137"/>
    </row>
    <row r="718" spans="1:26" x14ac:dyDescent="0.15">
      <c r="A718" s="36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136"/>
      <c r="Z718" s="137"/>
    </row>
    <row r="719" spans="1:26" x14ac:dyDescent="0.15">
      <c r="A719" s="36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136"/>
      <c r="Z719" s="137"/>
    </row>
    <row r="720" spans="1:26" x14ac:dyDescent="0.15">
      <c r="A720" s="36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136"/>
      <c r="Z720" s="137"/>
    </row>
    <row r="721" spans="1:26" x14ac:dyDescent="0.15">
      <c r="A721" s="36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136"/>
      <c r="Z721" s="137"/>
    </row>
    <row r="722" spans="1:26" x14ac:dyDescent="0.15">
      <c r="A722" s="36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136"/>
      <c r="Z722" s="137"/>
    </row>
    <row r="723" spans="1:26" x14ac:dyDescent="0.15">
      <c r="A723" s="36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136"/>
      <c r="Z723" s="137"/>
    </row>
    <row r="724" spans="1:26" x14ac:dyDescent="0.15">
      <c r="A724" s="36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136"/>
      <c r="Z724" s="137"/>
    </row>
    <row r="725" spans="1:26" x14ac:dyDescent="0.15">
      <c r="A725" s="36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136"/>
      <c r="Z725" s="137"/>
    </row>
    <row r="726" spans="1:26" x14ac:dyDescent="0.15">
      <c r="A726" s="36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136"/>
      <c r="Z726" s="137"/>
    </row>
    <row r="727" spans="1:26" x14ac:dyDescent="0.15">
      <c r="A727" s="36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136"/>
      <c r="Z727" s="137"/>
    </row>
    <row r="728" spans="1:26" x14ac:dyDescent="0.15">
      <c r="A728" s="36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136"/>
      <c r="Z728" s="137"/>
    </row>
    <row r="729" spans="1:26" x14ac:dyDescent="0.15">
      <c r="A729" s="36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136"/>
      <c r="Z729" s="137"/>
    </row>
    <row r="730" spans="1:26" x14ac:dyDescent="0.15">
      <c r="A730" s="36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136"/>
      <c r="Z730" s="137"/>
    </row>
    <row r="731" spans="1:26" x14ac:dyDescent="0.15">
      <c r="A731" s="36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136"/>
      <c r="Z731" s="137"/>
    </row>
    <row r="732" spans="1:26" x14ac:dyDescent="0.15">
      <c r="A732" s="36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136"/>
      <c r="Z732" s="137"/>
    </row>
    <row r="733" spans="1:26" x14ac:dyDescent="0.15">
      <c r="A733" s="36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136"/>
      <c r="Z733" s="137"/>
    </row>
    <row r="734" spans="1:26" x14ac:dyDescent="0.15">
      <c r="A734" s="36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136"/>
      <c r="Z734" s="137"/>
    </row>
    <row r="735" spans="1:26" x14ac:dyDescent="0.15">
      <c r="A735" s="36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136"/>
      <c r="Z735" s="137"/>
    </row>
    <row r="736" spans="1:26" x14ac:dyDescent="0.15">
      <c r="A736" s="36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136"/>
      <c r="Z736" s="137"/>
    </row>
    <row r="737" spans="1:26" x14ac:dyDescent="0.15">
      <c r="A737" s="36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136"/>
      <c r="Z737" s="137"/>
    </row>
    <row r="738" spans="1:26" x14ac:dyDescent="0.15">
      <c r="A738" s="36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136"/>
      <c r="Z738" s="137"/>
    </row>
    <row r="739" spans="1:26" x14ac:dyDescent="0.15">
      <c r="A739" s="36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136"/>
      <c r="Z739" s="137"/>
    </row>
    <row r="740" spans="1:26" x14ac:dyDescent="0.15">
      <c r="A740" s="36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136"/>
      <c r="Z740" s="137"/>
    </row>
    <row r="741" spans="1:26" x14ac:dyDescent="0.15">
      <c r="A741" s="36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136"/>
      <c r="Z741" s="137"/>
    </row>
    <row r="742" spans="1:26" x14ac:dyDescent="0.15">
      <c r="A742" s="36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136"/>
      <c r="Z742" s="137"/>
    </row>
    <row r="743" spans="1:26" x14ac:dyDescent="0.15">
      <c r="A743" s="36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136"/>
      <c r="Z743" s="137"/>
    </row>
    <row r="744" spans="1:26" x14ac:dyDescent="0.15">
      <c r="A744" s="36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136"/>
      <c r="Z744" s="137"/>
    </row>
    <row r="745" spans="1:26" x14ac:dyDescent="0.15">
      <c r="A745" s="36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136"/>
      <c r="Z745" s="137"/>
    </row>
    <row r="746" spans="1:26" x14ac:dyDescent="0.15">
      <c r="A746" s="36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136"/>
      <c r="Z746" s="137"/>
    </row>
    <row r="747" spans="1:26" x14ac:dyDescent="0.15">
      <c r="A747" s="36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136"/>
      <c r="Z747" s="137"/>
    </row>
    <row r="748" spans="1:26" x14ac:dyDescent="0.15">
      <c r="A748" s="36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136"/>
      <c r="Z748" s="137"/>
    </row>
    <row r="749" spans="1:26" x14ac:dyDescent="0.15">
      <c r="A749" s="36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136"/>
      <c r="Z749" s="137"/>
    </row>
    <row r="750" spans="1:26" x14ac:dyDescent="0.15">
      <c r="A750" s="36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136"/>
      <c r="Z750" s="137"/>
    </row>
    <row r="751" spans="1:26" x14ac:dyDescent="0.15">
      <c r="A751" s="36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136"/>
      <c r="Z751" s="137"/>
    </row>
    <row r="752" spans="1:26" x14ac:dyDescent="0.15">
      <c r="A752" s="36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136"/>
      <c r="Z752" s="137"/>
    </row>
    <row r="753" spans="1:26" x14ac:dyDescent="0.15">
      <c r="A753" s="36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136"/>
      <c r="Z753" s="137"/>
    </row>
    <row r="754" spans="1:26" x14ac:dyDescent="0.15">
      <c r="A754" s="36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136"/>
      <c r="Z754" s="137"/>
    </row>
    <row r="755" spans="1:26" x14ac:dyDescent="0.15">
      <c r="A755" s="36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136"/>
      <c r="Z755" s="137"/>
    </row>
    <row r="756" spans="1:26" x14ac:dyDescent="0.15">
      <c r="A756" s="36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136"/>
      <c r="Z756" s="137"/>
    </row>
    <row r="757" spans="1:26" x14ac:dyDescent="0.15">
      <c r="A757" s="36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136"/>
      <c r="Z757" s="137"/>
    </row>
    <row r="758" spans="1:26" x14ac:dyDescent="0.15">
      <c r="A758" s="36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136"/>
      <c r="Z758" s="137"/>
    </row>
    <row r="759" spans="1:26" x14ac:dyDescent="0.15">
      <c r="A759" s="36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136"/>
      <c r="Z759" s="137"/>
    </row>
    <row r="760" spans="1:26" x14ac:dyDescent="0.15">
      <c r="A760" s="36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136"/>
      <c r="Z760" s="137"/>
    </row>
    <row r="761" spans="1:26" x14ac:dyDescent="0.15">
      <c r="A761" s="36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136"/>
      <c r="Z761" s="137"/>
    </row>
    <row r="762" spans="1:26" x14ac:dyDescent="0.15">
      <c r="A762" s="36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136"/>
      <c r="Z762" s="137"/>
    </row>
    <row r="763" spans="1:26" x14ac:dyDescent="0.15">
      <c r="A763" s="36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136"/>
      <c r="Z763" s="137"/>
    </row>
    <row r="764" spans="1:26" x14ac:dyDescent="0.15">
      <c r="A764" s="36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136"/>
      <c r="Z764" s="137"/>
    </row>
    <row r="765" spans="1:26" x14ac:dyDescent="0.15">
      <c r="A765" s="36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136"/>
      <c r="Z765" s="137"/>
    </row>
    <row r="766" spans="1:26" x14ac:dyDescent="0.15">
      <c r="A766" s="36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136"/>
      <c r="Z766" s="137"/>
    </row>
    <row r="767" spans="1:26" x14ac:dyDescent="0.15">
      <c r="A767" s="36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136"/>
      <c r="Z767" s="137"/>
    </row>
    <row r="768" spans="1:26" x14ac:dyDescent="0.15">
      <c r="A768" s="36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136"/>
      <c r="Z768" s="137"/>
    </row>
    <row r="769" spans="1:26" x14ac:dyDescent="0.15">
      <c r="A769" s="36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136"/>
      <c r="Z769" s="137"/>
    </row>
    <row r="770" spans="1:26" x14ac:dyDescent="0.15">
      <c r="A770" s="36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136"/>
      <c r="Z770" s="137"/>
    </row>
    <row r="771" spans="1:26" x14ac:dyDescent="0.15">
      <c r="A771" s="36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136"/>
      <c r="Z771" s="137"/>
    </row>
    <row r="772" spans="1:26" x14ac:dyDescent="0.15">
      <c r="A772" s="36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136"/>
      <c r="Z772" s="137"/>
    </row>
    <row r="773" spans="1:26" x14ac:dyDescent="0.15">
      <c r="A773" s="36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136"/>
      <c r="Z773" s="137"/>
    </row>
    <row r="774" spans="1:26" x14ac:dyDescent="0.15">
      <c r="A774" s="36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136"/>
      <c r="Z774" s="137"/>
    </row>
    <row r="775" spans="1:26" x14ac:dyDescent="0.15">
      <c r="A775" s="36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136"/>
      <c r="Z775" s="137"/>
    </row>
    <row r="776" spans="1:26" x14ac:dyDescent="0.15">
      <c r="A776" s="36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136"/>
      <c r="Z776" s="137"/>
    </row>
    <row r="777" spans="1:26" x14ac:dyDescent="0.15">
      <c r="A777" s="36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136"/>
      <c r="Z777" s="137"/>
    </row>
    <row r="778" spans="1:26" x14ac:dyDescent="0.15">
      <c r="A778" s="36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136"/>
      <c r="Z778" s="137"/>
    </row>
    <row r="779" spans="1:26" x14ac:dyDescent="0.15">
      <c r="A779" s="36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136"/>
      <c r="Z779" s="137"/>
    </row>
    <row r="780" spans="1:26" x14ac:dyDescent="0.15">
      <c r="A780" s="36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136"/>
      <c r="Z780" s="137"/>
    </row>
    <row r="781" spans="1:26" x14ac:dyDescent="0.15">
      <c r="A781" s="36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136"/>
      <c r="Z781" s="137"/>
    </row>
    <row r="782" spans="1:26" x14ac:dyDescent="0.15">
      <c r="A782" s="36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136"/>
      <c r="Z782" s="137"/>
    </row>
    <row r="783" spans="1:26" x14ac:dyDescent="0.15">
      <c r="A783" s="36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136"/>
      <c r="Z783" s="137"/>
    </row>
    <row r="784" spans="1:26" x14ac:dyDescent="0.15">
      <c r="A784" s="36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136"/>
      <c r="Z784" s="137"/>
    </row>
    <row r="785" spans="1:26" x14ac:dyDescent="0.15">
      <c r="A785" s="36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136"/>
      <c r="Z785" s="137"/>
    </row>
    <row r="786" spans="1:26" x14ac:dyDescent="0.15">
      <c r="A786" s="36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136"/>
      <c r="Z786" s="137"/>
    </row>
    <row r="787" spans="1:26" x14ac:dyDescent="0.15">
      <c r="A787" s="36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136"/>
      <c r="Z787" s="137"/>
    </row>
    <row r="788" spans="1:26" x14ac:dyDescent="0.15">
      <c r="A788" s="36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136"/>
      <c r="Z788" s="137"/>
    </row>
    <row r="789" spans="1:26" x14ac:dyDescent="0.15">
      <c r="A789" s="36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136"/>
      <c r="Z789" s="137"/>
    </row>
    <row r="790" spans="1:26" x14ac:dyDescent="0.15">
      <c r="A790" s="36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136"/>
      <c r="Z790" s="137"/>
    </row>
    <row r="791" spans="1:26" x14ac:dyDescent="0.15">
      <c r="A791" s="36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136"/>
      <c r="Z791" s="137"/>
    </row>
    <row r="792" spans="1:26" x14ac:dyDescent="0.15">
      <c r="A792" s="36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136"/>
      <c r="Z792" s="137"/>
    </row>
    <row r="793" spans="1:26" x14ac:dyDescent="0.15">
      <c r="A793" s="36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136"/>
      <c r="Z793" s="137"/>
    </row>
    <row r="794" spans="1:26" x14ac:dyDescent="0.15">
      <c r="A794" s="36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136"/>
      <c r="Z794" s="137"/>
    </row>
    <row r="795" spans="1:26" x14ac:dyDescent="0.15">
      <c r="A795" s="36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136"/>
      <c r="Z795" s="137"/>
    </row>
    <row r="796" spans="1:26" x14ac:dyDescent="0.15">
      <c r="A796" s="36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136"/>
      <c r="Z796" s="137"/>
    </row>
    <row r="797" spans="1:26" x14ac:dyDescent="0.15">
      <c r="A797" s="36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136"/>
      <c r="Z797" s="137"/>
    </row>
    <row r="798" spans="1:26" x14ac:dyDescent="0.15">
      <c r="A798" s="36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136"/>
      <c r="Z798" s="137"/>
    </row>
    <row r="799" spans="1:26" x14ac:dyDescent="0.15">
      <c r="A799" s="36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136"/>
      <c r="Z799" s="137"/>
    </row>
    <row r="800" spans="1:26" x14ac:dyDescent="0.15">
      <c r="A800" s="36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136"/>
      <c r="Z800" s="137"/>
    </row>
    <row r="801" spans="1:26" x14ac:dyDescent="0.15">
      <c r="A801" s="36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136"/>
      <c r="Z801" s="137"/>
    </row>
    <row r="802" spans="1:26" x14ac:dyDescent="0.15">
      <c r="A802" s="36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136"/>
      <c r="Z802" s="137"/>
    </row>
    <row r="803" spans="1:26" x14ac:dyDescent="0.15">
      <c r="A803" s="36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136"/>
      <c r="Z803" s="137"/>
    </row>
    <row r="804" spans="1:26" x14ac:dyDescent="0.15">
      <c r="A804" s="36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136"/>
      <c r="Z804" s="137"/>
    </row>
    <row r="805" spans="1:26" x14ac:dyDescent="0.15">
      <c r="A805" s="36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136"/>
      <c r="Z805" s="137"/>
    </row>
    <row r="806" spans="1:26" x14ac:dyDescent="0.15">
      <c r="A806" s="36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136"/>
      <c r="Z806" s="137"/>
    </row>
    <row r="807" spans="1:26" x14ac:dyDescent="0.15">
      <c r="A807" s="36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136"/>
      <c r="Z807" s="137"/>
    </row>
    <row r="808" spans="1:26" x14ac:dyDescent="0.15">
      <c r="A808" s="36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136"/>
      <c r="Z808" s="137"/>
    </row>
    <row r="809" spans="1:26" x14ac:dyDescent="0.15">
      <c r="A809" s="36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136"/>
      <c r="Z809" s="137"/>
    </row>
    <row r="810" spans="1:26" x14ac:dyDescent="0.15">
      <c r="A810" s="36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136"/>
      <c r="Z810" s="137"/>
    </row>
    <row r="811" spans="1:26" x14ac:dyDescent="0.15">
      <c r="A811" s="36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136"/>
      <c r="Z811" s="137"/>
    </row>
    <row r="812" spans="1:26" x14ac:dyDescent="0.15">
      <c r="A812" s="36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136"/>
      <c r="Z812" s="137"/>
    </row>
    <row r="813" spans="1:26" x14ac:dyDescent="0.15">
      <c r="A813" s="36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136"/>
      <c r="Z813" s="137"/>
    </row>
    <row r="814" spans="1:26" x14ac:dyDescent="0.15">
      <c r="A814" s="36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136"/>
      <c r="Z814" s="137"/>
    </row>
    <row r="815" spans="1:26" x14ac:dyDescent="0.15">
      <c r="A815" s="36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136"/>
      <c r="Z815" s="137"/>
    </row>
    <row r="816" spans="1:26" x14ac:dyDescent="0.15">
      <c r="A816" s="36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136"/>
      <c r="Z816" s="137"/>
    </row>
    <row r="817" spans="1:26" x14ac:dyDescent="0.15">
      <c r="A817" s="36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136"/>
      <c r="Z817" s="137"/>
    </row>
    <row r="818" spans="1:26" x14ac:dyDescent="0.15">
      <c r="A818" s="36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136"/>
      <c r="Z818" s="137"/>
    </row>
    <row r="819" spans="1:26" x14ac:dyDescent="0.15">
      <c r="A819" s="36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136"/>
      <c r="Z819" s="137"/>
    </row>
    <row r="820" spans="1:26" x14ac:dyDescent="0.15">
      <c r="A820" s="36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136"/>
      <c r="Z820" s="137"/>
    </row>
    <row r="821" spans="1:26" x14ac:dyDescent="0.15">
      <c r="A821" s="36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136"/>
      <c r="Z821" s="137"/>
    </row>
    <row r="822" spans="1:26" x14ac:dyDescent="0.15">
      <c r="A822" s="36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136"/>
      <c r="Z822" s="137"/>
    </row>
    <row r="823" spans="1:26" x14ac:dyDescent="0.15">
      <c r="A823" s="36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136"/>
      <c r="Z823" s="137"/>
    </row>
    <row r="824" spans="1:26" x14ac:dyDescent="0.15">
      <c r="A824" s="36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136"/>
      <c r="Z824" s="137"/>
    </row>
    <row r="825" spans="1:26" x14ac:dyDescent="0.15">
      <c r="A825" s="36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136"/>
      <c r="Z825" s="137"/>
    </row>
    <row r="826" spans="1:26" x14ac:dyDescent="0.15">
      <c r="A826" s="36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136"/>
      <c r="Z826" s="137"/>
    </row>
    <row r="827" spans="1:26" x14ac:dyDescent="0.15">
      <c r="A827" s="36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136"/>
      <c r="Z827" s="137"/>
    </row>
    <row r="828" spans="1:26" x14ac:dyDescent="0.15">
      <c r="A828" s="36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136"/>
      <c r="Z828" s="137"/>
    </row>
    <row r="829" spans="1:26" x14ac:dyDescent="0.15">
      <c r="A829" s="36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136"/>
      <c r="Z829" s="137"/>
    </row>
    <row r="830" spans="1:26" x14ac:dyDescent="0.15">
      <c r="A830" s="36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136"/>
      <c r="Z830" s="137"/>
    </row>
    <row r="831" spans="1:26" x14ac:dyDescent="0.15">
      <c r="A831" s="36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136"/>
      <c r="Z831" s="137"/>
    </row>
    <row r="832" spans="1:26" x14ac:dyDescent="0.15">
      <c r="A832" s="36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136"/>
      <c r="Z832" s="137"/>
    </row>
    <row r="833" spans="1:26" x14ac:dyDescent="0.15">
      <c r="A833" s="36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136"/>
      <c r="Z833" s="137"/>
    </row>
    <row r="834" spans="1:26" x14ac:dyDescent="0.15">
      <c r="A834" s="36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136"/>
      <c r="Z834" s="137"/>
    </row>
    <row r="835" spans="1:26" x14ac:dyDescent="0.15">
      <c r="A835" s="36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136"/>
      <c r="Z835" s="137"/>
    </row>
    <row r="836" spans="1:26" x14ac:dyDescent="0.15">
      <c r="A836" s="36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136"/>
      <c r="Z836" s="137"/>
    </row>
    <row r="837" spans="1:26" x14ac:dyDescent="0.15">
      <c r="A837" s="36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136"/>
      <c r="Z837" s="137"/>
    </row>
    <row r="838" spans="1:26" x14ac:dyDescent="0.15">
      <c r="A838" s="36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136"/>
      <c r="Z838" s="137"/>
    </row>
    <row r="839" spans="1:26" x14ac:dyDescent="0.15">
      <c r="A839" s="36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136"/>
      <c r="Z839" s="137"/>
    </row>
    <row r="840" spans="1:26" x14ac:dyDescent="0.15">
      <c r="A840" s="36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136"/>
      <c r="Z840" s="137"/>
    </row>
    <row r="841" spans="1:26" x14ac:dyDescent="0.15">
      <c r="A841" s="36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136"/>
      <c r="Z841" s="137"/>
    </row>
    <row r="842" spans="1:26" x14ac:dyDescent="0.15">
      <c r="A842" s="36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136"/>
      <c r="Z842" s="137"/>
    </row>
    <row r="843" spans="1:26" x14ac:dyDescent="0.15">
      <c r="A843" s="36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136"/>
      <c r="Z843" s="137"/>
    </row>
    <row r="844" spans="1:26" x14ac:dyDescent="0.15">
      <c r="A844" s="36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136"/>
      <c r="Z844" s="137"/>
    </row>
    <row r="845" spans="1:26" x14ac:dyDescent="0.15">
      <c r="A845" s="36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136"/>
      <c r="Z845" s="137"/>
    </row>
    <row r="846" spans="1:26" x14ac:dyDescent="0.15">
      <c r="A846" s="36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136"/>
      <c r="Z846" s="137"/>
    </row>
    <row r="847" spans="1:26" x14ac:dyDescent="0.15">
      <c r="A847" s="36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136"/>
      <c r="Z847" s="137"/>
    </row>
    <row r="848" spans="1:26" x14ac:dyDescent="0.15">
      <c r="A848" s="36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136"/>
      <c r="Z848" s="137"/>
    </row>
    <row r="849" spans="1:26" x14ac:dyDescent="0.15">
      <c r="A849" s="36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136"/>
      <c r="Z849" s="137"/>
    </row>
    <row r="850" spans="1:26" x14ac:dyDescent="0.15">
      <c r="A850" s="36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136"/>
      <c r="Z850" s="137"/>
    </row>
    <row r="851" spans="1:26" x14ac:dyDescent="0.15">
      <c r="A851" s="36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136"/>
      <c r="Z851" s="137"/>
    </row>
    <row r="852" spans="1:26" x14ac:dyDescent="0.15">
      <c r="A852" s="36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136"/>
      <c r="Z852" s="137"/>
    </row>
    <row r="853" spans="1:26" x14ac:dyDescent="0.15">
      <c r="A853" s="36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136"/>
      <c r="Z853" s="137"/>
    </row>
    <row r="854" spans="1:26" x14ac:dyDescent="0.15">
      <c r="A854" s="36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136"/>
      <c r="Z854" s="137"/>
    </row>
    <row r="855" spans="1:26" x14ac:dyDescent="0.15">
      <c r="A855" s="36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136"/>
      <c r="Z855" s="137"/>
    </row>
    <row r="856" spans="1:26" x14ac:dyDescent="0.15">
      <c r="A856" s="36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136"/>
      <c r="Z856" s="137"/>
    </row>
    <row r="857" spans="1:26" x14ac:dyDescent="0.15">
      <c r="A857" s="36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136"/>
      <c r="Z857" s="137"/>
    </row>
    <row r="858" spans="1:26" x14ac:dyDescent="0.15">
      <c r="A858" s="36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136"/>
      <c r="Z858" s="137"/>
    </row>
    <row r="859" spans="1:26" x14ac:dyDescent="0.15">
      <c r="A859" s="36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136"/>
      <c r="Z859" s="137"/>
    </row>
    <row r="860" spans="1:26" x14ac:dyDescent="0.15">
      <c r="A860" s="36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136"/>
      <c r="Z860" s="137"/>
    </row>
    <row r="861" spans="1:26" x14ac:dyDescent="0.15">
      <c r="A861" s="36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136"/>
      <c r="Z861" s="137"/>
    </row>
    <row r="862" spans="1:26" x14ac:dyDescent="0.15">
      <c r="A862" s="36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136"/>
      <c r="Z862" s="137"/>
    </row>
    <row r="863" spans="1:26" x14ac:dyDescent="0.15">
      <c r="A863" s="36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136"/>
      <c r="Z863" s="137"/>
    </row>
    <row r="864" spans="1:26" x14ac:dyDescent="0.15">
      <c r="A864" s="36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136"/>
      <c r="Z864" s="137"/>
    </row>
    <row r="865" spans="1:26" x14ac:dyDescent="0.15">
      <c r="A865" s="36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136"/>
      <c r="Z865" s="137"/>
    </row>
    <row r="866" spans="1:26" x14ac:dyDescent="0.15">
      <c r="A866" s="36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136"/>
      <c r="Z866" s="137"/>
    </row>
    <row r="867" spans="1:26" x14ac:dyDescent="0.15">
      <c r="A867" s="36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136"/>
      <c r="Z867" s="137"/>
    </row>
    <row r="868" spans="1:26" x14ac:dyDescent="0.15">
      <c r="A868" s="36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136"/>
      <c r="Z868" s="137"/>
    </row>
    <row r="869" spans="1:26" x14ac:dyDescent="0.15">
      <c r="A869" s="36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136"/>
      <c r="Z869" s="137"/>
    </row>
    <row r="870" spans="1:26" x14ac:dyDescent="0.15">
      <c r="A870" s="36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136"/>
      <c r="Z870" s="137"/>
    </row>
    <row r="871" spans="1:26" x14ac:dyDescent="0.15">
      <c r="A871" s="36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136"/>
      <c r="Z871" s="137"/>
    </row>
    <row r="872" spans="1:26" x14ac:dyDescent="0.15">
      <c r="A872" s="36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136"/>
      <c r="Z872" s="137"/>
    </row>
    <row r="873" spans="1:26" x14ac:dyDescent="0.15">
      <c r="A873" s="36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136"/>
      <c r="Z873" s="137"/>
    </row>
    <row r="874" spans="1:26" x14ac:dyDescent="0.15">
      <c r="A874" s="36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136"/>
      <c r="Z874" s="137"/>
    </row>
    <row r="875" spans="1:26" x14ac:dyDescent="0.15">
      <c r="A875" s="36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136"/>
      <c r="Z875" s="137"/>
    </row>
    <row r="876" spans="1:26" x14ac:dyDescent="0.15">
      <c r="A876" s="36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136"/>
      <c r="Z876" s="137"/>
    </row>
    <row r="877" spans="1:26" x14ac:dyDescent="0.15">
      <c r="A877" s="36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136"/>
      <c r="Z877" s="137"/>
    </row>
    <row r="878" spans="1:26" x14ac:dyDescent="0.15">
      <c r="A878" s="36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136"/>
      <c r="Z878" s="137"/>
    </row>
    <row r="879" spans="1:26" x14ac:dyDescent="0.15">
      <c r="A879" s="36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136"/>
      <c r="Z879" s="137"/>
    </row>
    <row r="880" spans="1:26" x14ac:dyDescent="0.15">
      <c r="A880" s="36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136"/>
      <c r="Z880" s="137"/>
    </row>
    <row r="881" spans="1:26" x14ac:dyDescent="0.15">
      <c r="A881" s="36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136"/>
      <c r="Z881" s="137"/>
    </row>
    <row r="882" spans="1:26" x14ac:dyDescent="0.15">
      <c r="A882" s="36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136"/>
      <c r="Z882" s="137"/>
    </row>
    <row r="883" spans="1:26" x14ac:dyDescent="0.15">
      <c r="A883" s="36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136"/>
      <c r="Z883" s="137"/>
    </row>
    <row r="884" spans="1:26" x14ac:dyDescent="0.15">
      <c r="A884" s="36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136"/>
      <c r="Z884" s="137"/>
    </row>
    <row r="885" spans="1:26" x14ac:dyDescent="0.15">
      <c r="A885" s="36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136"/>
      <c r="Z885" s="137"/>
    </row>
    <row r="886" spans="1:26" x14ac:dyDescent="0.15">
      <c r="A886" s="36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136"/>
      <c r="Z886" s="137"/>
    </row>
    <row r="887" spans="1:26" x14ac:dyDescent="0.15">
      <c r="A887" s="36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136"/>
      <c r="Z887" s="137"/>
    </row>
    <row r="888" spans="1:26" x14ac:dyDescent="0.15">
      <c r="A888" s="36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136"/>
      <c r="Z888" s="137"/>
    </row>
    <row r="889" spans="1:26" x14ac:dyDescent="0.15">
      <c r="A889" s="36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136"/>
      <c r="Z889" s="137"/>
    </row>
    <row r="890" spans="1:26" x14ac:dyDescent="0.15">
      <c r="A890" s="36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136"/>
      <c r="Z890" s="137"/>
    </row>
    <row r="891" spans="1:26" x14ac:dyDescent="0.15">
      <c r="A891" s="36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136"/>
      <c r="Z891" s="137"/>
    </row>
    <row r="892" spans="1:26" x14ac:dyDescent="0.15">
      <c r="A892" s="36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136"/>
      <c r="Z892" s="137"/>
    </row>
    <row r="893" spans="1:26" x14ac:dyDescent="0.15">
      <c r="A893" s="36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136"/>
      <c r="Z893" s="137"/>
    </row>
    <row r="894" spans="1:26" x14ac:dyDescent="0.15">
      <c r="A894" s="36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136"/>
      <c r="Z894" s="137"/>
    </row>
    <row r="895" spans="1:26" x14ac:dyDescent="0.15">
      <c r="A895" s="36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136"/>
      <c r="Z895" s="137"/>
    </row>
    <row r="896" spans="1:26" x14ac:dyDescent="0.15">
      <c r="A896" s="36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136"/>
      <c r="Z896" s="137"/>
    </row>
    <row r="897" spans="1:26" x14ac:dyDescent="0.15">
      <c r="A897" s="36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136"/>
      <c r="Z897" s="137"/>
    </row>
    <row r="898" spans="1:26" x14ac:dyDescent="0.15">
      <c r="A898" s="36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136"/>
      <c r="Z898" s="137"/>
    </row>
    <row r="899" spans="1:26" x14ac:dyDescent="0.15">
      <c r="A899" s="36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136"/>
      <c r="Z899" s="137"/>
    </row>
    <row r="900" spans="1:26" x14ac:dyDescent="0.15">
      <c r="A900" s="36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136"/>
      <c r="Z900" s="137"/>
    </row>
    <row r="901" spans="1:26" x14ac:dyDescent="0.15">
      <c r="A901" s="36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136"/>
      <c r="Z901" s="137"/>
    </row>
    <row r="902" spans="1:26" x14ac:dyDescent="0.15">
      <c r="A902" s="36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136"/>
      <c r="Z902" s="137"/>
    </row>
    <row r="903" spans="1:26" x14ac:dyDescent="0.15">
      <c r="A903" s="36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136"/>
      <c r="Z903" s="137"/>
    </row>
    <row r="904" spans="1:26" x14ac:dyDescent="0.15">
      <c r="A904" s="36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136"/>
      <c r="Z904" s="137"/>
    </row>
    <row r="905" spans="1:26" x14ac:dyDescent="0.15">
      <c r="A905" s="36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136"/>
      <c r="Z905" s="137"/>
    </row>
    <row r="906" spans="1:26" x14ac:dyDescent="0.15">
      <c r="A906" s="36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136"/>
      <c r="Z906" s="137"/>
    </row>
    <row r="907" spans="1:26" x14ac:dyDescent="0.15">
      <c r="A907" s="36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136"/>
      <c r="Z907" s="137"/>
    </row>
    <row r="908" spans="1:26" x14ac:dyDescent="0.15">
      <c r="A908" s="36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136"/>
      <c r="Z908" s="137"/>
    </row>
    <row r="909" spans="1:26" x14ac:dyDescent="0.15">
      <c r="A909" s="36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136"/>
      <c r="Z909" s="137"/>
    </row>
    <row r="910" spans="1:26" x14ac:dyDescent="0.15">
      <c r="A910" s="36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136"/>
      <c r="Z910" s="137"/>
    </row>
    <row r="911" spans="1:26" x14ac:dyDescent="0.15">
      <c r="A911" s="36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136"/>
      <c r="Z911" s="137"/>
    </row>
    <row r="912" spans="1:26" x14ac:dyDescent="0.15">
      <c r="A912" s="36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136"/>
      <c r="Z912" s="137"/>
    </row>
    <row r="913" spans="1:26" x14ac:dyDescent="0.15">
      <c r="A913" s="36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136"/>
      <c r="Z913" s="137"/>
    </row>
    <row r="914" spans="1:26" x14ac:dyDescent="0.15">
      <c r="A914" s="36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136"/>
      <c r="Z914" s="137"/>
    </row>
    <row r="915" spans="1:26" x14ac:dyDescent="0.15">
      <c r="A915" s="36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136"/>
      <c r="Z915" s="137"/>
    </row>
    <row r="916" spans="1:26" x14ac:dyDescent="0.15">
      <c r="A916" s="36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136"/>
      <c r="Z916" s="137"/>
    </row>
    <row r="917" spans="1:26" x14ac:dyDescent="0.15">
      <c r="A917" s="36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136"/>
      <c r="Z917" s="137"/>
    </row>
    <row r="918" spans="1:26" x14ac:dyDescent="0.15">
      <c r="A918" s="36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136"/>
      <c r="Z918" s="137"/>
    </row>
    <row r="919" spans="1:26" x14ac:dyDescent="0.15">
      <c r="A919" s="36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136"/>
      <c r="Z919" s="137"/>
    </row>
    <row r="920" spans="1:26" x14ac:dyDescent="0.15">
      <c r="A920" s="36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136"/>
      <c r="Z920" s="137"/>
    </row>
    <row r="921" spans="1:26" x14ac:dyDescent="0.15">
      <c r="A921" s="36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136"/>
      <c r="Z921" s="137"/>
    </row>
    <row r="922" spans="1:26" x14ac:dyDescent="0.15">
      <c r="A922" s="36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136"/>
      <c r="Z922" s="137"/>
    </row>
    <row r="923" spans="1:26" x14ac:dyDescent="0.15">
      <c r="A923" s="36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136"/>
      <c r="Z923" s="137"/>
    </row>
    <row r="924" spans="1:26" x14ac:dyDescent="0.15">
      <c r="A924" s="36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136"/>
      <c r="Z924" s="137"/>
    </row>
    <row r="925" spans="1:26" x14ac:dyDescent="0.15">
      <c r="A925" s="36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136"/>
      <c r="Z925" s="137"/>
    </row>
    <row r="926" spans="1:26" x14ac:dyDescent="0.15">
      <c r="A926" s="36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136"/>
      <c r="Z926" s="137"/>
    </row>
    <row r="927" spans="1:26" x14ac:dyDescent="0.15">
      <c r="A927" s="36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136"/>
      <c r="Z927" s="137"/>
    </row>
    <row r="928" spans="1:26" x14ac:dyDescent="0.15">
      <c r="A928" s="36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136"/>
      <c r="Z928" s="137"/>
    </row>
    <row r="929" spans="1:26" x14ac:dyDescent="0.15">
      <c r="A929" s="36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136"/>
      <c r="Z929" s="137"/>
    </row>
    <row r="930" spans="1:26" x14ac:dyDescent="0.15">
      <c r="A930" s="36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136"/>
      <c r="Z930" s="137"/>
    </row>
    <row r="931" spans="1:26" x14ac:dyDescent="0.15">
      <c r="A931" s="36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136"/>
      <c r="Z931" s="137"/>
    </row>
    <row r="932" spans="1:26" x14ac:dyDescent="0.15">
      <c r="A932" s="36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136"/>
      <c r="Z932" s="137"/>
    </row>
    <row r="933" spans="1:26" x14ac:dyDescent="0.15">
      <c r="A933" s="36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136"/>
      <c r="Z933" s="137"/>
    </row>
    <row r="934" spans="1:26" x14ac:dyDescent="0.15">
      <c r="A934" s="36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136"/>
      <c r="Z934" s="137"/>
    </row>
    <row r="935" spans="1:26" x14ac:dyDescent="0.15">
      <c r="A935" s="36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136"/>
      <c r="Z935" s="137"/>
    </row>
    <row r="936" spans="1:26" x14ac:dyDescent="0.15">
      <c r="A936" s="36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136"/>
      <c r="Z936" s="137"/>
    </row>
    <row r="937" spans="1:26" x14ac:dyDescent="0.15">
      <c r="A937" s="36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136"/>
      <c r="Z937" s="137"/>
    </row>
    <row r="938" spans="1:26" x14ac:dyDescent="0.15">
      <c r="A938" s="36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136"/>
      <c r="Z938" s="137"/>
    </row>
    <row r="939" spans="1:26" x14ac:dyDescent="0.15">
      <c r="A939" s="36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136"/>
      <c r="Z939" s="137"/>
    </row>
    <row r="940" spans="1:26" x14ac:dyDescent="0.15">
      <c r="A940" s="36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136"/>
      <c r="Z940" s="137"/>
    </row>
    <row r="941" spans="1:26" x14ac:dyDescent="0.15">
      <c r="A941" s="36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136"/>
      <c r="Z941" s="137"/>
    </row>
    <row r="942" spans="1:26" x14ac:dyDescent="0.15">
      <c r="A942" s="36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136"/>
      <c r="Z942" s="137"/>
    </row>
    <row r="943" spans="1:26" x14ac:dyDescent="0.15">
      <c r="A943" s="36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136"/>
      <c r="Z943" s="137"/>
    </row>
    <row r="944" spans="1:26" x14ac:dyDescent="0.15">
      <c r="A944" s="36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136"/>
      <c r="Z944" s="137"/>
    </row>
    <row r="945" spans="1:26" x14ac:dyDescent="0.15">
      <c r="A945" s="36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136"/>
      <c r="Z945" s="137"/>
    </row>
    <row r="946" spans="1:26" x14ac:dyDescent="0.15">
      <c r="A946" s="36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136"/>
      <c r="Z946" s="137"/>
    </row>
    <row r="947" spans="1:26" x14ac:dyDescent="0.15">
      <c r="A947" s="36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136"/>
      <c r="Z947" s="137"/>
    </row>
    <row r="948" spans="1:26" x14ac:dyDescent="0.15">
      <c r="A948" s="36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136"/>
      <c r="Z948" s="137"/>
    </row>
    <row r="949" spans="1:26" x14ac:dyDescent="0.15">
      <c r="A949" s="36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136"/>
      <c r="Z949" s="137"/>
    </row>
    <row r="950" spans="1:26" x14ac:dyDescent="0.15">
      <c r="A950" s="36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136"/>
      <c r="Z950" s="137"/>
    </row>
    <row r="951" spans="1:26" x14ac:dyDescent="0.15">
      <c r="A951" s="36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136"/>
      <c r="Z951" s="137"/>
    </row>
    <row r="952" spans="1:26" x14ac:dyDescent="0.15">
      <c r="A952" s="36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136"/>
      <c r="Z952" s="137"/>
    </row>
    <row r="953" spans="1:26" x14ac:dyDescent="0.15">
      <c r="A953" s="36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136"/>
      <c r="Z953" s="137"/>
    </row>
    <row r="954" spans="1:26" x14ac:dyDescent="0.15">
      <c r="A954" s="36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136"/>
      <c r="Z954" s="137"/>
    </row>
    <row r="955" spans="1:26" x14ac:dyDescent="0.15">
      <c r="A955" s="36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136"/>
      <c r="Z955" s="137"/>
    </row>
    <row r="956" spans="1:26" x14ac:dyDescent="0.15">
      <c r="A956" s="36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136"/>
      <c r="Z956" s="137"/>
    </row>
    <row r="957" spans="1:26" x14ac:dyDescent="0.15">
      <c r="A957" s="36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136"/>
      <c r="Z957" s="137"/>
    </row>
    <row r="958" spans="1:26" x14ac:dyDescent="0.15">
      <c r="A958" s="36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136"/>
      <c r="Z958" s="137"/>
    </row>
    <row r="959" spans="1:26" x14ac:dyDescent="0.15">
      <c r="A959" s="36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136"/>
      <c r="Z959" s="137"/>
    </row>
    <row r="960" spans="1:26" x14ac:dyDescent="0.15">
      <c r="A960" s="36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136"/>
      <c r="Z960" s="137"/>
    </row>
    <row r="961" spans="1:26" x14ac:dyDescent="0.15">
      <c r="A961" s="36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136"/>
      <c r="Z961" s="137"/>
    </row>
    <row r="962" spans="1:26" x14ac:dyDescent="0.15">
      <c r="A962" s="36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136"/>
      <c r="Z962" s="137"/>
    </row>
    <row r="963" spans="1:26" x14ac:dyDescent="0.15">
      <c r="A963" s="36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136"/>
      <c r="Z963" s="137"/>
    </row>
    <row r="964" spans="1:26" x14ac:dyDescent="0.15">
      <c r="A964" s="36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136"/>
      <c r="Z964" s="137"/>
    </row>
    <row r="965" spans="1:26" x14ac:dyDescent="0.15">
      <c r="A965" s="36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136"/>
      <c r="Z965" s="137"/>
    </row>
    <row r="966" spans="1:26" x14ac:dyDescent="0.15">
      <c r="A966" s="36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136"/>
      <c r="Z966" s="137"/>
    </row>
    <row r="967" spans="1:26" x14ac:dyDescent="0.15">
      <c r="A967" s="36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136"/>
      <c r="Z967" s="137"/>
    </row>
    <row r="968" spans="1:26" x14ac:dyDescent="0.15">
      <c r="A968" s="36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136"/>
      <c r="Z968" s="137"/>
    </row>
    <row r="969" spans="1:26" x14ac:dyDescent="0.15">
      <c r="A969" s="36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136"/>
      <c r="Z969" s="137"/>
    </row>
    <row r="970" spans="1:26" x14ac:dyDescent="0.15">
      <c r="A970" s="36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136"/>
      <c r="Z970" s="137"/>
    </row>
    <row r="971" spans="1:26" x14ac:dyDescent="0.15">
      <c r="A971" s="36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136"/>
      <c r="Z971" s="137"/>
    </row>
    <row r="972" spans="1:26" x14ac:dyDescent="0.15">
      <c r="A972" s="36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136"/>
      <c r="Z972" s="137"/>
    </row>
    <row r="973" spans="1:26" x14ac:dyDescent="0.15">
      <c r="A973" s="36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136"/>
      <c r="Z973" s="137"/>
    </row>
    <row r="974" spans="1:26" x14ac:dyDescent="0.15">
      <c r="A974" s="36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136"/>
      <c r="Z974" s="137"/>
    </row>
    <row r="975" spans="1:26" x14ac:dyDescent="0.15">
      <c r="A975" s="36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136"/>
      <c r="Z975" s="137"/>
    </row>
    <row r="976" spans="1:26" x14ac:dyDescent="0.15">
      <c r="A976" s="36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136"/>
      <c r="Z976" s="137"/>
    </row>
    <row r="977" spans="1:26" x14ac:dyDescent="0.15">
      <c r="A977" s="36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136"/>
      <c r="Z977" s="137"/>
    </row>
    <row r="978" spans="1:26" x14ac:dyDescent="0.15">
      <c r="A978" s="36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136"/>
      <c r="Z978" s="137"/>
    </row>
    <row r="979" spans="1:26" x14ac:dyDescent="0.15">
      <c r="A979" s="36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136"/>
      <c r="Z979" s="137"/>
    </row>
    <row r="980" spans="1:26" x14ac:dyDescent="0.15">
      <c r="A980" s="36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136"/>
      <c r="Z980" s="137"/>
    </row>
    <row r="981" spans="1:26" x14ac:dyDescent="0.15">
      <c r="A981" s="36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136"/>
      <c r="Z981" s="137"/>
    </row>
    <row r="982" spans="1:26" x14ac:dyDescent="0.15">
      <c r="A982" s="36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136"/>
      <c r="Z982" s="137"/>
    </row>
    <row r="983" spans="1:26" x14ac:dyDescent="0.15">
      <c r="A983" s="36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136"/>
      <c r="Z983" s="137"/>
    </row>
    <row r="984" spans="1:26" x14ac:dyDescent="0.15">
      <c r="A984" s="36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136"/>
      <c r="Z984" s="137"/>
    </row>
    <row r="985" spans="1:26" x14ac:dyDescent="0.15">
      <c r="A985" s="36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136"/>
      <c r="Z985" s="137"/>
    </row>
    <row r="986" spans="1:26" x14ac:dyDescent="0.15">
      <c r="A986" s="36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136"/>
      <c r="Z986" s="137"/>
    </row>
    <row r="987" spans="1:26" x14ac:dyDescent="0.15">
      <c r="A987" s="36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136"/>
      <c r="Z987" s="137"/>
    </row>
    <row r="988" spans="1:26" x14ac:dyDescent="0.15">
      <c r="A988" s="36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136"/>
      <c r="Z988" s="137"/>
    </row>
    <row r="989" spans="1:26" x14ac:dyDescent="0.15">
      <c r="A989" s="36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136"/>
      <c r="Z989" s="137"/>
    </row>
    <row r="990" spans="1:26" x14ac:dyDescent="0.15">
      <c r="A990" s="36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136"/>
      <c r="Z990" s="137"/>
    </row>
    <row r="991" spans="1:26" x14ac:dyDescent="0.15">
      <c r="A991" s="36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136"/>
      <c r="Z991" s="137"/>
    </row>
    <row r="992" spans="1:26" x14ac:dyDescent="0.15">
      <c r="A992" s="36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136"/>
      <c r="Z992" s="137"/>
    </row>
    <row r="993" spans="1:26" x14ac:dyDescent="0.15">
      <c r="A993" s="36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136"/>
      <c r="Z993" s="137"/>
    </row>
    <row r="994" spans="1:26" x14ac:dyDescent="0.15">
      <c r="A994" s="36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136"/>
      <c r="Z994" s="137"/>
    </row>
    <row r="995" spans="1:26" x14ac:dyDescent="0.15">
      <c r="A995" s="36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136"/>
      <c r="Z995" s="137"/>
    </row>
    <row r="996" spans="1:26" x14ac:dyDescent="0.15">
      <c r="A996" s="36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136"/>
      <c r="Z996" s="137"/>
    </row>
    <row r="997" spans="1:26" x14ac:dyDescent="0.15">
      <c r="A997" s="36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136"/>
      <c r="Z997" s="137"/>
    </row>
    <row r="998" spans="1:26" x14ac:dyDescent="0.15">
      <c r="A998" s="36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136"/>
      <c r="Z998" s="137"/>
    </row>
    <row r="999" spans="1:26" x14ac:dyDescent="0.15">
      <c r="A999" s="36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136"/>
      <c r="Z999" s="137"/>
    </row>
    <row r="1000" spans="1:26" x14ac:dyDescent="0.15">
      <c r="A1000" s="36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136"/>
      <c r="Z1000" s="137"/>
    </row>
    <row r="1001" spans="1:26" x14ac:dyDescent="0.15">
      <c r="A1001" s="48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40"/>
      <c r="Z1001" s="137"/>
    </row>
  </sheetData>
  <mergeCells count="2">
    <mergeCell ref="B1:Q1"/>
    <mergeCell ref="B31:C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AD77-D510-4C2B-B51B-2B4A70E9A6E6}">
  <dimension ref="A2:R47"/>
  <sheetViews>
    <sheetView workbookViewId="0">
      <selection activeCell="B30" sqref="B30"/>
    </sheetView>
  </sheetViews>
  <sheetFormatPr baseColWidth="10" defaultColWidth="8.83203125" defaultRowHeight="14" x14ac:dyDescent="0.15"/>
  <cols>
    <col min="1" max="1" width="8.83203125" style="67"/>
    <col min="2" max="2" width="29" style="67" bestFit="1" customWidth="1"/>
    <col min="3" max="3" width="13.5" style="67" bestFit="1" customWidth="1"/>
    <col min="4" max="6" width="13.6640625" style="67" bestFit="1" customWidth="1"/>
    <col min="7" max="12" width="14.83203125" style="67" bestFit="1" customWidth="1"/>
    <col min="13" max="15" width="14.33203125" style="67" bestFit="1" customWidth="1"/>
    <col min="16" max="18" width="15.1640625" style="67" bestFit="1" customWidth="1"/>
    <col min="19" max="16384" width="8.83203125" style="67"/>
  </cols>
  <sheetData>
    <row r="2" spans="1:18" x14ac:dyDescent="0.15">
      <c r="A2" s="87"/>
      <c r="B2" s="94"/>
      <c r="C2" s="95">
        <v>0</v>
      </c>
      <c r="D2" s="95">
        <v>1</v>
      </c>
      <c r="E2" s="95">
        <v>2</v>
      </c>
      <c r="F2" s="95">
        <v>3</v>
      </c>
      <c r="G2" s="95">
        <v>4</v>
      </c>
      <c r="H2" s="95">
        <v>5</v>
      </c>
      <c r="I2" s="95">
        <v>6</v>
      </c>
      <c r="J2" s="95">
        <v>7</v>
      </c>
      <c r="K2" s="95">
        <v>8</v>
      </c>
      <c r="L2" s="95">
        <v>9</v>
      </c>
      <c r="M2" s="95">
        <v>10</v>
      </c>
      <c r="N2" s="95">
        <v>11</v>
      </c>
      <c r="O2" s="95">
        <v>12</v>
      </c>
      <c r="P2" s="95">
        <v>13</v>
      </c>
      <c r="Q2" s="95">
        <v>14</v>
      </c>
      <c r="R2" s="96">
        <v>15</v>
      </c>
    </row>
    <row r="3" spans="1:18" x14ac:dyDescent="0.15">
      <c r="A3" s="87"/>
      <c r="B3" s="91"/>
      <c r="C3" s="92">
        <v>45658</v>
      </c>
      <c r="D3" s="93">
        <v>2025</v>
      </c>
      <c r="E3" s="93">
        <v>2026</v>
      </c>
      <c r="F3" s="93">
        <v>2027</v>
      </c>
      <c r="G3" s="93">
        <v>2028</v>
      </c>
      <c r="H3" s="93">
        <v>2029</v>
      </c>
      <c r="I3" s="93">
        <v>2030</v>
      </c>
      <c r="J3" s="93">
        <v>2031</v>
      </c>
      <c r="K3" s="93">
        <v>2032</v>
      </c>
      <c r="L3" s="93">
        <v>2033</v>
      </c>
      <c r="M3" s="93">
        <v>2034</v>
      </c>
      <c r="N3" s="93">
        <v>2035</v>
      </c>
      <c r="O3" s="93">
        <v>2036</v>
      </c>
      <c r="P3" s="93">
        <v>2037</v>
      </c>
      <c r="Q3" s="93">
        <v>2038</v>
      </c>
      <c r="R3" s="93">
        <v>2039</v>
      </c>
    </row>
    <row r="4" spans="1:18" x14ac:dyDescent="0.15">
      <c r="A4" s="87"/>
      <c r="B4" s="88"/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106"/>
    </row>
    <row r="5" spans="1:18" x14ac:dyDescent="0.15">
      <c r="A5" s="87"/>
      <c r="B5" s="88" t="s">
        <v>0</v>
      </c>
      <c r="C5" s="199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20000</v>
      </c>
      <c r="J5" s="21">
        <f t="shared" ref="J5:R5" si="0">I5*(1+$C$34)</f>
        <v>26000</v>
      </c>
      <c r="K5" s="21">
        <f t="shared" si="0"/>
        <v>33800</v>
      </c>
      <c r="L5" s="21">
        <f t="shared" si="0"/>
        <v>43940</v>
      </c>
      <c r="M5" s="21">
        <f t="shared" si="0"/>
        <v>57122</v>
      </c>
      <c r="N5" s="21">
        <f t="shared" si="0"/>
        <v>74258.600000000006</v>
      </c>
      <c r="O5" s="21">
        <f t="shared" si="0"/>
        <v>96536.180000000008</v>
      </c>
      <c r="P5" s="21">
        <f t="shared" si="0"/>
        <v>125497.03400000001</v>
      </c>
      <c r="Q5" s="21">
        <f t="shared" si="0"/>
        <v>163146.14420000001</v>
      </c>
      <c r="R5" s="200">
        <f t="shared" si="0"/>
        <v>212089.98746000003</v>
      </c>
    </row>
    <row r="6" spans="1:18" x14ac:dyDescent="0.15">
      <c r="A6" s="87"/>
      <c r="B6" s="88"/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98"/>
    </row>
    <row r="7" spans="1:18" x14ac:dyDescent="0.15">
      <c r="A7" s="87"/>
      <c r="B7" s="88" t="s">
        <v>1</v>
      </c>
      <c r="C7" s="26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f t="shared" ref="I7:R7" si="1">I5*($C$35)</f>
        <v>2000000000</v>
      </c>
      <c r="J7" s="27">
        <f t="shared" si="1"/>
        <v>2600000000</v>
      </c>
      <c r="K7" s="27">
        <f t="shared" si="1"/>
        <v>3380000000</v>
      </c>
      <c r="L7" s="27">
        <f t="shared" si="1"/>
        <v>4394000000</v>
      </c>
      <c r="M7" s="27">
        <f t="shared" si="1"/>
        <v>5712200000</v>
      </c>
      <c r="N7" s="27">
        <f t="shared" si="1"/>
        <v>7425860000.000001</v>
      </c>
      <c r="O7" s="27">
        <f t="shared" si="1"/>
        <v>9653618000</v>
      </c>
      <c r="P7" s="27">
        <f t="shared" si="1"/>
        <v>12549703400.000002</v>
      </c>
      <c r="Q7" s="27">
        <f t="shared" si="1"/>
        <v>16314614420.000002</v>
      </c>
      <c r="R7" s="98">
        <f t="shared" si="1"/>
        <v>21208998746.000004</v>
      </c>
    </row>
    <row r="8" spans="1:18" x14ac:dyDescent="0.15">
      <c r="A8" s="87"/>
      <c r="B8" s="88"/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98"/>
    </row>
    <row r="9" spans="1:18" x14ac:dyDescent="0.15">
      <c r="A9" s="87"/>
      <c r="B9" s="88" t="s">
        <v>2</v>
      </c>
      <c r="C9" s="26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f>I5*(I36)</f>
        <v>1616000000</v>
      </c>
      <c r="J9" s="27">
        <f t="shared" ref="J9:R9" si="2">J5*(J36)</f>
        <v>2100800000</v>
      </c>
      <c r="K9" s="27">
        <f t="shared" si="2"/>
        <v>2731040000</v>
      </c>
      <c r="L9" s="27">
        <f t="shared" si="2"/>
        <v>3550352000</v>
      </c>
      <c r="M9" s="27">
        <f t="shared" si="2"/>
        <v>4500071160</v>
      </c>
      <c r="N9" s="27">
        <f t="shared" si="2"/>
        <v>5850092508</v>
      </c>
      <c r="O9" s="27">
        <f t="shared" si="2"/>
        <v>7410117176.8000002</v>
      </c>
      <c r="P9" s="27">
        <f t="shared" si="2"/>
        <v>9633152329.8400002</v>
      </c>
      <c r="Q9" s="27">
        <f t="shared" si="2"/>
        <v>12358320423.150002</v>
      </c>
      <c r="R9" s="98">
        <f t="shared" si="2"/>
        <v>15851605662.760403</v>
      </c>
    </row>
    <row r="10" spans="1:18" x14ac:dyDescent="0.15">
      <c r="A10" s="87"/>
      <c r="B10" s="88" t="s">
        <v>3</v>
      </c>
      <c r="C10" s="26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f t="shared" ref="I10:R10" si="3">I5*($C$37)</f>
        <v>20000000</v>
      </c>
      <c r="J10" s="27">
        <f t="shared" si="3"/>
        <v>26000000</v>
      </c>
      <c r="K10" s="27">
        <f t="shared" si="3"/>
        <v>33800000</v>
      </c>
      <c r="L10" s="27">
        <f t="shared" si="3"/>
        <v>43940000</v>
      </c>
      <c r="M10" s="27">
        <f t="shared" si="3"/>
        <v>57122000</v>
      </c>
      <c r="N10" s="27">
        <f t="shared" si="3"/>
        <v>74258600</v>
      </c>
      <c r="O10" s="27">
        <f t="shared" si="3"/>
        <v>96536180.000000015</v>
      </c>
      <c r="P10" s="27">
        <f t="shared" si="3"/>
        <v>125497034.00000001</v>
      </c>
      <c r="Q10" s="27">
        <f t="shared" si="3"/>
        <v>163146144.20000002</v>
      </c>
      <c r="R10" s="98">
        <f t="shared" si="3"/>
        <v>212089987.46000004</v>
      </c>
    </row>
    <row r="11" spans="1:18" x14ac:dyDescent="0.15">
      <c r="A11" s="87"/>
      <c r="B11" s="88" t="s">
        <v>4</v>
      </c>
      <c r="C11" s="26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f t="shared" ref="I11:R11" si="4">I9+I10</f>
        <v>1636000000</v>
      </c>
      <c r="J11" s="27">
        <f t="shared" si="4"/>
        <v>2126800000</v>
      </c>
      <c r="K11" s="27">
        <f t="shared" si="4"/>
        <v>2764840000</v>
      </c>
      <c r="L11" s="27">
        <f t="shared" si="4"/>
        <v>3594292000</v>
      </c>
      <c r="M11" s="27">
        <f t="shared" si="4"/>
        <v>4557193160</v>
      </c>
      <c r="N11" s="27">
        <f t="shared" si="4"/>
        <v>5924351108</v>
      </c>
      <c r="O11" s="27">
        <f t="shared" si="4"/>
        <v>7506653356.8000002</v>
      </c>
      <c r="P11" s="27">
        <f t="shared" si="4"/>
        <v>9758649363.8400002</v>
      </c>
      <c r="Q11" s="27">
        <f t="shared" si="4"/>
        <v>12521466567.350002</v>
      </c>
      <c r="R11" s="98">
        <f t="shared" si="4"/>
        <v>16063695650.220402</v>
      </c>
    </row>
    <row r="12" spans="1:18" x14ac:dyDescent="0.15">
      <c r="A12" s="87"/>
      <c r="B12" s="88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98"/>
    </row>
    <row r="13" spans="1:18" x14ac:dyDescent="0.15">
      <c r="A13" s="87"/>
      <c r="B13" s="89" t="s">
        <v>5</v>
      </c>
      <c r="C13" s="30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f t="shared" ref="I13:R13" si="5">I7-I11</f>
        <v>364000000</v>
      </c>
      <c r="J13" s="27">
        <f t="shared" si="5"/>
        <v>473200000</v>
      </c>
      <c r="K13" s="27">
        <f t="shared" si="5"/>
        <v>615160000</v>
      </c>
      <c r="L13" s="27">
        <f t="shared" si="5"/>
        <v>799708000</v>
      </c>
      <c r="M13" s="27">
        <f t="shared" si="5"/>
        <v>1155006840</v>
      </c>
      <c r="N13" s="27">
        <f t="shared" si="5"/>
        <v>1501508892.000001</v>
      </c>
      <c r="O13" s="27">
        <f t="shared" si="5"/>
        <v>2146964643.1999998</v>
      </c>
      <c r="P13" s="27">
        <f t="shared" si="5"/>
        <v>2791054036.1600018</v>
      </c>
      <c r="Q13" s="27">
        <f t="shared" si="5"/>
        <v>3793147852.6499996</v>
      </c>
      <c r="R13" s="98">
        <f t="shared" si="5"/>
        <v>5145303095.7796021</v>
      </c>
    </row>
    <row r="14" spans="1:18" x14ac:dyDescent="0.15">
      <c r="A14" s="87"/>
      <c r="B14" s="88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98"/>
    </row>
    <row r="15" spans="1:18" x14ac:dyDescent="0.15">
      <c r="A15" s="87"/>
      <c r="B15" s="88" t="s">
        <v>6</v>
      </c>
      <c r="C15" s="26">
        <v>0</v>
      </c>
      <c r="D15" s="27">
        <v>160000000</v>
      </c>
      <c r="E15" s="27">
        <f t="shared" ref="E15:R15" si="6">D15*(1+$C$39)</f>
        <v>168000000</v>
      </c>
      <c r="F15" s="27">
        <f t="shared" si="6"/>
        <v>176400000</v>
      </c>
      <c r="G15" s="27">
        <f t="shared" si="6"/>
        <v>185220000</v>
      </c>
      <c r="H15" s="27">
        <f t="shared" si="6"/>
        <v>194481000</v>
      </c>
      <c r="I15" s="27">
        <f t="shared" si="6"/>
        <v>204205050</v>
      </c>
      <c r="J15" s="27">
        <f t="shared" si="6"/>
        <v>214415302.5</v>
      </c>
      <c r="K15" s="27">
        <f t="shared" si="6"/>
        <v>225136067.625</v>
      </c>
      <c r="L15" s="27">
        <f t="shared" si="6"/>
        <v>236392871.00625002</v>
      </c>
      <c r="M15" s="27">
        <f t="shared" si="6"/>
        <v>248212514.55656254</v>
      </c>
      <c r="N15" s="27">
        <f t="shared" si="6"/>
        <v>260623140.28439069</v>
      </c>
      <c r="O15" s="27">
        <f t="shared" si="6"/>
        <v>273654297.29861021</v>
      </c>
      <c r="P15" s="27">
        <f t="shared" si="6"/>
        <v>287337012.16354072</v>
      </c>
      <c r="Q15" s="27">
        <f t="shared" si="6"/>
        <v>301703862.77171779</v>
      </c>
      <c r="R15" s="98">
        <f t="shared" si="6"/>
        <v>316789055.91030371</v>
      </c>
    </row>
    <row r="16" spans="1:18" x14ac:dyDescent="0.15">
      <c r="A16" s="87"/>
      <c r="B16" s="88" t="s">
        <v>7</v>
      </c>
      <c r="C16" s="26">
        <v>0</v>
      </c>
      <c r="D16" s="31">
        <f>$C$41</f>
        <v>150000000</v>
      </c>
      <c r="E16" s="31">
        <f t="shared" ref="E16:R16" si="7">$C$41</f>
        <v>150000000</v>
      </c>
      <c r="F16" s="31">
        <f t="shared" si="7"/>
        <v>150000000</v>
      </c>
      <c r="G16" s="31">
        <f t="shared" si="7"/>
        <v>150000000</v>
      </c>
      <c r="H16" s="31">
        <f t="shared" si="7"/>
        <v>150000000</v>
      </c>
      <c r="I16" s="31">
        <f t="shared" si="7"/>
        <v>150000000</v>
      </c>
      <c r="J16" s="31">
        <f t="shared" si="7"/>
        <v>150000000</v>
      </c>
      <c r="K16" s="31">
        <f t="shared" si="7"/>
        <v>150000000</v>
      </c>
      <c r="L16" s="31">
        <f t="shared" si="7"/>
        <v>150000000</v>
      </c>
      <c r="M16" s="31">
        <f t="shared" si="7"/>
        <v>150000000</v>
      </c>
      <c r="N16" s="31">
        <f t="shared" si="7"/>
        <v>150000000</v>
      </c>
      <c r="O16" s="31">
        <f t="shared" si="7"/>
        <v>150000000</v>
      </c>
      <c r="P16" s="31">
        <f t="shared" si="7"/>
        <v>150000000</v>
      </c>
      <c r="Q16" s="31">
        <f t="shared" si="7"/>
        <v>150000000</v>
      </c>
      <c r="R16" s="240">
        <f t="shared" si="7"/>
        <v>150000000</v>
      </c>
    </row>
    <row r="17" spans="1:18" x14ac:dyDescent="0.15">
      <c r="A17" s="87"/>
      <c r="B17" s="88"/>
      <c r="C17" s="26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1"/>
    </row>
    <row r="18" spans="1:18" x14ac:dyDescent="0.15">
      <c r="A18" s="87"/>
      <c r="B18" s="89" t="s">
        <v>8</v>
      </c>
      <c r="C18" s="102">
        <f t="shared" ref="C18:R18" si="8">C13-C15-C16</f>
        <v>0</v>
      </c>
      <c r="D18" s="103">
        <f t="shared" si="8"/>
        <v>-310000000</v>
      </c>
      <c r="E18" s="103">
        <f t="shared" si="8"/>
        <v>-318000000</v>
      </c>
      <c r="F18" s="103">
        <f t="shared" si="8"/>
        <v>-326400000</v>
      </c>
      <c r="G18" s="103">
        <f t="shared" si="8"/>
        <v>-335220000</v>
      </c>
      <c r="H18" s="103">
        <f t="shared" si="8"/>
        <v>-344481000</v>
      </c>
      <c r="I18" s="103">
        <f t="shared" si="8"/>
        <v>9794950</v>
      </c>
      <c r="J18" s="103">
        <f t="shared" si="8"/>
        <v>108784697.5</v>
      </c>
      <c r="K18" s="103">
        <f t="shared" si="8"/>
        <v>240023932.375</v>
      </c>
      <c r="L18" s="103">
        <f t="shared" si="8"/>
        <v>413315128.99374998</v>
      </c>
      <c r="M18" s="103">
        <f t="shared" si="8"/>
        <v>756794325.44343746</v>
      </c>
      <c r="N18" s="103">
        <f t="shared" si="8"/>
        <v>1090885751.7156103</v>
      </c>
      <c r="O18" s="103">
        <f t="shared" si="8"/>
        <v>1723310345.9013896</v>
      </c>
      <c r="P18" s="103">
        <f t="shared" si="8"/>
        <v>2353717023.9964609</v>
      </c>
      <c r="Q18" s="103">
        <f t="shared" si="8"/>
        <v>3341443989.8782816</v>
      </c>
      <c r="R18" s="104">
        <f t="shared" si="8"/>
        <v>4678514039.869298</v>
      </c>
    </row>
    <row r="19" spans="1:18" x14ac:dyDescent="0.15">
      <c r="A19" s="87"/>
      <c r="B19" s="89" t="s">
        <v>9</v>
      </c>
      <c r="C19" s="30">
        <v>0</v>
      </c>
      <c r="D19" s="31">
        <v>5000000</v>
      </c>
      <c r="E19" s="31">
        <v>5000000</v>
      </c>
      <c r="F19" s="31">
        <v>5000000</v>
      </c>
      <c r="G19" s="31">
        <v>5000000</v>
      </c>
      <c r="H19" s="31">
        <v>5000000</v>
      </c>
      <c r="I19" s="31">
        <v>5000000</v>
      </c>
      <c r="J19" s="31">
        <v>5000000</v>
      </c>
      <c r="K19" s="31">
        <v>5000000</v>
      </c>
      <c r="L19" s="31">
        <v>5000000</v>
      </c>
      <c r="M19" s="31">
        <v>5000000</v>
      </c>
      <c r="N19" s="31">
        <v>5000000</v>
      </c>
      <c r="O19" s="31">
        <v>5000000</v>
      </c>
      <c r="P19" s="31">
        <v>5000000</v>
      </c>
      <c r="Q19" s="31">
        <v>5000000</v>
      </c>
      <c r="R19" s="99">
        <v>5000000</v>
      </c>
    </row>
    <row r="20" spans="1:18" x14ac:dyDescent="0.15">
      <c r="A20" s="87"/>
      <c r="B20" s="89" t="s">
        <v>10</v>
      </c>
      <c r="C20" s="30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f t="shared" ref="I20:R20" si="9">(I18-I19)*0.25</f>
        <v>1198737.5</v>
      </c>
      <c r="J20" s="27">
        <f t="shared" si="9"/>
        <v>25946174.375</v>
      </c>
      <c r="K20" s="27">
        <f t="shared" si="9"/>
        <v>58755983.09375</v>
      </c>
      <c r="L20" s="27">
        <f t="shared" si="9"/>
        <v>102078782.24843749</v>
      </c>
      <c r="M20" s="27">
        <f t="shared" si="9"/>
        <v>187948581.36085936</v>
      </c>
      <c r="N20" s="27">
        <f t="shared" si="9"/>
        <v>271471437.92890257</v>
      </c>
      <c r="O20" s="27">
        <f t="shared" si="9"/>
        <v>429577586.4753474</v>
      </c>
      <c r="P20" s="27">
        <f t="shared" si="9"/>
        <v>587179255.99911523</v>
      </c>
      <c r="Q20" s="27">
        <f t="shared" si="9"/>
        <v>834110997.4695704</v>
      </c>
      <c r="R20" s="98">
        <f t="shared" si="9"/>
        <v>1168378509.9673245</v>
      </c>
    </row>
    <row r="21" spans="1:18" x14ac:dyDescent="0.15">
      <c r="A21" s="87"/>
      <c r="B21" s="88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98"/>
    </row>
    <row r="22" spans="1:18" x14ac:dyDescent="0.15">
      <c r="A22" s="87"/>
      <c r="B22" s="89" t="s">
        <v>11</v>
      </c>
      <c r="C22" s="30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f t="shared" ref="I22:R22" si="10">I7*($C$42)</f>
        <v>100000000</v>
      </c>
      <c r="J22" s="27">
        <f t="shared" si="10"/>
        <v>130000000</v>
      </c>
      <c r="K22" s="27">
        <f t="shared" si="10"/>
        <v>169000000</v>
      </c>
      <c r="L22" s="27">
        <f t="shared" si="10"/>
        <v>219700000</v>
      </c>
      <c r="M22" s="27">
        <f t="shared" si="10"/>
        <v>285610000</v>
      </c>
      <c r="N22" s="27">
        <f t="shared" si="10"/>
        <v>371293000.00000006</v>
      </c>
      <c r="O22" s="27">
        <f t="shared" si="10"/>
        <v>482680900</v>
      </c>
      <c r="P22" s="27">
        <f t="shared" si="10"/>
        <v>627485170.00000012</v>
      </c>
      <c r="Q22" s="27">
        <f t="shared" si="10"/>
        <v>815730721.00000012</v>
      </c>
      <c r="R22" s="98">
        <f t="shared" si="10"/>
        <v>1060449937.3000002</v>
      </c>
    </row>
    <row r="23" spans="1:18" x14ac:dyDescent="0.15">
      <c r="A23" s="87"/>
      <c r="B23" s="89" t="s">
        <v>12</v>
      </c>
      <c r="C23" s="30">
        <v>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f>I22-H22</f>
        <v>100000000</v>
      </c>
      <c r="J23" s="27">
        <f t="shared" ref="J23:Q23" si="11">J22-I22</f>
        <v>30000000</v>
      </c>
      <c r="K23" s="27">
        <f t="shared" si="11"/>
        <v>39000000</v>
      </c>
      <c r="L23" s="27">
        <f t="shared" si="11"/>
        <v>50700000</v>
      </c>
      <c r="M23" s="27">
        <f t="shared" si="11"/>
        <v>65910000</v>
      </c>
      <c r="N23" s="27">
        <f t="shared" si="11"/>
        <v>85683000.00000006</v>
      </c>
      <c r="O23" s="27">
        <f t="shared" si="11"/>
        <v>111387899.99999994</v>
      </c>
      <c r="P23" s="27">
        <f t="shared" si="11"/>
        <v>144804270.00000012</v>
      </c>
      <c r="Q23" s="27">
        <f t="shared" si="11"/>
        <v>188245551</v>
      </c>
      <c r="R23" s="98">
        <f>R22-Q22</f>
        <v>244719216.30000007</v>
      </c>
    </row>
    <row r="24" spans="1:18" x14ac:dyDescent="0.15">
      <c r="A24" s="87"/>
      <c r="B24" s="89" t="s">
        <v>13</v>
      </c>
      <c r="C24" s="30">
        <v>0</v>
      </c>
      <c r="D24" s="31">
        <f>$C$43</f>
        <v>40000000</v>
      </c>
      <c r="E24" s="31">
        <f t="shared" ref="E24:H24" si="12">$C$43</f>
        <v>40000000</v>
      </c>
      <c r="F24" s="31">
        <f t="shared" si="12"/>
        <v>40000000</v>
      </c>
      <c r="G24" s="31">
        <f t="shared" si="12"/>
        <v>40000000</v>
      </c>
      <c r="H24" s="31">
        <f t="shared" si="12"/>
        <v>40000000</v>
      </c>
      <c r="I24" s="31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98">
        <v>0</v>
      </c>
    </row>
    <row r="25" spans="1:18" x14ac:dyDescent="0.15">
      <c r="A25" s="87"/>
      <c r="B25" s="88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98"/>
    </row>
    <row r="26" spans="1:18" x14ac:dyDescent="0.15">
      <c r="A26" s="87"/>
      <c r="B26" s="89" t="s">
        <v>14</v>
      </c>
      <c r="C26" s="30">
        <v>0</v>
      </c>
      <c r="D26" s="27">
        <f>D18+D19-D20-D23-D24</f>
        <v>-345000000</v>
      </c>
      <c r="E26" s="27">
        <f t="shared" ref="E26:R26" si="13">E18+E19-E20-E23-E24</f>
        <v>-353000000</v>
      </c>
      <c r="F26" s="27">
        <f t="shared" si="13"/>
        <v>-361400000</v>
      </c>
      <c r="G26" s="27">
        <f t="shared" si="13"/>
        <v>-370220000</v>
      </c>
      <c r="H26" s="27">
        <f t="shared" si="13"/>
        <v>-379481000</v>
      </c>
      <c r="I26" s="27">
        <f t="shared" si="13"/>
        <v>-86403787.5</v>
      </c>
      <c r="J26" s="27">
        <f t="shared" si="13"/>
        <v>57838523.125</v>
      </c>
      <c r="K26" s="27">
        <f t="shared" si="13"/>
        <v>147267949.28125</v>
      </c>
      <c r="L26" s="27">
        <f t="shared" si="13"/>
        <v>265536346.74531245</v>
      </c>
      <c r="M26" s="27">
        <f t="shared" si="13"/>
        <v>507935744.08257806</v>
      </c>
      <c r="N26" s="27">
        <f t="shared" si="13"/>
        <v>738731313.78670764</v>
      </c>
      <c r="O26" s="27">
        <f t="shared" si="13"/>
        <v>1187344859.4260421</v>
      </c>
      <c r="P26" s="27">
        <f t="shared" si="13"/>
        <v>1626733497.9973454</v>
      </c>
      <c r="Q26" s="27">
        <f t="shared" si="13"/>
        <v>2324087441.4087114</v>
      </c>
      <c r="R26" s="98">
        <f t="shared" si="13"/>
        <v>3270416313.6019735</v>
      </c>
    </row>
    <row r="27" spans="1:18" x14ac:dyDescent="0.15">
      <c r="A27" s="87"/>
      <c r="B27" s="90" t="s">
        <v>15</v>
      </c>
      <c r="C27" s="33">
        <v>0</v>
      </c>
      <c r="D27" s="34">
        <f t="shared" ref="D27:R27" si="14">C27+D26</f>
        <v>-345000000</v>
      </c>
      <c r="E27" s="34">
        <f t="shared" si="14"/>
        <v>-698000000</v>
      </c>
      <c r="F27" s="34">
        <f t="shared" si="14"/>
        <v>-1059400000</v>
      </c>
      <c r="G27" s="34">
        <f t="shared" si="14"/>
        <v>-1429620000</v>
      </c>
      <c r="H27" s="34">
        <f t="shared" si="14"/>
        <v>-1809101000</v>
      </c>
      <c r="I27" s="34">
        <f t="shared" si="14"/>
        <v>-1895504787.5</v>
      </c>
      <c r="J27" s="34">
        <f t="shared" si="14"/>
        <v>-1837666264.375</v>
      </c>
      <c r="K27" s="34">
        <f t="shared" si="14"/>
        <v>-1690398315.09375</v>
      </c>
      <c r="L27" s="34">
        <f t="shared" si="14"/>
        <v>-1424861968.3484375</v>
      </c>
      <c r="M27" s="34">
        <f t="shared" si="14"/>
        <v>-916926224.26585948</v>
      </c>
      <c r="N27" s="34">
        <f t="shared" si="14"/>
        <v>-178194910.47915184</v>
      </c>
      <c r="O27" s="34">
        <f t="shared" si="14"/>
        <v>1009149948.9468902</v>
      </c>
      <c r="P27" s="34">
        <f t="shared" si="14"/>
        <v>2635883446.9442358</v>
      </c>
      <c r="Q27" s="34">
        <f t="shared" si="14"/>
        <v>4959970888.3529472</v>
      </c>
      <c r="R27" s="105">
        <f t="shared" si="14"/>
        <v>8230387201.9549208</v>
      </c>
    </row>
    <row r="28" spans="1:18" x14ac:dyDescent="0.15">
      <c r="B28" s="37"/>
      <c r="C28" s="37"/>
      <c r="D28" s="37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  <row r="29" spans="1:18" x14ac:dyDescent="0.15">
      <c r="B29" s="141" t="s">
        <v>38</v>
      </c>
      <c r="C29" s="139"/>
      <c r="D29" s="144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  <row r="30" spans="1:18" x14ac:dyDescent="0.15">
      <c r="A30" s="87"/>
      <c r="B30" s="51" t="s">
        <v>33</v>
      </c>
      <c r="C30" s="21"/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</row>
    <row r="31" spans="1:18" x14ac:dyDescent="0.15">
      <c r="A31" s="87"/>
      <c r="B31" s="260" t="s">
        <v>17</v>
      </c>
      <c r="C31" s="252"/>
      <c r="D31" s="42"/>
      <c r="E31" s="21"/>
      <c r="F31" s="17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</row>
    <row r="32" spans="1:18" x14ac:dyDescent="0.15">
      <c r="A32" s="87"/>
      <c r="B32" s="41" t="s">
        <v>18</v>
      </c>
      <c r="C32" s="37"/>
      <c r="D32" s="42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</row>
    <row r="33" spans="1:18" x14ac:dyDescent="0.15">
      <c r="A33" s="87"/>
      <c r="B33" s="51" t="s">
        <v>19</v>
      </c>
      <c r="C33" s="43">
        <v>20000</v>
      </c>
      <c r="D33" s="22" t="s">
        <v>20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</row>
    <row r="34" spans="1:18" x14ac:dyDescent="0.15">
      <c r="A34" s="87"/>
      <c r="B34" s="51" t="s">
        <v>21</v>
      </c>
      <c r="C34" s="44">
        <v>0.3</v>
      </c>
      <c r="D34" s="22"/>
      <c r="E34" s="21"/>
      <c r="F34" s="21"/>
      <c r="G34" s="21"/>
      <c r="H34" s="21"/>
      <c r="I34" s="37"/>
      <c r="J34" s="37"/>
      <c r="K34" s="37"/>
      <c r="L34" s="37"/>
      <c r="M34" s="37"/>
      <c r="N34" s="37"/>
      <c r="O34" s="37"/>
      <c r="P34" s="37"/>
      <c r="Q34" s="37"/>
      <c r="R34" s="37"/>
    </row>
    <row r="35" spans="1:18" x14ac:dyDescent="0.15">
      <c r="A35" s="87"/>
      <c r="B35" s="51" t="s">
        <v>22</v>
      </c>
      <c r="C35" s="45">
        <v>100000</v>
      </c>
      <c r="D35" s="22"/>
      <c r="E35" s="21"/>
      <c r="F35" s="21"/>
      <c r="G35" s="21"/>
      <c r="H35" s="22"/>
      <c r="I35" s="37">
        <v>2030</v>
      </c>
      <c r="J35" s="37">
        <v>2031</v>
      </c>
      <c r="K35" s="37">
        <v>2032</v>
      </c>
      <c r="L35" s="37">
        <v>2033</v>
      </c>
      <c r="M35" s="37">
        <v>2034</v>
      </c>
      <c r="N35" s="37">
        <v>2035</v>
      </c>
      <c r="O35" s="37">
        <v>2036</v>
      </c>
      <c r="P35" s="37">
        <v>2037</v>
      </c>
      <c r="Q35" s="37">
        <v>2038</v>
      </c>
      <c r="R35" s="42">
        <v>2039</v>
      </c>
    </row>
    <row r="36" spans="1:18" x14ac:dyDescent="0.15">
      <c r="A36" s="87"/>
      <c r="B36" s="51" t="s">
        <v>23</v>
      </c>
      <c r="C36" s="21"/>
      <c r="D36" s="22"/>
      <c r="E36" s="21"/>
      <c r="F36" s="21"/>
      <c r="G36" s="21"/>
      <c r="H36" s="22"/>
      <c r="I36" s="34">
        <f>'Option 2'!I35*1.01</f>
        <v>80800</v>
      </c>
      <c r="J36" s="34">
        <f>'Option 2'!J35*1.01</f>
        <v>80800</v>
      </c>
      <c r="K36" s="34">
        <f>'Option 2'!K35*1.01</f>
        <v>80800</v>
      </c>
      <c r="L36" s="34">
        <f>'Option 2'!L35*1.01</f>
        <v>80800</v>
      </c>
      <c r="M36" s="34">
        <f>'Option 2'!M35*1.01</f>
        <v>78780</v>
      </c>
      <c r="N36" s="34">
        <f>'Option 2'!N35*1.01</f>
        <v>78780</v>
      </c>
      <c r="O36" s="34">
        <f>'Option 2'!O35*1.01</f>
        <v>76760</v>
      </c>
      <c r="P36" s="34">
        <f>'Option 2'!P35*1.01</f>
        <v>76760</v>
      </c>
      <c r="Q36" s="34">
        <f>'Option 2'!Q35*1.01</f>
        <v>75750</v>
      </c>
      <c r="R36" s="203">
        <f>'Option 2'!R35*1.01</f>
        <v>74740</v>
      </c>
    </row>
    <row r="37" spans="1:18" x14ac:dyDescent="0.15">
      <c r="A37" s="87"/>
      <c r="B37" s="51" t="s">
        <v>24</v>
      </c>
      <c r="C37" s="45">
        <v>1000</v>
      </c>
      <c r="D37" s="22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</row>
    <row r="38" spans="1:18" x14ac:dyDescent="0.15">
      <c r="A38" s="87"/>
      <c r="B38" s="51" t="s">
        <v>25</v>
      </c>
      <c r="C38" s="45">
        <v>160000000</v>
      </c>
      <c r="D38" s="22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spans="1:18" x14ac:dyDescent="0.15">
      <c r="A39" s="87"/>
      <c r="B39" s="51" t="s">
        <v>26</v>
      </c>
      <c r="C39" s="44">
        <v>0.05</v>
      </c>
      <c r="D39" s="22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  <row r="40" spans="1:18" x14ac:dyDescent="0.15">
      <c r="A40" s="87"/>
      <c r="B40" s="51" t="s">
        <v>9</v>
      </c>
      <c r="C40" s="45">
        <v>5000000</v>
      </c>
      <c r="D40" s="22" t="s">
        <v>27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</row>
    <row r="41" spans="1:18" x14ac:dyDescent="0.15">
      <c r="A41" s="87"/>
      <c r="B41" s="51" t="s">
        <v>7</v>
      </c>
      <c r="C41" s="45">
        <v>150000000</v>
      </c>
      <c r="D41" s="22" t="s">
        <v>27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</row>
    <row r="42" spans="1:18" x14ac:dyDescent="0.15">
      <c r="A42" s="87"/>
      <c r="B42" s="51" t="s">
        <v>28</v>
      </c>
      <c r="C42" s="44">
        <v>0.05</v>
      </c>
      <c r="D42" s="22" t="s">
        <v>29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</row>
    <row r="43" spans="1:18" x14ac:dyDescent="0.15">
      <c r="A43" s="87"/>
      <c r="B43" s="51" t="s">
        <v>13</v>
      </c>
      <c r="C43" s="45">
        <v>40000000</v>
      </c>
      <c r="D43" s="22" t="s">
        <v>27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</row>
    <row r="44" spans="1:18" x14ac:dyDescent="0.15">
      <c r="A44" s="87"/>
      <c r="B44" s="51" t="s">
        <v>30</v>
      </c>
      <c r="C44" s="44">
        <v>0.25</v>
      </c>
      <c r="D44" s="22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</row>
    <row r="45" spans="1:18" x14ac:dyDescent="0.15">
      <c r="A45" s="87"/>
      <c r="B45" s="41" t="s">
        <v>31</v>
      </c>
      <c r="C45" s="46">
        <v>0.15</v>
      </c>
      <c r="D45" s="42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</row>
    <row r="46" spans="1:18" x14ac:dyDescent="0.15">
      <c r="B46" s="37"/>
      <c r="C46" s="37"/>
      <c r="D46" s="37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</row>
    <row r="47" spans="1:18" x14ac:dyDescent="0.15">
      <c r="B47" s="86" t="s">
        <v>32</v>
      </c>
      <c r="C47" s="47">
        <f>NPV($C$45,D26:R26)+C26</f>
        <v>404152806.28511852</v>
      </c>
      <c r="D47" s="42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</row>
  </sheetData>
  <mergeCells count="1">
    <mergeCell ref="B31:C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BA8C-692F-C442-9C13-5B61E67D942B}">
  <dimension ref="A1:Z1000"/>
  <sheetViews>
    <sheetView zoomScale="85" workbookViewId="0">
      <selection activeCell="X20" sqref="X20"/>
    </sheetView>
  </sheetViews>
  <sheetFormatPr baseColWidth="10" defaultRowHeight="15" x14ac:dyDescent="0.2"/>
  <cols>
    <col min="2" max="2" width="24.33203125" bestFit="1" customWidth="1"/>
    <col min="3" max="3" width="23" bestFit="1" customWidth="1"/>
    <col min="4" max="4" width="15.33203125" bestFit="1" customWidth="1"/>
    <col min="5" max="5" width="14.6640625" bestFit="1" customWidth="1"/>
    <col min="6" max="7" width="16" hidden="1" customWidth="1"/>
    <col min="8" max="8" width="16.83203125" hidden="1" customWidth="1"/>
    <col min="9" max="9" width="20.1640625" hidden="1" customWidth="1"/>
    <col min="10" max="10" width="19.5" hidden="1" customWidth="1"/>
    <col min="11" max="11" width="19.83203125" hidden="1" customWidth="1"/>
    <col min="12" max="12" width="15.5" hidden="1" customWidth="1"/>
    <col min="13" max="16" width="19.5" hidden="1" customWidth="1"/>
    <col min="17" max="17" width="19.33203125" bestFit="1" customWidth="1"/>
    <col min="18" max="18" width="19.6640625" bestFit="1" customWidth="1"/>
  </cols>
  <sheetData>
    <row r="1" spans="1:26" x14ac:dyDescent="0.2">
      <c r="A1" s="146"/>
      <c r="B1" s="255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7"/>
      <c r="R1" s="147"/>
      <c r="S1" s="148"/>
      <c r="T1" s="148"/>
      <c r="U1" s="148"/>
      <c r="V1" s="148"/>
      <c r="W1" s="148"/>
      <c r="X1" s="148"/>
      <c r="Y1" s="148"/>
      <c r="Z1" s="149"/>
    </row>
    <row r="2" spans="1:26" x14ac:dyDescent="0.2">
      <c r="A2" s="150"/>
      <c r="B2" s="151"/>
      <c r="C2" s="152">
        <v>0</v>
      </c>
      <c r="D2" s="152">
        <v>1</v>
      </c>
      <c r="E2" s="152">
        <v>2</v>
      </c>
      <c r="F2" s="152">
        <v>3</v>
      </c>
      <c r="G2" s="152">
        <v>4</v>
      </c>
      <c r="H2" s="152">
        <v>5</v>
      </c>
      <c r="I2" s="152">
        <v>6</v>
      </c>
      <c r="J2" s="152">
        <v>7</v>
      </c>
      <c r="K2" s="152">
        <v>8</v>
      </c>
      <c r="L2" s="152">
        <v>9</v>
      </c>
      <c r="M2" s="152">
        <v>10</v>
      </c>
      <c r="N2" s="152">
        <v>11</v>
      </c>
      <c r="O2" s="152">
        <v>12</v>
      </c>
      <c r="P2" s="152">
        <v>13</v>
      </c>
      <c r="Q2" s="152">
        <v>14</v>
      </c>
      <c r="R2" s="152">
        <v>15</v>
      </c>
      <c r="S2" s="153"/>
      <c r="T2" s="154"/>
      <c r="U2" s="154"/>
      <c r="V2" s="154"/>
      <c r="W2" s="154"/>
      <c r="X2" s="154"/>
      <c r="Y2" s="154"/>
      <c r="Z2" s="155"/>
    </row>
    <row r="3" spans="1:26" x14ac:dyDescent="0.2">
      <c r="A3" s="150"/>
      <c r="B3" s="156"/>
      <c r="C3" s="157">
        <v>45658</v>
      </c>
      <c r="D3" s="152">
        <v>2025</v>
      </c>
      <c r="E3" s="152">
        <v>2026</v>
      </c>
      <c r="F3" s="152">
        <v>2027</v>
      </c>
      <c r="G3" s="152">
        <v>2028</v>
      </c>
      <c r="H3" s="152">
        <v>2029</v>
      </c>
      <c r="I3" s="152">
        <v>2030</v>
      </c>
      <c r="J3" s="152">
        <v>2031</v>
      </c>
      <c r="K3" s="152">
        <v>2032</v>
      </c>
      <c r="L3" s="152">
        <v>2033</v>
      </c>
      <c r="M3" s="152">
        <v>2034</v>
      </c>
      <c r="N3" s="152">
        <v>2035</v>
      </c>
      <c r="O3" s="152">
        <v>2036</v>
      </c>
      <c r="P3" s="152">
        <v>2037</v>
      </c>
      <c r="Q3" s="152">
        <v>2038</v>
      </c>
      <c r="R3" s="152">
        <v>2039</v>
      </c>
      <c r="S3" s="153"/>
      <c r="T3" s="154"/>
      <c r="U3" s="154"/>
      <c r="V3" s="154"/>
      <c r="W3" s="154"/>
      <c r="X3" s="154"/>
      <c r="Y3" s="154"/>
      <c r="Z3" s="155"/>
    </row>
    <row r="4" spans="1:26" x14ac:dyDescent="0.2">
      <c r="A4" s="150"/>
      <c r="B4" s="158"/>
      <c r="C4" s="201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4"/>
      <c r="S4" s="153"/>
      <c r="T4" s="154"/>
      <c r="U4" s="154"/>
      <c r="V4" s="154"/>
      <c r="W4" s="154"/>
      <c r="X4" s="154"/>
      <c r="Y4" s="154"/>
      <c r="Z4" s="155"/>
    </row>
    <row r="5" spans="1:26" x14ac:dyDescent="0.2">
      <c r="A5" s="150"/>
      <c r="B5" s="160" t="s">
        <v>0</v>
      </c>
      <c r="C5" s="202">
        <v>0</v>
      </c>
      <c r="D5" s="154">
        <v>0</v>
      </c>
      <c r="E5" s="154">
        <v>0</v>
      </c>
      <c r="F5" s="154">
        <v>0</v>
      </c>
      <c r="G5" s="154">
        <v>0</v>
      </c>
      <c r="H5" s="154">
        <v>0</v>
      </c>
      <c r="I5" s="154">
        <f>C32</f>
        <v>20000</v>
      </c>
      <c r="J5" s="154">
        <f>I5*(1+$C$33)</f>
        <v>24000</v>
      </c>
      <c r="K5" s="154">
        <f t="shared" ref="K5:R5" si="0">J5*(1+$C$33)</f>
        <v>28800</v>
      </c>
      <c r="L5" s="154">
        <f t="shared" si="0"/>
        <v>34560</v>
      </c>
      <c r="M5" s="154">
        <f t="shared" si="0"/>
        <v>41472</v>
      </c>
      <c r="N5" s="154">
        <f t="shared" si="0"/>
        <v>49766.400000000001</v>
      </c>
      <c r="O5" s="154">
        <f t="shared" si="0"/>
        <v>59719.68</v>
      </c>
      <c r="P5" s="154">
        <f t="shared" si="0"/>
        <v>71663.615999999995</v>
      </c>
      <c r="Q5" s="154">
        <f t="shared" si="0"/>
        <v>85996.339199999988</v>
      </c>
      <c r="R5" s="155">
        <f t="shared" si="0"/>
        <v>103195.60703999999</v>
      </c>
      <c r="S5" s="153"/>
      <c r="T5" s="154"/>
      <c r="U5" s="154"/>
      <c r="V5" s="154"/>
      <c r="W5" s="154"/>
      <c r="X5" s="154"/>
      <c r="Y5" s="154"/>
      <c r="Z5" s="155"/>
    </row>
    <row r="6" spans="1:26" x14ac:dyDescent="0.2">
      <c r="A6" s="150"/>
      <c r="B6" s="160"/>
      <c r="C6" s="189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3"/>
      <c r="S6" s="153"/>
      <c r="T6" s="154"/>
      <c r="U6" s="154"/>
      <c r="V6" s="154"/>
      <c r="W6" s="154"/>
      <c r="X6" s="154"/>
      <c r="Y6" s="154"/>
      <c r="Z6" s="155"/>
    </row>
    <row r="7" spans="1:26" x14ac:dyDescent="0.2">
      <c r="A7" s="150"/>
      <c r="B7" s="160" t="s">
        <v>1</v>
      </c>
      <c r="C7" s="189">
        <v>0</v>
      </c>
      <c r="D7" s="162">
        <v>0</v>
      </c>
      <c r="E7" s="162">
        <v>0</v>
      </c>
      <c r="F7" s="162">
        <v>0</v>
      </c>
      <c r="G7" s="162">
        <v>0</v>
      </c>
      <c r="H7" s="162">
        <v>0</v>
      </c>
      <c r="I7" s="162">
        <f>I5*($C$34)</f>
        <v>3000000000</v>
      </c>
      <c r="J7" s="162">
        <f t="shared" ref="J7:R7" si="1">J5*($C$34)</f>
        <v>3600000000</v>
      </c>
      <c r="K7" s="162">
        <f t="shared" si="1"/>
        <v>4320000000</v>
      </c>
      <c r="L7" s="162">
        <f t="shared" si="1"/>
        <v>5184000000</v>
      </c>
      <c r="M7" s="162">
        <f t="shared" si="1"/>
        <v>6220800000</v>
      </c>
      <c r="N7" s="162">
        <f t="shared" si="1"/>
        <v>7464960000</v>
      </c>
      <c r="O7" s="162">
        <f t="shared" si="1"/>
        <v>8957952000</v>
      </c>
      <c r="P7" s="162">
        <f t="shared" si="1"/>
        <v>10749542400</v>
      </c>
      <c r="Q7" s="162">
        <f t="shared" si="1"/>
        <v>12899450879.999998</v>
      </c>
      <c r="R7" s="163">
        <f t="shared" si="1"/>
        <v>15479341055.999998</v>
      </c>
      <c r="S7" s="153"/>
      <c r="T7" s="154"/>
      <c r="U7" s="154"/>
      <c r="V7" s="154"/>
      <c r="W7" s="154"/>
      <c r="X7" s="154"/>
      <c r="Y7" s="154"/>
      <c r="Z7" s="155"/>
    </row>
    <row r="8" spans="1:26" x14ac:dyDescent="0.2">
      <c r="A8" s="150"/>
      <c r="B8" s="160"/>
      <c r="C8" s="189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3"/>
      <c r="S8" s="153"/>
      <c r="T8" s="154"/>
      <c r="U8" s="154"/>
      <c r="V8" s="154"/>
      <c r="W8" s="154"/>
      <c r="X8" s="154"/>
      <c r="Y8" s="154"/>
      <c r="Z8" s="155"/>
    </row>
    <row r="9" spans="1:26" x14ac:dyDescent="0.2">
      <c r="A9" s="150"/>
      <c r="B9" s="160" t="s">
        <v>2</v>
      </c>
      <c r="C9" s="189">
        <v>0</v>
      </c>
      <c r="D9" s="162">
        <v>0</v>
      </c>
      <c r="E9" s="162">
        <v>0</v>
      </c>
      <c r="F9" s="162">
        <v>0</v>
      </c>
      <c r="G9" s="162">
        <v>0</v>
      </c>
      <c r="H9" s="162">
        <v>0</v>
      </c>
      <c r="I9" s="162">
        <f>I5*(I35)</f>
        <v>1600000000</v>
      </c>
      <c r="J9" s="162">
        <f>J5*(J35)</f>
        <v>1920000000</v>
      </c>
      <c r="K9" s="162">
        <f t="shared" ref="K9:R9" si="2">K5*(K35)</f>
        <v>2304000000</v>
      </c>
      <c r="L9" s="162">
        <f t="shared" si="2"/>
        <v>2764800000</v>
      </c>
      <c r="M9" s="162">
        <f t="shared" si="2"/>
        <v>3234816000</v>
      </c>
      <c r="N9" s="162">
        <f t="shared" si="2"/>
        <v>3881779200</v>
      </c>
      <c r="O9" s="162">
        <f t="shared" si="2"/>
        <v>4538695680</v>
      </c>
      <c r="P9" s="162">
        <f t="shared" si="2"/>
        <v>5446434816</v>
      </c>
      <c r="Q9" s="162">
        <f t="shared" si="2"/>
        <v>6449725439.999999</v>
      </c>
      <c r="R9" s="247">
        <f t="shared" si="2"/>
        <v>7636474920.9599991</v>
      </c>
      <c r="S9" s="154"/>
      <c r="T9" s="154"/>
      <c r="U9" s="154"/>
      <c r="V9" s="154"/>
      <c r="W9" s="154"/>
      <c r="X9" s="154"/>
      <c r="Y9" s="154"/>
      <c r="Z9" s="155"/>
    </row>
    <row r="10" spans="1:26" x14ac:dyDescent="0.2">
      <c r="A10" s="150"/>
      <c r="B10" s="160" t="s">
        <v>3</v>
      </c>
      <c r="C10" s="189">
        <v>0</v>
      </c>
      <c r="D10" s="192">
        <v>0</v>
      </c>
      <c r="E10" s="192">
        <v>0</v>
      </c>
      <c r="F10" s="192">
        <v>0</v>
      </c>
      <c r="G10" s="192">
        <v>0</v>
      </c>
      <c r="H10" s="192">
        <v>0</v>
      </c>
      <c r="I10" s="192">
        <f>I5*($C$36)</f>
        <v>20000000</v>
      </c>
      <c r="J10" s="192">
        <f t="shared" ref="J10:R10" si="3">J5*($C$36)</f>
        <v>24000000</v>
      </c>
      <c r="K10" s="192">
        <f t="shared" si="3"/>
        <v>28800000</v>
      </c>
      <c r="L10" s="192">
        <f t="shared" si="3"/>
        <v>34560000</v>
      </c>
      <c r="M10" s="192">
        <f t="shared" si="3"/>
        <v>41472000</v>
      </c>
      <c r="N10" s="192">
        <f t="shared" si="3"/>
        <v>49766400</v>
      </c>
      <c r="O10" s="192">
        <f t="shared" si="3"/>
        <v>59719680</v>
      </c>
      <c r="P10" s="192">
        <f t="shared" si="3"/>
        <v>71663616</v>
      </c>
      <c r="Q10" s="192">
        <f t="shared" si="3"/>
        <v>85996339.199999988</v>
      </c>
      <c r="R10" s="193">
        <f t="shared" si="3"/>
        <v>103195607.03999999</v>
      </c>
      <c r="S10" s="153"/>
      <c r="T10" s="154"/>
      <c r="U10" s="154"/>
      <c r="V10" s="154"/>
      <c r="W10" s="154"/>
      <c r="X10" s="154"/>
      <c r="Y10" s="154"/>
      <c r="Z10" s="155"/>
    </row>
    <row r="11" spans="1:26" x14ac:dyDescent="0.2">
      <c r="A11" s="150"/>
      <c r="B11" s="160" t="s">
        <v>4</v>
      </c>
      <c r="C11" s="189">
        <v>0</v>
      </c>
      <c r="D11" s="192">
        <v>0</v>
      </c>
      <c r="E11" s="192">
        <v>0</v>
      </c>
      <c r="F11" s="192">
        <v>0</v>
      </c>
      <c r="G11" s="192">
        <v>0</v>
      </c>
      <c r="H11" s="192">
        <v>0</v>
      </c>
      <c r="I11" s="192">
        <f>I9+I10</f>
        <v>1620000000</v>
      </c>
      <c r="J11" s="192">
        <f t="shared" ref="J11:R11" si="4">J9+J10</f>
        <v>1944000000</v>
      </c>
      <c r="K11" s="192">
        <f t="shared" si="4"/>
        <v>2332800000</v>
      </c>
      <c r="L11" s="192">
        <f t="shared" si="4"/>
        <v>2799360000</v>
      </c>
      <c r="M11" s="192">
        <f t="shared" si="4"/>
        <v>3276288000</v>
      </c>
      <c r="N11" s="192">
        <f t="shared" si="4"/>
        <v>3931545600</v>
      </c>
      <c r="O11" s="192">
        <f t="shared" si="4"/>
        <v>4598415360</v>
      </c>
      <c r="P11" s="192">
        <f t="shared" si="4"/>
        <v>5518098432</v>
      </c>
      <c r="Q11" s="192">
        <f t="shared" si="4"/>
        <v>6535721779.1999989</v>
      </c>
      <c r="R11" s="193">
        <f t="shared" si="4"/>
        <v>7739670527.999999</v>
      </c>
      <c r="S11" s="153"/>
      <c r="T11" s="154"/>
      <c r="U11" s="154"/>
      <c r="V11" s="154"/>
      <c r="W11" s="154"/>
      <c r="X11" s="154"/>
      <c r="Y11" s="154"/>
      <c r="Z11" s="155"/>
    </row>
    <row r="12" spans="1:26" x14ac:dyDescent="0.2">
      <c r="A12" s="150"/>
      <c r="B12" s="160"/>
      <c r="C12" s="189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3"/>
      <c r="S12" s="153"/>
      <c r="T12" s="154"/>
      <c r="U12" s="154"/>
      <c r="V12" s="154"/>
      <c r="W12" s="154"/>
      <c r="X12" s="154"/>
      <c r="Y12" s="154"/>
      <c r="Z12" s="155"/>
    </row>
    <row r="13" spans="1:26" x14ac:dyDescent="0.2">
      <c r="A13" s="150"/>
      <c r="B13" s="164" t="s">
        <v>5</v>
      </c>
      <c r="C13" s="190">
        <v>0</v>
      </c>
      <c r="D13" s="192">
        <v>0</v>
      </c>
      <c r="E13" s="192">
        <v>0</v>
      </c>
      <c r="F13" s="192">
        <v>0</v>
      </c>
      <c r="G13" s="192">
        <v>0</v>
      </c>
      <c r="H13" s="192">
        <v>0</v>
      </c>
      <c r="I13" s="192">
        <f t="shared" ref="I13:Q13" si="5">I7-I11</f>
        <v>1380000000</v>
      </c>
      <c r="J13" s="192">
        <f t="shared" si="5"/>
        <v>1656000000</v>
      </c>
      <c r="K13" s="192">
        <f t="shared" si="5"/>
        <v>1987200000</v>
      </c>
      <c r="L13" s="192">
        <f t="shared" si="5"/>
        <v>2384640000</v>
      </c>
      <c r="M13" s="192">
        <f t="shared" si="5"/>
        <v>2944512000</v>
      </c>
      <c r="N13" s="192">
        <f t="shared" si="5"/>
        <v>3533414400</v>
      </c>
      <c r="O13" s="192">
        <f t="shared" si="5"/>
        <v>4359536640</v>
      </c>
      <c r="P13" s="192">
        <f t="shared" si="5"/>
        <v>5231443968</v>
      </c>
      <c r="Q13" s="192">
        <f t="shared" si="5"/>
        <v>6363729100.7999992</v>
      </c>
      <c r="R13" s="193">
        <f>R7-R11</f>
        <v>7739670527.999999</v>
      </c>
      <c r="S13" s="153"/>
      <c r="T13" s="154"/>
      <c r="U13" s="154"/>
      <c r="V13" s="154"/>
      <c r="W13" s="154"/>
      <c r="X13" s="154"/>
      <c r="Y13" s="154"/>
      <c r="Z13" s="155"/>
    </row>
    <row r="14" spans="1:26" x14ac:dyDescent="0.2">
      <c r="A14" s="150"/>
      <c r="B14" s="160"/>
      <c r="C14" s="189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3"/>
      <c r="S14" s="153"/>
      <c r="T14" s="154"/>
      <c r="U14" s="154"/>
      <c r="V14" s="154"/>
      <c r="W14" s="154"/>
      <c r="X14" s="154"/>
      <c r="Y14" s="154"/>
      <c r="Z14" s="155"/>
    </row>
    <row r="15" spans="1:26" x14ac:dyDescent="0.2">
      <c r="A15" s="150"/>
      <c r="B15" s="160" t="s">
        <v>6</v>
      </c>
      <c r="C15" s="189">
        <v>0</v>
      </c>
      <c r="D15" s="192">
        <v>160000000</v>
      </c>
      <c r="E15" s="192">
        <f t="shared" ref="E15:R15" si="6">D15*(1+$C$38)</f>
        <v>168000000</v>
      </c>
      <c r="F15" s="192">
        <f t="shared" si="6"/>
        <v>176400000</v>
      </c>
      <c r="G15" s="192">
        <f t="shared" si="6"/>
        <v>185220000</v>
      </c>
      <c r="H15" s="192">
        <f t="shared" si="6"/>
        <v>194481000</v>
      </c>
      <c r="I15" s="192">
        <f t="shared" si="6"/>
        <v>204205050</v>
      </c>
      <c r="J15" s="192">
        <f t="shared" si="6"/>
        <v>214415302.5</v>
      </c>
      <c r="K15" s="192">
        <f t="shared" si="6"/>
        <v>225136067.625</v>
      </c>
      <c r="L15" s="192">
        <f t="shared" si="6"/>
        <v>236392871.00625002</v>
      </c>
      <c r="M15" s="192">
        <f t="shared" si="6"/>
        <v>248212514.55656254</v>
      </c>
      <c r="N15" s="192">
        <f t="shared" si="6"/>
        <v>260623140.28439069</v>
      </c>
      <c r="O15" s="192">
        <f t="shared" si="6"/>
        <v>273654297.29861021</v>
      </c>
      <c r="P15" s="192">
        <f t="shared" si="6"/>
        <v>287337012.16354072</v>
      </c>
      <c r="Q15" s="192">
        <f t="shared" si="6"/>
        <v>301703862.77171779</v>
      </c>
      <c r="R15" s="193">
        <f t="shared" si="6"/>
        <v>316789055.91030371</v>
      </c>
      <c r="S15" s="153"/>
      <c r="T15" s="154"/>
      <c r="U15" s="154"/>
      <c r="V15" s="154"/>
      <c r="W15" s="154"/>
      <c r="X15" s="154"/>
      <c r="Y15" s="154"/>
      <c r="Z15" s="155"/>
    </row>
    <row r="16" spans="1:26" x14ac:dyDescent="0.2">
      <c r="A16" s="150"/>
      <c r="B16" s="160" t="s">
        <v>7</v>
      </c>
      <c r="C16" s="189">
        <v>0</v>
      </c>
      <c r="D16" s="236">
        <f>$C$40</f>
        <v>200000000</v>
      </c>
      <c r="E16" s="236">
        <f t="shared" ref="E16:R16" si="7">$C$40</f>
        <v>200000000</v>
      </c>
      <c r="F16" s="236">
        <f t="shared" si="7"/>
        <v>200000000</v>
      </c>
      <c r="G16" s="236">
        <f t="shared" si="7"/>
        <v>200000000</v>
      </c>
      <c r="H16" s="236">
        <f t="shared" si="7"/>
        <v>200000000</v>
      </c>
      <c r="I16" s="236">
        <f t="shared" si="7"/>
        <v>200000000</v>
      </c>
      <c r="J16" s="236">
        <f t="shared" si="7"/>
        <v>200000000</v>
      </c>
      <c r="K16" s="236">
        <f t="shared" si="7"/>
        <v>200000000</v>
      </c>
      <c r="L16" s="236">
        <f t="shared" si="7"/>
        <v>200000000</v>
      </c>
      <c r="M16" s="236">
        <f t="shared" si="7"/>
        <v>200000000</v>
      </c>
      <c r="N16" s="236">
        <f t="shared" si="7"/>
        <v>200000000</v>
      </c>
      <c r="O16" s="236">
        <f t="shared" si="7"/>
        <v>200000000</v>
      </c>
      <c r="P16" s="236">
        <f t="shared" si="7"/>
        <v>200000000</v>
      </c>
      <c r="Q16" s="236">
        <f t="shared" si="7"/>
        <v>200000000</v>
      </c>
      <c r="R16" s="237">
        <f t="shared" si="7"/>
        <v>200000000</v>
      </c>
      <c r="S16" s="154"/>
      <c r="T16" s="154"/>
      <c r="U16" s="154"/>
      <c r="V16" s="154"/>
      <c r="W16" s="154"/>
      <c r="X16" s="154"/>
      <c r="Y16" s="154"/>
      <c r="Z16" s="155"/>
    </row>
    <row r="17" spans="1:26" x14ac:dyDescent="0.2">
      <c r="A17" s="150"/>
      <c r="B17" s="160"/>
      <c r="C17" s="189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97"/>
      <c r="S17" s="154"/>
      <c r="T17" s="154"/>
      <c r="U17" s="154"/>
      <c r="V17" s="154"/>
      <c r="W17" s="154"/>
      <c r="X17" s="154"/>
      <c r="Y17" s="154"/>
      <c r="Z17" s="155"/>
    </row>
    <row r="18" spans="1:26" x14ac:dyDescent="0.2">
      <c r="A18" s="150"/>
      <c r="B18" s="164" t="s">
        <v>8</v>
      </c>
      <c r="C18" s="190">
        <v>0</v>
      </c>
      <c r="D18" s="192">
        <f>D13-D15-D16</f>
        <v>-360000000</v>
      </c>
      <c r="E18" s="192">
        <f t="shared" ref="E18:R18" si="8">E13-E15-E16</f>
        <v>-368000000</v>
      </c>
      <c r="F18" s="192">
        <f t="shared" si="8"/>
        <v>-376400000</v>
      </c>
      <c r="G18" s="192">
        <f t="shared" si="8"/>
        <v>-385220000</v>
      </c>
      <c r="H18" s="192">
        <f t="shared" si="8"/>
        <v>-394481000</v>
      </c>
      <c r="I18" s="192">
        <f t="shared" si="8"/>
        <v>975794950</v>
      </c>
      <c r="J18" s="192">
        <f t="shared" si="8"/>
        <v>1241584697.5</v>
      </c>
      <c r="K18" s="192">
        <f t="shared" si="8"/>
        <v>1562063932.375</v>
      </c>
      <c r="L18" s="192">
        <f t="shared" si="8"/>
        <v>1948247128.9937501</v>
      </c>
      <c r="M18" s="192">
        <f t="shared" si="8"/>
        <v>2496299485.4434376</v>
      </c>
      <c r="N18" s="192">
        <f t="shared" si="8"/>
        <v>3072791259.7156096</v>
      </c>
      <c r="O18" s="192">
        <f t="shared" si="8"/>
        <v>3885882342.7013898</v>
      </c>
      <c r="P18" s="192">
        <f t="shared" si="8"/>
        <v>4744106955.8364592</v>
      </c>
      <c r="Q18" s="192">
        <f t="shared" si="8"/>
        <v>5862025238.0282812</v>
      </c>
      <c r="R18" s="222">
        <f t="shared" si="8"/>
        <v>7222881472.089695</v>
      </c>
      <c r="S18" s="154"/>
      <c r="T18" s="154"/>
      <c r="U18" s="154"/>
      <c r="V18" s="154"/>
      <c r="W18" s="154"/>
      <c r="X18" s="154"/>
      <c r="Y18" s="154"/>
      <c r="Z18" s="155"/>
    </row>
    <row r="19" spans="1:26" x14ac:dyDescent="0.2">
      <c r="A19" s="150"/>
      <c r="B19" s="164" t="s">
        <v>9</v>
      </c>
      <c r="C19" s="190">
        <v>0</v>
      </c>
      <c r="D19" s="54">
        <v>5000000</v>
      </c>
      <c r="E19" s="54">
        <v>5000000</v>
      </c>
      <c r="F19" s="54">
        <v>5000000</v>
      </c>
      <c r="G19" s="54">
        <v>5000000</v>
      </c>
      <c r="H19" s="54">
        <v>5000000</v>
      </c>
      <c r="I19" s="54">
        <v>5000000</v>
      </c>
      <c r="J19" s="54">
        <v>5000000</v>
      </c>
      <c r="K19" s="54">
        <v>5000000</v>
      </c>
      <c r="L19" s="54">
        <v>5000000</v>
      </c>
      <c r="M19" s="54">
        <v>5000000</v>
      </c>
      <c r="N19" s="54">
        <v>5000000</v>
      </c>
      <c r="O19" s="54">
        <v>5000000</v>
      </c>
      <c r="P19" s="54">
        <v>5000000</v>
      </c>
      <c r="Q19" s="54">
        <v>5000000</v>
      </c>
      <c r="R19" s="55">
        <v>5000000</v>
      </c>
      <c r="S19" s="154"/>
      <c r="T19" s="154"/>
      <c r="U19" s="154"/>
      <c r="V19" s="154"/>
      <c r="W19" s="154"/>
      <c r="X19" s="154"/>
      <c r="Y19" s="154"/>
      <c r="Z19" s="155"/>
    </row>
    <row r="20" spans="1:26" x14ac:dyDescent="0.2">
      <c r="A20" s="150"/>
      <c r="B20" s="164" t="s">
        <v>10</v>
      </c>
      <c r="C20" s="190">
        <v>0</v>
      </c>
      <c r="D20" s="171">
        <v>0</v>
      </c>
      <c r="E20" s="171">
        <v>0</v>
      </c>
      <c r="F20" s="171">
        <v>0</v>
      </c>
      <c r="G20" s="171">
        <v>0</v>
      </c>
      <c r="H20" s="171">
        <v>0</v>
      </c>
      <c r="I20" s="171">
        <f t="shared" ref="I20:R20" si="9">(I18-I19)*0.25</f>
        <v>242698737.5</v>
      </c>
      <c r="J20" s="171">
        <f t="shared" si="9"/>
        <v>309146174.375</v>
      </c>
      <c r="K20" s="171">
        <f t="shared" si="9"/>
        <v>389265983.09375</v>
      </c>
      <c r="L20" s="171">
        <f t="shared" si="9"/>
        <v>485811782.24843752</v>
      </c>
      <c r="M20" s="171">
        <f t="shared" si="9"/>
        <v>622824871.36085939</v>
      </c>
      <c r="N20" s="171">
        <f t="shared" si="9"/>
        <v>766947814.92890239</v>
      </c>
      <c r="O20" s="171">
        <f t="shared" si="9"/>
        <v>970220585.67534745</v>
      </c>
      <c r="P20" s="171">
        <f t="shared" si="9"/>
        <v>1184776738.9591148</v>
      </c>
      <c r="Q20" s="171">
        <f t="shared" si="9"/>
        <v>1464256309.5070703</v>
      </c>
      <c r="R20" s="197">
        <f t="shared" si="9"/>
        <v>1804470368.0224237</v>
      </c>
      <c r="S20" s="154"/>
      <c r="T20" s="154"/>
      <c r="U20" s="154"/>
      <c r="V20" s="154"/>
      <c r="W20" s="154"/>
      <c r="X20" s="154"/>
      <c r="Y20" s="154"/>
      <c r="Z20" s="155"/>
    </row>
    <row r="21" spans="1:26" x14ac:dyDescent="0.2">
      <c r="A21" s="150"/>
      <c r="B21" s="160"/>
      <c r="C21" s="189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8"/>
      <c r="S21" s="154"/>
      <c r="T21" s="154"/>
      <c r="U21" s="154"/>
      <c r="V21" s="154"/>
      <c r="W21" s="154"/>
      <c r="X21" s="154"/>
      <c r="Y21" s="154"/>
      <c r="Z21" s="155"/>
    </row>
    <row r="22" spans="1:26" x14ac:dyDescent="0.2">
      <c r="A22" s="150"/>
      <c r="B22" s="164" t="s">
        <v>11</v>
      </c>
      <c r="C22" s="190">
        <v>0</v>
      </c>
      <c r="D22" s="192">
        <v>0</v>
      </c>
      <c r="E22" s="192">
        <v>0</v>
      </c>
      <c r="F22" s="192">
        <v>0</v>
      </c>
      <c r="G22" s="192">
        <v>0</v>
      </c>
      <c r="H22" s="192">
        <v>0</v>
      </c>
      <c r="I22" s="192">
        <f t="shared" ref="I22:R22" si="10">I7*($C$41)</f>
        <v>150000000</v>
      </c>
      <c r="J22" s="192">
        <f t="shared" si="10"/>
        <v>180000000</v>
      </c>
      <c r="K22" s="192">
        <f t="shared" si="10"/>
        <v>216000000</v>
      </c>
      <c r="L22" s="192">
        <f t="shared" si="10"/>
        <v>259200000</v>
      </c>
      <c r="M22" s="192">
        <f t="shared" si="10"/>
        <v>311040000</v>
      </c>
      <c r="N22" s="192">
        <f t="shared" si="10"/>
        <v>373248000</v>
      </c>
      <c r="O22" s="192">
        <f t="shared" si="10"/>
        <v>447897600</v>
      </c>
      <c r="P22" s="192">
        <f t="shared" si="10"/>
        <v>537477120</v>
      </c>
      <c r="Q22" s="192">
        <f t="shared" si="10"/>
        <v>644972544</v>
      </c>
      <c r="R22" s="198">
        <f t="shared" si="10"/>
        <v>773967052.79999995</v>
      </c>
      <c r="S22" s="154"/>
      <c r="T22" s="154"/>
      <c r="U22" s="154"/>
      <c r="V22" s="154"/>
      <c r="W22" s="154"/>
      <c r="X22" s="154"/>
      <c r="Y22" s="154"/>
      <c r="Z22" s="155"/>
    </row>
    <row r="23" spans="1:26" x14ac:dyDescent="0.2">
      <c r="A23" s="150"/>
      <c r="B23" s="164" t="s">
        <v>12</v>
      </c>
      <c r="C23" s="190">
        <v>0</v>
      </c>
      <c r="D23" s="192">
        <v>0</v>
      </c>
      <c r="E23" s="192">
        <v>0</v>
      </c>
      <c r="F23" s="192">
        <v>0</v>
      </c>
      <c r="G23" s="192">
        <v>0</v>
      </c>
      <c r="H23" s="192">
        <v>0</v>
      </c>
      <c r="I23" s="192">
        <f>I22-H22</f>
        <v>150000000</v>
      </c>
      <c r="J23" s="192">
        <f t="shared" ref="J23:R23" si="11">J22-I22</f>
        <v>30000000</v>
      </c>
      <c r="K23" s="192">
        <f t="shared" si="11"/>
        <v>36000000</v>
      </c>
      <c r="L23" s="192">
        <f t="shared" si="11"/>
        <v>43200000</v>
      </c>
      <c r="M23" s="192">
        <f t="shared" si="11"/>
        <v>51840000</v>
      </c>
      <c r="N23" s="192">
        <f t="shared" si="11"/>
        <v>62208000</v>
      </c>
      <c r="O23" s="192">
        <f t="shared" si="11"/>
        <v>74649600</v>
      </c>
      <c r="P23" s="192">
        <f t="shared" si="11"/>
        <v>89579520</v>
      </c>
      <c r="Q23" s="192">
        <f t="shared" si="11"/>
        <v>107495424</v>
      </c>
      <c r="R23" s="222">
        <f t="shared" si="11"/>
        <v>128994508.79999995</v>
      </c>
      <c r="S23" s="154"/>
      <c r="T23" s="154"/>
      <c r="U23" s="154"/>
      <c r="V23" s="154"/>
      <c r="W23" s="154"/>
      <c r="X23" s="154"/>
      <c r="Y23" s="154"/>
      <c r="Z23" s="155"/>
    </row>
    <row r="24" spans="1:26" x14ac:dyDescent="0.2">
      <c r="A24" s="150"/>
      <c r="B24" s="164" t="s">
        <v>13</v>
      </c>
      <c r="C24" s="190">
        <v>0</v>
      </c>
      <c r="D24" s="236">
        <f>$C$42</f>
        <v>100000000</v>
      </c>
      <c r="E24" s="236">
        <f t="shared" ref="E24:H24" si="12">$C$42</f>
        <v>100000000</v>
      </c>
      <c r="F24" s="236">
        <f t="shared" si="12"/>
        <v>100000000</v>
      </c>
      <c r="G24" s="236">
        <f t="shared" si="12"/>
        <v>100000000</v>
      </c>
      <c r="H24" s="236">
        <f t="shared" si="12"/>
        <v>100000000</v>
      </c>
      <c r="I24" s="54">
        <v>0</v>
      </c>
      <c r="J24" s="194">
        <v>0</v>
      </c>
      <c r="K24" s="192">
        <v>0</v>
      </c>
      <c r="L24" s="192">
        <v>0</v>
      </c>
      <c r="M24" s="192">
        <v>0</v>
      </c>
      <c r="N24" s="192">
        <v>0</v>
      </c>
      <c r="O24" s="192">
        <v>0</v>
      </c>
      <c r="P24" s="192">
        <v>0</v>
      </c>
      <c r="Q24" s="192">
        <v>0</v>
      </c>
      <c r="R24" s="193">
        <v>0</v>
      </c>
      <c r="S24" s="153"/>
      <c r="T24" s="154"/>
      <c r="U24" s="154"/>
      <c r="V24" s="154"/>
      <c r="W24" s="154"/>
      <c r="X24" s="154"/>
      <c r="Y24" s="154"/>
      <c r="Z24" s="155"/>
    </row>
    <row r="25" spans="1:26" x14ac:dyDescent="0.2">
      <c r="A25" s="150"/>
      <c r="B25" s="160"/>
      <c r="C25" s="189"/>
      <c r="D25" s="171"/>
      <c r="E25" s="171"/>
      <c r="F25" s="171"/>
      <c r="G25" s="171"/>
      <c r="H25" s="171"/>
      <c r="I25" s="171"/>
      <c r="J25" s="192"/>
      <c r="K25" s="192"/>
      <c r="L25" s="192"/>
      <c r="M25" s="192"/>
      <c r="N25" s="192"/>
      <c r="O25" s="192"/>
      <c r="P25" s="192"/>
      <c r="Q25" s="192"/>
      <c r="R25" s="193"/>
      <c r="S25" s="153"/>
      <c r="T25" s="154"/>
      <c r="U25" s="154"/>
      <c r="V25" s="154"/>
      <c r="W25" s="154"/>
      <c r="X25" s="154"/>
      <c r="Y25" s="154"/>
      <c r="Z25" s="155"/>
    </row>
    <row r="26" spans="1:26" x14ac:dyDescent="0.2">
      <c r="A26" s="150"/>
      <c r="B26" s="164" t="s">
        <v>14</v>
      </c>
      <c r="C26" s="190">
        <v>0</v>
      </c>
      <c r="D26" s="192">
        <f>D18+D19-D20-D23-D24</f>
        <v>-455000000</v>
      </c>
      <c r="E26" s="192">
        <f t="shared" ref="E26:R26" si="13">E18+E19-E20-E23-E24</f>
        <v>-463000000</v>
      </c>
      <c r="F26" s="192">
        <f t="shared" si="13"/>
        <v>-471400000</v>
      </c>
      <c r="G26" s="192">
        <f t="shared" si="13"/>
        <v>-480220000</v>
      </c>
      <c r="H26" s="192">
        <f t="shared" si="13"/>
        <v>-489481000</v>
      </c>
      <c r="I26" s="192">
        <f t="shared" si="13"/>
        <v>588096212.5</v>
      </c>
      <c r="J26" s="192">
        <f t="shared" si="13"/>
        <v>907438523.125</v>
      </c>
      <c r="K26" s="192">
        <f t="shared" si="13"/>
        <v>1141797949.28125</v>
      </c>
      <c r="L26" s="192">
        <f t="shared" si="13"/>
        <v>1424235346.7453127</v>
      </c>
      <c r="M26" s="192">
        <f t="shared" si="13"/>
        <v>1826634614.0825782</v>
      </c>
      <c r="N26" s="192">
        <f t="shared" si="13"/>
        <v>2248635444.7867069</v>
      </c>
      <c r="O26" s="192">
        <f t="shared" si="13"/>
        <v>2846012157.0260425</v>
      </c>
      <c r="P26" s="192">
        <f t="shared" si="13"/>
        <v>3474750696.8773441</v>
      </c>
      <c r="Q26" s="192">
        <f t="shared" si="13"/>
        <v>4295273504.5212107</v>
      </c>
      <c r="R26" s="222">
        <f t="shared" si="13"/>
        <v>5294416595.267271</v>
      </c>
      <c r="S26" s="154"/>
      <c r="T26" s="154"/>
      <c r="U26" s="154"/>
      <c r="V26" s="154"/>
      <c r="W26" s="154"/>
      <c r="X26" s="154"/>
      <c r="Y26" s="154"/>
      <c r="Z26" s="155"/>
    </row>
    <row r="27" spans="1:26" x14ac:dyDescent="0.2">
      <c r="A27" s="150"/>
      <c r="B27" s="166" t="s">
        <v>15</v>
      </c>
      <c r="C27" s="191">
        <v>0</v>
      </c>
      <c r="D27" s="195">
        <f>D26+C27</f>
        <v>-455000000</v>
      </c>
      <c r="E27" s="195">
        <f t="shared" ref="E27:R27" si="14">D27+E26</f>
        <v>-918000000</v>
      </c>
      <c r="F27" s="195">
        <f t="shared" si="14"/>
        <v>-1389400000</v>
      </c>
      <c r="G27" s="195">
        <f t="shared" si="14"/>
        <v>-1869620000</v>
      </c>
      <c r="H27" s="195">
        <f t="shared" si="14"/>
        <v>-2359101000</v>
      </c>
      <c r="I27" s="195">
        <f>H27+I26</f>
        <v>-1771004787.5</v>
      </c>
      <c r="J27" s="195">
        <f t="shared" si="14"/>
        <v>-863566264.375</v>
      </c>
      <c r="K27" s="195">
        <f t="shared" si="14"/>
        <v>278231684.90625</v>
      </c>
      <c r="L27" s="195">
        <f t="shared" si="14"/>
        <v>1702467031.6515627</v>
      </c>
      <c r="M27" s="195">
        <f t="shared" si="14"/>
        <v>3529101645.7341409</v>
      </c>
      <c r="N27" s="195">
        <f t="shared" si="14"/>
        <v>5777737090.5208473</v>
      </c>
      <c r="O27" s="195">
        <f t="shared" si="14"/>
        <v>8623749247.5468903</v>
      </c>
      <c r="P27" s="195">
        <f t="shared" si="14"/>
        <v>12098499944.424234</v>
      </c>
      <c r="Q27" s="195">
        <f t="shared" si="14"/>
        <v>16393773448.945446</v>
      </c>
      <c r="R27" s="196">
        <f t="shared" si="14"/>
        <v>21688190044.212715</v>
      </c>
      <c r="S27" s="153"/>
      <c r="T27" s="154"/>
      <c r="U27" s="154"/>
      <c r="V27" s="154"/>
      <c r="W27" s="154"/>
      <c r="X27" s="154"/>
      <c r="Y27" s="154"/>
      <c r="Z27" s="155"/>
    </row>
    <row r="28" spans="1:26" x14ac:dyDescent="0.2">
      <c r="A28" s="168"/>
      <c r="B28" s="169"/>
      <c r="C28" s="170"/>
      <c r="D28" s="170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54"/>
      <c r="T28" s="154"/>
      <c r="U28" s="154"/>
      <c r="V28" s="154"/>
      <c r="W28" s="154"/>
      <c r="X28" s="154"/>
      <c r="Y28" s="154"/>
      <c r="Z28" s="155"/>
    </row>
    <row r="29" spans="1:26" x14ac:dyDescent="0.2">
      <c r="A29" s="150"/>
      <c r="B29" s="172" t="s">
        <v>34</v>
      </c>
      <c r="C29" s="173"/>
      <c r="D29" s="174"/>
      <c r="E29" s="153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5"/>
    </row>
    <row r="30" spans="1:26" x14ac:dyDescent="0.2">
      <c r="A30" s="150"/>
      <c r="B30" s="258" t="s">
        <v>17</v>
      </c>
      <c r="C30" s="259"/>
      <c r="D30" s="175"/>
      <c r="E30" s="153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5"/>
    </row>
    <row r="31" spans="1:26" x14ac:dyDescent="0.2">
      <c r="A31" s="150"/>
      <c r="B31" s="176" t="s">
        <v>18</v>
      </c>
      <c r="C31" s="169"/>
      <c r="D31" s="177"/>
      <c r="E31" s="153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5"/>
    </row>
    <row r="32" spans="1:26" x14ac:dyDescent="0.2">
      <c r="A32" s="150"/>
      <c r="B32" s="172" t="s">
        <v>19</v>
      </c>
      <c r="C32" s="178">
        <v>20000</v>
      </c>
      <c r="D32" s="174" t="s">
        <v>20</v>
      </c>
      <c r="E32" s="153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5"/>
    </row>
    <row r="33" spans="1:26" x14ac:dyDescent="0.2">
      <c r="A33" s="150"/>
      <c r="B33" s="153" t="s">
        <v>21</v>
      </c>
      <c r="C33" s="179">
        <v>0.2</v>
      </c>
      <c r="D33" s="155"/>
      <c r="E33" s="153"/>
      <c r="F33" s="154"/>
      <c r="G33" s="154"/>
      <c r="H33" s="154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54"/>
      <c r="T33" s="154"/>
      <c r="U33" s="154"/>
      <c r="V33" s="154"/>
      <c r="W33" s="154"/>
      <c r="X33" s="154"/>
      <c r="Y33" s="154"/>
      <c r="Z33" s="155"/>
    </row>
    <row r="34" spans="1:26" x14ac:dyDescent="0.2">
      <c r="A34" s="150"/>
      <c r="B34" s="153" t="s">
        <v>22</v>
      </c>
      <c r="C34" s="181">
        <v>150000</v>
      </c>
      <c r="D34" s="155"/>
      <c r="E34" s="153"/>
      <c r="F34" s="154"/>
      <c r="G34" s="154"/>
      <c r="H34" s="155"/>
      <c r="I34" s="176">
        <v>2030</v>
      </c>
      <c r="J34" s="169">
        <v>2031</v>
      </c>
      <c r="K34" s="169">
        <v>2032</v>
      </c>
      <c r="L34" s="169">
        <v>2033</v>
      </c>
      <c r="M34" s="169">
        <v>2034</v>
      </c>
      <c r="N34" s="169">
        <v>2035</v>
      </c>
      <c r="O34" s="169">
        <v>2036</v>
      </c>
      <c r="P34" s="169">
        <v>2037</v>
      </c>
      <c r="Q34" s="169">
        <v>2038</v>
      </c>
      <c r="R34" s="177">
        <v>2039</v>
      </c>
      <c r="S34" s="153"/>
      <c r="T34" s="154"/>
      <c r="U34" s="154"/>
      <c r="V34" s="154"/>
      <c r="W34" s="154"/>
      <c r="X34" s="154"/>
      <c r="Y34" s="154"/>
      <c r="Z34" s="155"/>
    </row>
    <row r="35" spans="1:26" x14ac:dyDescent="0.2">
      <c r="A35" s="150"/>
      <c r="B35" s="153" t="s">
        <v>23</v>
      </c>
      <c r="C35" s="154"/>
      <c r="D35" s="155"/>
      <c r="E35" s="153"/>
      <c r="F35" s="154"/>
      <c r="G35" s="154"/>
      <c r="H35" s="155"/>
      <c r="I35" s="182">
        <v>80000</v>
      </c>
      <c r="J35" s="183">
        <v>80000</v>
      </c>
      <c r="K35" s="183">
        <v>80000</v>
      </c>
      <c r="L35" s="183">
        <v>80000</v>
      </c>
      <c r="M35" s="183">
        <v>78000</v>
      </c>
      <c r="N35" s="183">
        <v>78000</v>
      </c>
      <c r="O35" s="183">
        <v>76000</v>
      </c>
      <c r="P35" s="183">
        <v>76000</v>
      </c>
      <c r="Q35" s="183">
        <v>75000</v>
      </c>
      <c r="R35" s="184">
        <v>74000</v>
      </c>
      <c r="S35" s="153"/>
      <c r="T35" s="154"/>
      <c r="U35" s="154"/>
      <c r="V35" s="154"/>
      <c r="W35" s="154"/>
      <c r="X35" s="154"/>
      <c r="Y35" s="154"/>
      <c r="Z35" s="155"/>
    </row>
    <row r="36" spans="1:26" x14ac:dyDescent="0.2">
      <c r="A36" s="150"/>
      <c r="B36" s="153" t="s">
        <v>24</v>
      </c>
      <c r="C36" s="181">
        <v>1000</v>
      </c>
      <c r="D36" s="155"/>
      <c r="E36" s="153"/>
      <c r="F36" s="154"/>
      <c r="G36" s="154"/>
      <c r="H36" s="154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54"/>
      <c r="T36" s="154"/>
      <c r="U36" s="154"/>
      <c r="V36" s="154"/>
      <c r="W36" s="154"/>
      <c r="X36" s="154"/>
      <c r="Y36" s="154"/>
      <c r="Z36" s="155"/>
    </row>
    <row r="37" spans="1:26" x14ac:dyDescent="0.2">
      <c r="A37" s="150"/>
      <c r="B37" s="153" t="s">
        <v>25</v>
      </c>
      <c r="C37" s="181">
        <v>160000000</v>
      </c>
      <c r="D37" s="155"/>
      <c r="E37" s="153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5"/>
    </row>
    <row r="38" spans="1:26" x14ac:dyDescent="0.2">
      <c r="A38" s="150"/>
      <c r="B38" s="153" t="s">
        <v>26</v>
      </c>
      <c r="C38" s="179">
        <v>0.05</v>
      </c>
      <c r="D38" s="155"/>
      <c r="E38" s="153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5"/>
    </row>
    <row r="39" spans="1:26" x14ac:dyDescent="0.2">
      <c r="A39" s="150"/>
      <c r="B39" s="153" t="s">
        <v>9</v>
      </c>
      <c r="C39" s="181">
        <v>5000000</v>
      </c>
      <c r="D39" s="155" t="s">
        <v>27</v>
      </c>
      <c r="E39" s="153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5"/>
    </row>
    <row r="40" spans="1:26" x14ac:dyDescent="0.2">
      <c r="A40" s="150"/>
      <c r="B40" s="153" t="s">
        <v>7</v>
      </c>
      <c r="C40" s="181">
        <v>200000000</v>
      </c>
      <c r="D40" s="155" t="s">
        <v>27</v>
      </c>
      <c r="E40" s="153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5"/>
    </row>
    <row r="41" spans="1:26" x14ac:dyDescent="0.2">
      <c r="A41" s="150"/>
      <c r="B41" s="153" t="s">
        <v>28</v>
      </c>
      <c r="C41" s="179">
        <v>0.05</v>
      </c>
      <c r="D41" s="155" t="s">
        <v>29</v>
      </c>
      <c r="E41" s="153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5"/>
    </row>
    <row r="42" spans="1:26" x14ac:dyDescent="0.2">
      <c r="A42" s="150"/>
      <c r="B42" s="153" t="s">
        <v>13</v>
      </c>
      <c r="C42" s="181">
        <v>100000000</v>
      </c>
      <c r="D42" s="155" t="s">
        <v>27</v>
      </c>
      <c r="E42" s="153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5"/>
    </row>
    <row r="43" spans="1:26" x14ac:dyDescent="0.2">
      <c r="A43" s="150"/>
      <c r="B43" s="153" t="s">
        <v>30</v>
      </c>
      <c r="C43" s="179">
        <v>0.25</v>
      </c>
      <c r="D43" s="155"/>
      <c r="E43" s="153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5"/>
    </row>
    <row r="44" spans="1:26" x14ac:dyDescent="0.2">
      <c r="A44" s="150"/>
      <c r="B44" s="185" t="s">
        <v>31</v>
      </c>
      <c r="C44" s="186">
        <v>0.15</v>
      </c>
      <c r="D44" s="175"/>
      <c r="E44" s="153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5"/>
    </row>
    <row r="45" spans="1:26" x14ac:dyDescent="0.2">
      <c r="A45" s="168"/>
      <c r="B45" s="169"/>
      <c r="C45" s="169"/>
      <c r="D45" s="169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5"/>
    </row>
    <row r="46" spans="1:26" x14ac:dyDescent="0.2">
      <c r="A46" s="150"/>
      <c r="B46" s="176" t="s">
        <v>32</v>
      </c>
      <c r="C46" s="235">
        <f>NPV($C$44,D26:R26)+C26</f>
        <v>3089105654.8926911</v>
      </c>
      <c r="D46" s="177"/>
      <c r="E46" s="153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5"/>
    </row>
    <row r="47" spans="1:26" x14ac:dyDescent="0.2">
      <c r="A47" s="168"/>
      <c r="B47" s="173"/>
      <c r="C47" s="187"/>
      <c r="D47" s="173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5"/>
    </row>
    <row r="48" spans="1:26" x14ac:dyDescent="0.2">
      <c r="A48" s="168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5"/>
    </row>
    <row r="49" spans="1:26" x14ac:dyDescent="0.2">
      <c r="A49" s="168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5"/>
    </row>
    <row r="50" spans="1:26" x14ac:dyDescent="0.2">
      <c r="A50" s="168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5"/>
    </row>
    <row r="51" spans="1:26" x14ac:dyDescent="0.2">
      <c r="A51" s="168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5"/>
    </row>
    <row r="52" spans="1:26" x14ac:dyDescent="0.2">
      <c r="A52" s="168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5"/>
    </row>
    <row r="53" spans="1:26" x14ac:dyDescent="0.2">
      <c r="A53" s="168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5"/>
    </row>
    <row r="54" spans="1:26" x14ac:dyDescent="0.2">
      <c r="A54" s="168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5"/>
    </row>
    <row r="55" spans="1:26" x14ac:dyDescent="0.2">
      <c r="A55" s="168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5"/>
    </row>
    <row r="56" spans="1:26" x14ac:dyDescent="0.2">
      <c r="A56" s="168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5"/>
    </row>
    <row r="57" spans="1:26" x14ac:dyDescent="0.2">
      <c r="A57" s="168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5"/>
    </row>
    <row r="58" spans="1:26" x14ac:dyDescent="0.2">
      <c r="A58" s="168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5"/>
    </row>
    <row r="59" spans="1:26" x14ac:dyDescent="0.2">
      <c r="A59" s="168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5"/>
    </row>
    <row r="60" spans="1:26" x14ac:dyDescent="0.2">
      <c r="A60" s="168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5"/>
    </row>
    <row r="61" spans="1:26" x14ac:dyDescent="0.2">
      <c r="A61" s="168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5"/>
    </row>
    <row r="62" spans="1:26" x14ac:dyDescent="0.2">
      <c r="A62" s="168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5"/>
    </row>
    <row r="63" spans="1:26" x14ac:dyDescent="0.2">
      <c r="A63" s="168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5"/>
    </row>
    <row r="64" spans="1:26" x14ac:dyDescent="0.2">
      <c r="A64" s="168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5"/>
    </row>
    <row r="65" spans="1:26" x14ac:dyDescent="0.2">
      <c r="A65" s="168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5"/>
    </row>
    <row r="66" spans="1:26" x14ac:dyDescent="0.2">
      <c r="A66" s="168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5"/>
    </row>
    <row r="67" spans="1:26" x14ac:dyDescent="0.2">
      <c r="A67" s="168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5"/>
    </row>
    <row r="68" spans="1:26" x14ac:dyDescent="0.2">
      <c r="A68" s="168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5"/>
    </row>
    <row r="69" spans="1:26" x14ac:dyDescent="0.2">
      <c r="A69" s="168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5"/>
    </row>
    <row r="70" spans="1:26" x14ac:dyDescent="0.2">
      <c r="A70" s="168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5"/>
    </row>
    <row r="71" spans="1:26" x14ac:dyDescent="0.2">
      <c r="A71" s="168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5"/>
    </row>
    <row r="72" spans="1:26" x14ac:dyDescent="0.2">
      <c r="A72" s="168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5"/>
    </row>
    <row r="73" spans="1:26" x14ac:dyDescent="0.2">
      <c r="A73" s="168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5"/>
    </row>
    <row r="74" spans="1:26" x14ac:dyDescent="0.2">
      <c r="A74" s="168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5"/>
    </row>
    <row r="75" spans="1:26" x14ac:dyDescent="0.2">
      <c r="A75" s="168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5"/>
    </row>
    <row r="76" spans="1:26" x14ac:dyDescent="0.2">
      <c r="A76" s="168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5"/>
    </row>
    <row r="77" spans="1:26" x14ac:dyDescent="0.2">
      <c r="A77" s="168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5"/>
    </row>
    <row r="78" spans="1:26" x14ac:dyDescent="0.2">
      <c r="A78" s="168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5"/>
    </row>
    <row r="79" spans="1:26" x14ac:dyDescent="0.2">
      <c r="A79" s="168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5"/>
    </row>
    <row r="80" spans="1:26" x14ac:dyDescent="0.2">
      <c r="A80" s="168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5"/>
    </row>
    <row r="81" spans="1:26" x14ac:dyDescent="0.2">
      <c r="A81" s="168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5"/>
    </row>
    <row r="82" spans="1:26" x14ac:dyDescent="0.2">
      <c r="A82" s="168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5"/>
    </row>
    <row r="83" spans="1:26" x14ac:dyDescent="0.2">
      <c r="A83" s="168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5"/>
    </row>
    <row r="84" spans="1:26" x14ac:dyDescent="0.2">
      <c r="A84" s="168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5"/>
    </row>
    <row r="85" spans="1:26" x14ac:dyDescent="0.2">
      <c r="A85" s="168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5"/>
    </row>
    <row r="86" spans="1:26" x14ac:dyDescent="0.2">
      <c r="A86" s="168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5"/>
    </row>
    <row r="87" spans="1:26" x14ac:dyDescent="0.2">
      <c r="A87" s="168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5"/>
    </row>
    <row r="88" spans="1:26" x14ac:dyDescent="0.2">
      <c r="A88" s="168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5"/>
    </row>
    <row r="89" spans="1:26" x14ac:dyDescent="0.2">
      <c r="A89" s="168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5"/>
    </row>
    <row r="90" spans="1:26" x14ac:dyDescent="0.2">
      <c r="A90" s="168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5"/>
    </row>
    <row r="91" spans="1:26" x14ac:dyDescent="0.2">
      <c r="A91" s="168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5"/>
    </row>
    <row r="92" spans="1:26" x14ac:dyDescent="0.2">
      <c r="A92" s="168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5"/>
    </row>
    <row r="93" spans="1:26" x14ac:dyDescent="0.2">
      <c r="A93" s="168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5"/>
    </row>
    <row r="94" spans="1:26" x14ac:dyDescent="0.2">
      <c r="A94" s="168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5"/>
    </row>
    <row r="95" spans="1:26" x14ac:dyDescent="0.2">
      <c r="A95" s="168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5"/>
    </row>
    <row r="96" spans="1:26" x14ac:dyDescent="0.2">
      <c r="A96" s="168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5"/>
    </row>
    <row r="97" spans="1:26" x14ac:dyDescent="0.2">
      <c r="A97" s="168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5"/>
    </row>
    <row r="98" spans="1:26" x14ac:dyDescent="0.2">
      <c r="A98" s="168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5"/>
    </row>
    <row r="99" spans="1:26" x14ac:dyDescent="0.2">
      <c r="A99" s="168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5"/>
    </row>
    <row r="100" spans="1:26" x14ac:dyDescent="0.2">
      <c r="A100" s="168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5"/>
    </row>
    <row r="101" spans="1:26" x14ac:dyDescent="0.2">
      <c r="A101" s="168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5"/>
    </row>
    <row r="102" spans="1:26" x14ac:dyDescent="0.2">
      <c r="A102" s="168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5"/>
    </row>
    <row r="103" spans="1:26" x14ac:dyDescent="0.2">
      <c r="A103" s="168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5"/>
    </row>
    <row r="104" spans="1:26" x14ac:dyDescent="0.2">
      <c r="A104" s="168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5"/>
    </row>
    <row r="105" spans="1:26" x14ac:dyDescent="0.2">
      <c r="A105" s="168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5"/>
    </row>
    <row r="106" spans="1:26" x14ac:dyDescent="0.2">
      <c r="A106" s="168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5"/>
    </row>
    <row r="107" spans="1:26" x14ac:dyDescent="0.2">
      <c r="A107" s="168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5"/>
    </row>
    <row r="108" spans="1:26" x14ac:dyDescent="0.2">
      <c r="A108" s="168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5"/>
    </row>
    <row r="109" spans="1:26" x14ac:dyDescent="0.2">
      <c r="A109" s="168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5"/>
    </row>
    <row r="110" spans="1:26" x14ac:dyDescent="0.2">
      <c r="A110" s="168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5"/>
    </row>
    <row r="111" spans="1:26" x14ac:dyDescent="0.2">
      <c r="A111" s="168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5"/>
    </row>
    <row r="112" spans="1:26" x14ac:dyDescent="0.2">
      <c r="A112" s="168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5"/>
    </row>
    <row r="113" spans="1:26" x14ac:dyDescent="0.2">
      <c r="A113" s="168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5"/>
    </row>
    <row r="114" spans="1:26" x14ac:dyDescent="0.2">
      <c r="A114" s="168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5"/>
    </row>
    <row r="115" spans="1:26" x14ac:dyDescent="0.2">
      <c r="A115" s="168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5"/>
    </row>
    <row r="116" spans="1:26" x14ac:dyDescent="0.2">
      <c r="A116" s="168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5"/>
    </row>
    <row r="117" spans="1:26" x14ac:dyDescent="0.2">
      <c r="A117" s="168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5"/>
    </row>
    <row r="118" spans="1:26" x14ac:dyDescent="0.2">
      <c r="A118" s="168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5"/>
    </row>
    <row r="119" spans="1:26" x14ac:dyDescent="0.2">
      <c r="A119" s="168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5"/>
    </row>
    <row r="120" spans="1:26" x14ac:dyDescent="0.2">
      <c r="A120" s="168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5"/>
    </row>
    <row r="121" spans="1:26" x14ac:dyDescent="0.2">
      <c r="A121" s="168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5"/>
    </row>
    <row r="122" spans="1:26" x14ac:dyDescent="0.2">
      <c r="A122" s="168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5"/>
    </row>
    <row r="123" spans="1:26" x14ac:dyDescent="0.2">
      <c r="A123" s="168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5"/>
    </row>
    <row r="124" spans="1:26" x14ac:dyDescent="0.2">
      <c r="A124" s="168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5"/>
    </row>
    <row r="125" spans="1:26" x14ac:dyDescent="0.2">
      <c r="A125" s="168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5"/>
    </row>
    <row r="126" spans="1:26" x14ac:dyDescent="0.2">
      <c r="A126" s="168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5"/>
    </row>
    <row r="127" spans="1:26" x14ac:dyDescent="0.2">
      <c r="A127" s="168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5"/>
    </row>
    <row r="128" spans="1:26" x14ac:dyDescent="0.2">
      <c r="A128" s="168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5"/>
    </row>
    <row r="129" spans="1:26" x14ac:dyDescent="0.2">
      <c r="A129" s="168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5"/>
    </row>
    <row r="130" spans="1:26" x14ac:dyDescent="0.2">
      <c r="A130" s="168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5"/>
    </row>
    <row r="131" spans="1:26" x14ac:dyDescent="0.2">
      <c r="A131" s="168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5"/>
    </row>
    <row r="132" spans="1:26" x14ac:dyDescent="0.2">
      <c r="A132" s="168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5"/>
    </row>
    <row r="133" spans="1:26" x14ac:dyDescent="0.2">
      <c r="A133" s="168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5"/>
    </row>
    <row r="134" spans="1:26" x14ac:dyDescent="0.2">
      <c r="A134" s="168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5"/>
    </row>
    <row r="135" spans="1:26" x14ac:dyDescent="0.2">
      <c r="A135" s="168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5"/>
    </row>
    <row r="136" spans="1:26" x14ac:dyDescent="0.2">
      <c r="A136" s="168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5"/>
    </row>
    <row r="137" spans="1:26" x14ac:dyDescent="0.2">
      <c r="A137" s="168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5"/>
    </row>
    <row r="138" spans="1:26" x14ac:dyDescent="0.2">
      <c r="A138" s="168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5"/>
    </row>
    <row r="139" spans="1:26" x14ac:dyDescent="0.2">
      <c r="A139" s="168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5"/>
    </row>
    <row r="140" spans="1:26" x14ac:dyDescent="0.2">
      <c r="A140" s="168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5"/>
    </row>
    <row r="141" spans="1:26" x14ac:dyDescent="0.2">
      <c r="A141" s="168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5"/>
    </row>
    <row r="142" spans="1:26" x14ac:dyDescent="0.2">
      <c r="A142" s="168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5"/>
    </row>
    <row r="143" spans="1:26" x14ac:dyDescent="0.2">
      <c r="A143" s="168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5"/>
    </row>
    <row r="144" spans="1:26" x14ac:dyDescent="0.2">
      <c r="A144" s="168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5"/>
    </row>
    <row r="145" spans="1:26" x14ac:dyDescent="0.2">
      <c r="A145" s="168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5"/>
    </row>
    <row r="146" spans="1:26" x14ac:dyDescent="0.2">
      <c r="A146" s="168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5"/>
    </row>
    <row r="147" spans="1:26" x14ac:dyDescent="0.2">
      <c r="A147" s="168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5"/>
    </row>
    <row r="148" spans="1:26" x14ac:dyDescent="0.2">
      <c r="A148" s="168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5"/>
    </row>
    <row r="149" spans="1:26" x14ac:dyDescent="0.2">
      <c r="A149" s="168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5"/>
    </row>
    <row r="150" spans="1:26" x14ac:dyDescent="0.2">
      <c r="A150" s="168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5"/>
    </row>
    <row r="151" spans="1:26" x14ac:dyDescent="0.2">
      <c r="A151" s="168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5"/>
    </row>
    <row r="152" spans="1:26" x14ac:dyDescent="0.2">
      <c r="A152" s="168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5"/>
    </row>
    <row r="153" spans="1:26" x14ac:dyDescent="0.2">
      <c r="A153" s="168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5"/>
    </row>
    <row r="154" spans="1:26" x14ac:dyDescent="0.2">
      <c r="A154" s="168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5"/>
    </row>
    <row r="155" spans="1:26" x14ac:dyDescent="0.2">
      <c r="A155" s="168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5"/>
    </row>
    <row r="156" spans="1:26" x14ac:dyDescent="0.2">
      <c r="A156" s="168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5"/>
    </row>
    <row r="157" spans="1:26" x14ac:dyDescent="0.2">
      <c r="A157" s="168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5"/>
    </row>
    <row r="158" spans="1:26" x14ac:dyDescent="0.2">
      <c r="A158" s="168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5"/>
    </row>
    <row r="159" spans="1:26" x14ac:dyDescent="0.2">
      <c r="A159" s="168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5"/>
    </row>
    <row r="160" spans="1:26" x14ac:dyDescent="0.2">
      <c r="A160" s="168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5"/>
    </row>
    <row r="161" spans="1:26" x14ac:dyDescent="0.2">
      <c r="A161" s="168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5"/>
    </row>
    <row r="162" spans="1:26" x14ac:dyDescent="0.2">
      <c r="A162" s="168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5"/>
    </row>
    <row r="163" spans="1:26" x14ac:dyDescent="0.2">
      <c r="A163" s="168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5"/>
    </row>
    <row r="164" spans="1:26" x14ac:dyDescent="0.2">
      <c r="A164" s="168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5"/>
    </row>
    <row r="165" spans="1:26" x14ac:dyDescent="0.2">
      <c r="A165" s="168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5"/>
    </row>
    <row r="166" spans="1:26" x14ac:dyDescent="0.2">
      <c r="A166" s="168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5"/>
    </row>
    <row r="167" spans="1:26" x14ac:dyDescent="0.2">
      <c r="A167" s="168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5"/>
    </row>
    <row r="168" spans="1:26" x14ac:dyDescent="0.2">
      <c r="A168" s="168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5"/>
    </row>
    <row r="169" spans="1:26" x14ac:dyDescent="0.2">
      <c r="A169" s="168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5"/>
    </row>
    <row r="170" spans="1:26" x14ac:dyDescent="0.2">
      <c r="A170" s="168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5"/>
    </row>
    <row r="171" spans="1:26" x14ac:dyDescent="0.2">
      <c r="A171" s="168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5"/>
    </row>
    <row r="172" spans="1:26" x14ac:dyDescent="0.2">
      <c r="A172" s="168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5"/>
    </row>
    <row r="173" spans="1:26" x14ac:dyDescent="0.2">
      <c r="A173" s="168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5"/>
    </row>
    <row r="174" spans="1:26" x14ac:dyDescent="0.2">
      <c r="A174" s="168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5"/>
    </row>
    <row r="175" spans="1:26" x14ac:dyDescent="0.2">
      <c r="A175" s="168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5"/>
    </row>
    <row r="176" spans="1:26" x14ac:dyDescent="0.2">
      <c r="A176" s="168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5"/>
    </row>
    <row r="177" spans="1:26" x14ac:dyDescent="0.2">
      <c r="A177" s="168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5"/>
    </row>
    <row r="178" spans="1:26" x14ac:dyDescent="0.2">
      <c r="A178" s="168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5"/>
    </row>
    <row r="179" spans="1:26" x14ac:dyDescent="0.2">
      <c r="A179" s="168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5"/>
    </row>
    <row r="180" spans="1:26" x14ac:dyDescent="0.2">
      <c r="A180" s="168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5"/>
    </row>
    <row r="181" spans="1:26" x14ac:dyDescent="0.2">
      <c r="A181" s="168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5"/>
    </row>
    <row r="182" spans="1:26" x14ac:dyDescent="0.2">
      <c r="A182" s="168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5"/>
    </row>
    <row r="183" spans="1:26" x14ac:dyDescent="0.2">
      <c r="A183" s="168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5"/>
    </row>
    <row r="184" spans="1:26" x14ac:dyDescent="0.2">
      <c r="A184" s="168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5"/>
    </row>
    <row r="185" spans="1:26" x14ac:dyDescent="0.2">
      <c r="A185" s="168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5"/>
    </row>
    <row r="186" spans="1:26" x14ac:dyDescent="0.2">
      <c r="A186" s="168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5"/>
    </row>
    <row r="187" spans="1:26" x14ac:dyDescent="0.2">
      <c r="A187" s="168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5"/>
    </row>
    <row r="188" spans="1:26" x14ac:dyDescent="0.2">
      <c r="A188" s="168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5"/>
    </row>
    <row r="189" spans="1:26" x14ac:dyDescent="0.2">
      <c r="A189" s="168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5"/>
    </row>
    <row r="190" spans="1:26" x14ac:dyDescent="0.2">
      <c r="A190" s="168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5"/>
    </row>
    <row r="191" spans="1:26" x14ac:dyDescent="0.2">
      <c r="A191" s="168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5"/>
    </row>
    <row r="192" spans="1:26" x14ac:dyDescent="0.2">
      <c r="A192" s="168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5"/>
    </row>
    <row r="193" spans="1:26" x14ac:dyDescent="0.2">
      <c r="A193" s="168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5"/>
    </row>
    <row r="194" spans="1:26" x14ac:dyDescent="0.2">
      <c r="A194" s="168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5"/>
    </row>
    <row r="195" spans="1:26" x14ac:dyDescent="0.2">
      <c r="A195" s="168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5"/>
    </row>
    <row r="196" spans="1:26" x14ac:dyDescent="0.2">
      <c r="A196" s="168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5"/>
    </row>
    <row r="197" spans="1:26" x14ac:dyDescent="0.2">
      <c r="A197" s="168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5"/>
    </row>
    <row r="198" spans="1:26" x14ac:dyDescent="0.2">
      <c r="A198" s="168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5"/>
    </row>
    <row r="199" spans="1:26" x14ac:dyDescent="0.2">
      <c r="A199" s="168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5"/>
    </row>
    <row r="200" spans="1:26" x14ac:dyDescent="0.2">
      <c r="A200" s="168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5"/>
    </row>
    <row r="201" spans="1:26" x14ac:dyDescent="0.2">
      <c r="A201" s="168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5"/>
    </row>
    <row r="202" spans="1:26" x14ac:dyDescent="0.2">
      <c r="A202" s="168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5"/>
    </row>
    <row r="203" spans="1:26" x14ac:dyDescent="0.2">
      <c r="A203" s="168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5"/>
    </row>
    <row r="204" spans="1:26" x14ac:dyDescent="0.2">
      <c r="A204" s="168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5"/>
    </row>
    <row r="205" spans="1:26" x14ac:dyDescent="0.2">
      <c r="A205" s="168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5"/>
    </row>
    <row r="206" spans="1:26" x14ac:dyDescent="0.2">
      <c r="A206" s="168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5"/>
    </row>
    <row r="207" spans="1:26" x14ac:dyDescent="0.2">
      <c r="A207" s="168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5"/>
    </row>
    <row r="208" spans="1:26" x14ac:dyDescent="0.2">
      <c r="A208" s="168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5"/>
    </row>
    <row r="209" spans="1:26" x14ac:dyDescent="0.2">
      <c r="A209" s="168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5"/>
    </row>
    <row r="210" spans="1:26" x14ac:dyDescent="0.2">
      <c r="A210" s="168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5"/>
    </row>
    <row r="211" spans="1:26" x14ac:dyDescent="0.2">
      <c r="A211" s="168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5"/>
    </row>
    <row r="212" spans="1:26" x14ac:dyDescent="0.2">
      <c r="A212" s="168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5"/>
    </row>
    <row r="213" spans="1:26" x14ac:dyDescent="0.2">
      <c r="A213" s="168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5"/>
    </row>
    <row r="214" spans="1:26" x14ac:dyDescent="0.2">
      <c r="A214" s="168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5"/>
    </row>
    <row r="215" spans="1:26" x14ac:dyDescent="0.2">
      <c r="A215" s="168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5"/>
    </row>
    <row r="216" spans="1:26" x14ac:dyDescent="0.2">
      <c r="A216" s="168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5"/>
    </row>
    <row r="217" spans="1:26" x14ac:dyDescent="0.2">
      <c r="A217" s="168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5"/>
    </row>
    <row r="218" spans="1:26" x14ac:dyDescent="0.2">
      <c r="A218" s="168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5"/>
    </row>
    <row r="219" spans="1:26" x14ac:dyDescent="0.2">
      <c r="A219" s="168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5"/>
    </row>
    <row r="220" spans="1:26" x14ac:dyDescent="0.2">
      <c r="A220" s="168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5"/>
    </row>
    <row r="221" spans="1:26" x14ac:dyDescent="0.2">
      <c r="A221" s="168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5"/>
    </row>
    <row r="222" spans="1:26" x14ac:dyDescent="0.2">
      <c r="A222" s="168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5"/>
    </row>
    <row r="223" spans="1:26" x14ac:dyDescent="0.2">
      <c r="A223" s="168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5"/>
    </row>
    <row r="224" spans="1:26" x14ac:dyDescent="0.2">
      <c r="A224" s="168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5"/>
    </row>
    <row r="225" spans="1:26" x14ac:dyDescent="0.2">
      <c r="A225" s="168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5"/>
    </row>
    <row r="226" spans="1:26" x14ac:dyDescent="0.2">
      <c r="A226" s="168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5"/>
    </row>
    <row r="227" spans="1:26" x14ac:dyDescent="0.2">
      <c r="A227" s="168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5"/>
    </row>
    <row r="228" spans="1:26" x14ac:dyDescent="0.2">
      <c r="A228" s="168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5"/>
    </row>
    <row r="229" spans="1:26" x14ac:dyDescent="0.2">
      <c r="A229" s="168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5"/>
    </row>
    <row r="230" spans="1:26" x14ac:dyDescent="0.2">
      <c r="A230" s="168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5"/>
    </row>
    <row r="231" spans="1:26" x14ac:dyDescent="0.2">
      <c r="A231" s="168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5"/>
    </row>
    <row r="232" spans="1:26" x14ac:dyDescent="0.2">
      <c r="A232" s="168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5"/>
    </row>
    <row r="233" spans="1:26" x14ac:dyDescent="0.2">
      <c r="A233" s="168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5"/>
    </row>
    <row r="234" spans="1:26" x14ac:dyDescent="0.2">
      <c r="A234" s="168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5"/>
    </row>
    <row r="235" spans="1:26" x14ac:dyDescent="0.2">
      <c r="A235" s="168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5"/>
    </row>
    <row r="236" spans="1:26" x14ac:dyDescent="0.2">
      <c r="A236" s="168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5"/>
    </row>
    <row r="237" spans="1:26" x14ac:dyDescent="0.2">
      <c r="A237" s="168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5"/>
    </row>
    <row r="238" spans="1:26" x14ac:dyDescent="0.2">
      <c r="A238" s="168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5"/>
    </row>
    <row r="239" spans="1:26" x14ac:dyDescent="0.2">
      <c r="A239" s="168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5"/>
    </row>
    <row r="240" spans="1:26" x14ac:dyDescent="0.2">
      <c r="A240" s="168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5"/>
    </row>
    <row r="241" spans="1:26" x14ac:dyDescent="0.2">
      <c r="A241" s="168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5"/>
    </row>
    <row r="242" spans="1:26" x14ac:dyDescent="0.2">
      <c r="A242" s="168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5"/>
    </row>
    <row r="243" spans="1:26" x14ac:dyDescent="0.2">
      <c r="A243" s="168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5"/>
    </row>
    <row r="244" spans="1:26" x14ac:dyDescent="0.2">
      <c r="A244" s="168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5"/>
    </row>
    <row r="245" spans="1:26" x14ac:dyDescent="0.2">
      <c r="A245" s="168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5"/>
    </row>
    <row r="246" spans="1:26" x14ac:dyDescent="0.2">
      <c r="A246" s="168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5"/>
    </row>
    <row r="247" spans="1:26" x14ac:dyDescent="0.2">
      <c r="A247" s="168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5"/>
    </row>
    <row r="248" spans="1:26" x14ac:dyDescent="0.2">
      <c r="A248" s="168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5"/>
    </row>
    <row r="249" spans="1:26" x14ac:dyDescent="0.2">
      <c r="A249" s="168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5"/>
    </row>
    <row r="250" spans="1:26" x14ac:dyDescent="0.2">
      <c r="A250" s="168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5"/>
    </row>
    <row r="251" spans="1:26" x14ac:dyDescent="0.2">
      <c r="A251" s="168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5"/>
    </row>
    <row r="252" spans="1:26" x14ac:dyDescent="0.2">
      <c r="A252" s="168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5"/>
    </row>
    <row r="253" spans="1:26" x14ac:dyDescent="0.2">
      <c r="A253" s="168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5"/>
    </row>
    <row r="254" spans="1:26" x14ac:dyDescent="0.2">
      <c r="A254" s="168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5"/>
    </row>
    <row r="255" spans="1:26" x14ac:dyDescent="0.2">
      <c r="A255" s="168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5"/>
    </row>
    <row r="256" spans="1:26" x14ac:dyDescent="0.2">
      <c r="A256" s="168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5"/>
    </row>
    <row r="257" spans="1:26" x14ac:dyDescent="0.2">
      <c r="A257" s="168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5"/>
    </row>
    <row r="258" spans="1:26" x14ac:dyDescent="0.2">
      <c r="A258" s="168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5"/>
    </row>
    <row r="259" spans="1:26" x14ac:dyDescent="0.2">
      <c r="A259" s="168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5"/>
    </row>
    <row r="260" spans="1:26" x14ac:dyDescent="0.2">
      <c r="A260" s="168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5"/>
    </row>
    <row r="261" spans="1:26" x14ac:dyDescent="0.2">
      <c r="A261" s="168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5"/>
    </row>
    <row r="262" spans="1:26" x14ac:dyDescent="0.2">
      <c r="A262" s="168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5"/>
    </row>
    <row r="263" spans="1:26" x14ac:dyDescent="0.2">
      <c r="A263" s="168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5"/>
    </row>
    <row r="264" spans="1:26" x14ac:dyDescent="0.2">
      <c r="A264" s="168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5"/>
    </row>
    <row r="265" spans="1:26" x14ac:dyDescent="0.2">
      <c r="A265" s="168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5"/>
    </row>
    <row r="266" spans="1:26" x14ac:dyDescent="0.2">
      <c r="A266" s="168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5"/>
    </row>
    <row r="267" spans="1:26" x14ac:dyDescent="0.2">
      <c r="A267" s="168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5"/>
    </row>
    <row r="268" spans="1:26" x14ac:dyDescent="0.2">
      <c r="A268" s="168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5"/>
    </row>
    <row r="269" spans="1:26" x14ac:dyDescent="0.2">
      <c r="A269" s="168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5"/>
    </row>
    <row r="270" spans="1:26" x14ac:dyDescent="0.2">
      <c r="A270" s="168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5"/>
    </row>
    <row r="271" spans="1:26" x14ac:dyDescent="0.2">
      <c r="A271" s="168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5"/>
    </row>
    <row r="272" spans="1:26" x14ac:dyDescent="0.2">
      <c r="A272" s="168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5"/>
    </row>
    <row r="273" spans="1:26" x14ac:dyDescent="0.2">
      <c r="A273" s="168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5"/>
    </row>
    <row r="274" spans="1:26" x14ac:dyDescent="0.2">
      <c r="A274" s="168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5"/>
    </row>
    <row r="275" spans="1:26" x14ac:dyDescent="0.2">
      <c r="A275" s="168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5"/>
    </row>
    <row r="276" spans="1:26" x14ac:dyDescent="0.2">
      <c r="A276" s="168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5"/>
    </row>
    <row r="277" spans="1:26" x14ac:dyDescent="0.2">
      <c r="A277" s="168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5"/>
    </row>
    <row r="278" spans="1:26" x14ac:dyDescent="0.2">
      <c r="A278" s="168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5"/>
    </row>
    <row r="279" spans="1:26" x14ac:dyDescent="0.2">
      <c r="A279" s="168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5"/>
    </row>
    <row r="280" spans="1:26" x14ac:dyDescent="0.2">
      <c r="A280" s="168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5"/>
    </row>
    <row r="281" spans="1:26" x14ac:dyDescent="0.2">
      <c r="A281" s="168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5"/>
    </row>
    <row r="282" spans="1:26" x14ac:dyDescent="0.2">
      <c r="A282" s="168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5"/>
    </row>
    <row r="283" spans="1:26" x14ac:dyDescent="0.2">
      <c r="A283" s="168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5"/>
    </row>
    <row r="284" spans="1:26" x14ac:dyDescent="0.2">
      <c r="A284" s="168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5"/>
    </row>
    <row r="285" spans="1:26" x14ac:dyDescent="0.2">
      <c r="A285" s="168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5"/>
    </row>
    <row r="286" spans="1:26" x14ac:dyDescent="0.2">
      <c r="A286" s="168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5"/>
    </row>
    <row r="287" spans="1:26" x14ac:dyDescent="0.2">
      <c r="A287" s="168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5"/>
    </row>
    <row r="288" spans="1:26" x14ac:dyDescent="0.2">
      <c r="A288" s="168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5"/>
    </row>
    <row r="289" spans="1:26" x14ac:dyDescent="0.2">
      <c r="A289" s="168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5"/>
    </row>
    <row r="290" spans="1:26" x14ac:dyDescent="0.2">
      <c r="A290" s="168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5"/>
    </row>
    <row r="291" spans="1:26" x14ac:dyDescent="0.2">
      <c r="A291" s="168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5"/>
    </row>
    <row r="292" spans="1:26" x14ac:dyDescent="0.2">
      <c r="A292" s="168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5"/>
    </row>
    <row r="293" spans="1:26" x14ac:dyDescent="0.2">
      <c r="A293" s="168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5"/>
    </row>
    <row r="294" spans="1:26" x14ac:dyDescent="0.2">
      <c r="A294" s="168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5"/>
    </row>
    <row r="295" spans="1:26" x14ac:dyDescent="0.2">
      <c r="A295" s="168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5"/>
    </row>
    <row r="296" spans="1:26" x14ac:dyDescent="0.2">
      <c r="A296" s="168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5"/>
    </row>
    <row r="297" spans="1:26" x14ac:dyDescent="0.2">
      <c r="A297" s="168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5"/>
    </row>
    <row r="298" spans="1:26" x14ac:dyDescent="0.2">
      <c r="A298" s="168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5"/>
    </row>
    <row r="299" spans="1:26" x14ac:dyDescent="0.2">
      <c r="A299" s="168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5"/>
    </row>
    <row r="300" spans="1:26" x14ac:dyDescent="0.2">
      <c r="A300" s="168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5"/>
    </row>
    <row r="301" spans="1:26" x14ac:dyDescent="0.2">
      <c r="A301" s="168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5"/>
    </row>
    <row r="302" spans="1:26" x14ac:dyDescent="0.2">
      <c r="A302" s="168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5"/>
    </row>
    <row r="303" spans="1:26" x14ac:dyDescent="0.2">
      <c r="A303" s="168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5"/>
    </row>
    <row r="304" spans="1:26" x14ac:dyDescent="0.2">
      <c r="A304" s="168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5"/>
    </row>
    <row r="305" spans="1:26" x14ac:dyDescent="0.2">
      <c r="A305" s="168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5"/>
    </row>
    <row r="306" spans="1:26" x14ac:dyDescent="0.2">
      <c r="A306" s="168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5"/>
    </row>
    <row r="307" spans="1:26" x14ac:dyDescent="0.2">
      <c r="A307" s="168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5"/>
    </row>
    <row r="308" spans="1:26" x14ac:dyDescent="0.2">
      <c r="A308" s="168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5"/>
    </row>
    <row r="309" spans="1:26" x14ac:dyDescent="0.2">
      <c r="A309" s="168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5"/>
    </row>
    <row r="310" spans="1:26" x14ac:dyDescent="0.2">
      <c r="A310" s="168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5"/>
    </row>
    <row r="311" spans="1:26" x14ac:dyDescent="0.2">
      <c r="A311" s="168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5"/>
    </row>
    <row r="312" spans="1:26" x14ac:dyDescent="0.2">
      <c r="A312" s="168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5"/>
    </row>
    <row r="313" spans="1:26" x14ac:dyDescent="0.2">
      <c r="A313" s="168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5"/>
    </row>
    <row r="314" spans="1:26" x14ac:dyDescent="0.2">
      <c r="A314" s="168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5"/>
    </row>
    <row r="315" spans="1:26" x14ac:dyDescent="0.2">
      <c r="A315" s="168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5"/>
    </row>
    <row r="316" spans="1:26" x14ac:dyDescent="0.2">
      <c r="A316" s="168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5"/>
    </row>
    <row r="317" spans="1:26" x14ac:dyDescent="0.2">
      <c r="A317" s="168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5"/>
    </row>
    <row r="318" spans="1:26" x14ac:dyDescent="0.2">
      <c r="A318" s="168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5"/>
    </row>
    <row r="319" spans="1:26" x14ac:dyDescent="0.2">
      <c r="A319" s="168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5"/>
    </row>
    <row r="320" spans="1:26" x14ac:dyDescent="0.2">
      <c r="A320" s="168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5"/>
    </row>
    <row r="321" spans="1:26" x14ac:dyDescent="0.2">
      <c r="A321" s="168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5"/>
    </row>
    <row r="322" spans="1:26" x14ac:dyDescent="0.2">
      <c r="A322" s="168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5"/>
    </row>
    <row r="323" spans="1:26" x14ac:dyDescent="0.2">
      <c r="A323" s="168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5"/>
    </row>
    <row r="324" spans="1:26" x14ac:dyDescent="0.2">
      <c r="A324" s="168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5"/>
    </row>
    <row r="325" spans="1:26" x14ac:dyDescent="0.2">
      <c r="A325" s="168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5"/>
    </row>
    <row r="326" spans="1:26" x14ac:dyDescent="0.2">
      <c r="A326" s="168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5"/>
    </row>
    <row r="327" spans="1:26" x14ac:dyDescent="0.2">
      <c r="A327" s="168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5"/>
    </row>
    <row r="328" spans="1:26" x14ac:dyDescent="0.2">
      <c r="A328" s="168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5"/>
    </row>
    <row r="329" spans="1:26" x14ac:dyDescent="0.2">
      <c r="A329" s="168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5"/>
    </row>
    <row r="330" spans="1:26" x14ac:dyDescent="0.2">
      <c r="A330" s="168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5"/>
    </row>
    <row r="331" spans="1:26" x14ac:dyDescent="0.2">
      <c r="A331" s="168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5"/>
    </row>
    <row r="332" spans="1:26" x14ac:dyDescent="0.2">
      <c r="A332" s="168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5"/>
    </row>
    <row r="333" spans="1:26" x14ac:dyDescent="0.2">
      <c r="A333" s="168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5"/>
    </row>
    <row r="334" spans="1:26" x14ac:dyDescent="0.2">
      <c r="A334" s="168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5"/>
    </row>
    <row r="335" spans="1:26" x14ac:dyDescent="0.2">
      <c r="A335" s="168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5"/>
    </row>
    <row r="336" spans="1:26" x14ac:dyDescent="0.2">
      <c r="A336" s="168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5"/>
    </row>
    <row r="337" spans="1:26" x14ac:dyDescent="0.2">
      <c r="A337" s="168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5"/>
    </row>
    <row r="338" spans="1:26" x14ac:dyDescent="0.2">
      <c r="A338" s="168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5"/>
    </row>
    <row r="339" spans="1:26" x14ac:dyDescent="0.2">
      <c r="A339" s="168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5"/>
    </row>
    <row r="340" spans="1:26" x14ac:dyDescent="0.2">
      <c r="A340" s="168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5"/>
    </row>
    <row r="341" spans="1:26" x14ac:dyDescent="0.2">
      <c r="A341" s="168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5"/>
    </row>
    <row r="342" spans="1:26" x14ac:dyDescent="0.2">
      <c r="A342" s="168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5"/>
    </row>
    <row r="343" spans="1:26" x14ac:dyDescent="0.2">
      <c r="A343" s="168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5"/>
    </row>
    <row r="344" spans="1:26" x14ac:dyDescent="0.2">
      <c r="A344" s="168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5"/>
    </row>
    <row r="345" spans="1:26" x14ac:dyDescent="0.2">
      <c r="A345" s="168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5"/>
    </row>
    <row r="346" spans="1:26" x14ac:dyDescent="0.2">
      <c r="A346" s="168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5"/>
    </row>
    <row r="347" spans="1:26" x14ac:dyDescent="0.2">
      <c r="A347" s="168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5"/>
    </row>
    <row r="348" spans="1:26" x14ac:dyDescent="0.2">
      <c r="A348" s="168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5"/>
    </row>
    <row r="349" spans="1:26" x14ac:dyDescent="0.2">
      <c r="A349" s="168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5"/>
    </row>
    <row r="350" spans="1:26" x14ac:dyDescent="0.2">
      <c r="A350" s="168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5"/>
    </row>
    <row r="351" spans="1:26" x14ac:dyDescent="0.2">
      <c r="A351" s="168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5"/>
    </row>
    <row r="352" spans="1:26" x14ac:dyDescent="0.2">
      <c r="A352" s="168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5"/>
    </row>
    <row r="353" spans="1:26" x14ac:dyDescent="0.2">
      <c r="A353" s="168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5"/>
    </row>
    <row r="354" spans="1:26" x14ac:dyDescent="0.2">
      <c r="A354" s="168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5"/>
    </row>
    <row r="355" spans="1:26" x14ac:dyDescent="0.2">
      <c r="A355" s="168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5"/>
    </row>
    <row r="356" spans="1:26" x14ac:dyDescent="0.2">
      <c r="A356" s="168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5"/>
    </row>
    <row r="357" spans="1:26" x14ac:dyDescent="0.2">
      <c r="A357" s="168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5"/>
    </row>
    <row r="358" spans="1:26" x14ac:dyDescent="0.2">
      <c r="A358" s="168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5"/>
    </row>
    <row r="359" spans="1:26" x14ac:dyDescent="0.2">
      <c r="A359" s="168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5"/>
    </row>
    <row r="360" spans="1:26" x14ac:dyDescent="0.2">
      <c r="A360" s="168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5"/>
    </row>
    <row r="361" spans="1:26" x14ac:dyDescent="0.2">
      <c r="A361" s="168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5"/>
    </row>
    <row r="362" spans="1:26" x14ac:dyDescent="0.2">
      <c r="A362" s="168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5"/>
    </row>
    <row r="363" spans="1:26" x14ac:dyDescent="0.2">
      <c r="A363" s="168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5"/>
    </row>
    <row r="364" spans="1:26" x14ac:dyDescent="0.2">
      <c r="A364" s="168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5"/>
    </row>
    <row r="365" spans="1:26" x14ac:dyDescent="0.2">
      <c r="A365" s="168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5"/>
    </row>
    <row r="366" spans="1:26" x14ac:dyDescent="0.2">
      <c r="A366" s="168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5"/>
    </row>
    <row r="367" spans="1:26" x14ac:dyDescent="0.2">
      <c r="A367" s="168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5"/>
    </row>
    <row r="368" spans="1:26" x14ac:dyDescent="0.2">
      <c r="A368" s="168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5"/>
    </row>
    <row r="369" spans="1:26" x14ac:dyDescent="0.2">
      <c r="A369" s="168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5"/>
    </row>
    <row r="370" spans="1:26" x14ac:dyDescent="0.2">
      <c r="A370" s="168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5"/>
    </row>
    <row r="371" spans="1:26" x14ac:dyDescent="0.2">
      <c r="A371" s="168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5"/>
    </row>
    <row r="372" spans="1:26" x14ac:dyDescent="0.2">
      <c r="A372" s="168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5"/>
    </row>
    <row r="373" spans="1:26" x14ac:dyDescent="0.2">
      <c r="A373" s="168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5"/>
    </row>
    <row r="374" spans="1:26" x14ac:dyDescent="0.2">
      <c r="A374" s="168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5"/>
    </row>
    <row r="375" spans="1:26" x14ac:dyDescent="0.2">
      <c r="A375" s="168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5"/>
    </row>
    <row r="376" spans="1:26" x14ac:dyDescent="0.2">
      <c r="A376" s="168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5"/>
    </row>
    <row r="377" spans="1:26" x14ac:dyDescent="0.2">
      <c r="A377" s="168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5"/>
    </row>
    <row r="378" spans="1:26" x14ac:dyDescent="0.2">
      <c r="A378" s="168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5"/>
    </row>
    <row r="379" spans="1:26" x14ac:dyDescent="0.2">
      <c r="A379" s="168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5"/>
    </row>
    <row r="380" spans="1:26" x14ac:dyDescent="0.2">
      <c r="A380" s="168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5"/>
    </row>
    <row r="381" spans="1:26" x14ac:dyDescent="0.2">
      <c r="A381" s="168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5"/>
    </row>
    <row r="382" spans="1:26" x14ac:dyDescent="0.2">
      <c r="A382" s="168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5"/>
    </row>
    <row r="383" spans="1:26" x14ac:dyDescent="0.2">
      <c r="A383" s="168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5"/>
    </row>
    <row r="384" spans="1:26" x14ac:dyDescent="0.2">
      <c r="A384" s="168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5"/>
    </row>
    <row r="385" spans="1:26" x14ac:dyDescent="0.2">
      <c r="A385" s="168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5"/>
    </row>
    <row r="386" spans="1:26" x14ac:dyDescent="0.2">
      <c r="A386" s="168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5"/>
    </row>
    <row r="387" spans="1:26" x14ac:dyDescent="0.2">
      <c r="A387" s="168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5"/>
    </row>
    <row r="388" spans="1:26" x14ac:dyDescent="0.2">
      <c r="A388" s="168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5"/>
    </row>
    <row r="389" spans="1:26" x14ac:dyDescent="0.2">
      <c r="A389" s="168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5"/>
    </row>
    <row r="390" spans="1:26" x14ac:dyDescent="0.2">
      <c r="A390" s="168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5"/>
    </row>
    <row r="391" spans="1:26" x14ac:dyDescent="0.2">
      <c r="A391" s="168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5"/>
    </row>
    <row r="392" spans="1:26" x14ac:dyDescent="0.2">
      <c r="A392" s="168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5"/>
    </row>
    <row r="393" spans="1:26" x14ac:dyDescent="0.2">
      <c r="A393" s="168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5"/>
    </row>
    <row r="394" spans="1:26" x14ac:dyDescent="0.2">
      <c r="A394" s="168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5"/>
    </row>
    <row r="395" spans="1:26" x14ac:dyDescent="0.2">
      <c r="A395" s="168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5"/>
    </row>
    <row r="396" spans="1:26" x14ac:dyDescent="0.2">
      <c r="A396" s="168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5"/>
    </row>
    <row r="397" spans="1:26" x14ac:dyDescent="0.2">
      <c r="A397" s="168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5"/>
    </row>
    <row r="398" spans="1:26" x14ac:dyDescent="0.2">
      <c r="A398" s="168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5"/>
    </row>
    <row r="399" spans="1:26" x14ac:dyDescent="0.2">
      <c r="A399" s="168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5"/>
    </row>
    <row r="400" spans="1:26" x14ac:dyDescent="0.2">
      <c r="A400" s="168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5"/>
    </row>
    <row r="401" spans="1:26" x14ac:dyDescent="0.2">
      <c r="A401" s="168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5"/>
    </row>
    <row r="402" spans="1:26" x14ac:dyDescent="0.2">
      <c r="A402" s="168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5"/>
    </row>
    <row r="403" spans="1:26" x14ac:dyDescent="0.2">
      <c r="A403" s="168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5"/>
    </row>
    <row r="404" spans="1:26" x14ac:dyDescent="0.2">
      <c r="A404" s="168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5"/>
    </row>
    <row r="405" spans="1:26" x14ac:dyDescent="0.2">
      <c r="A405" s="168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5"/>
    </row>
    <row r="406" spans="1:26" x14ac:dyDescent="0.2">
      <c r="A406" s="168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5"/>
    </row>
    <row r="407" spans="1:26" x14ac:dyDescent="0.2">
      <c r="A407" s="168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5"/>
    </row>
    <row r="408" spans="1:26" x14ac:dyDescent="0.2">
      <c r="A408" s="168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5"/>
    </row>
    <row r="409" spans="1:26" x14ac:dyDescent="0.2">
      <c r="A409" s="168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5"/>
    </row>
    <row r="410" spans="1:26" x14ac:dyDescent="0.2">
      <c r="A410" s="168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5"/>
    </row>
    <row r="411" spans="1:26" x14ac:dyDescent="0.2">
      <c r="A411" s="168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5"/>
    </row>
    <row r="412" spans="1:26" x14ac:dyDescent="0.2">
      <c r="A412" s="168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5"/>
    </row>
    <row r="413" spans="1:26" x14ac:dyDescent="0.2">
      <c r="A413" s="168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5"/>
    </row>
    <row r="414" spans="1:26" x14ac:dyDescent="0.2">
      <c r="A414" s="168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5"/>
    </row>
    <row r="415" spans="1:26" x14ac:dyDescent="0.2">
      <c r="A415" s="168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5"/>
    </row>
    <row r="416" spans="1:26" x14ac:dyDescent="0.2">
      <c r="A416" s="168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5"/>
    </row>
    <row r="417" spans="1:26" x14ac:dyDescent="0.2">
      <c r="A417" s="168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5"/>
    </row>
    <row r="418" spans="1:26" x14ac:dyDescent="0.2">
      <c r="A418" s="168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5"/>
    </row>
    <row r="419" spans="1:26" x14ac:dyDescent="0.2">
      <c r="A419" s="168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5"/>
    </row>
    <row r="420" spans="1:26" x14ac:dyDescent="0.2">
      <c r="A420" s="168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5"/>
    </row>
    <row r="421" spans="1:26" x14ac:dyDescent="0.2">
      <c r="A421" s="168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5"/>
    </row>
    <row r="422" spans="1:26" x14ac:dyDescent="0.2">
      <c r="A422" s="168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5"/>
    </row>
    <row r="423" spans="1:26" x14ac:dyDescent="0.2">
      <c r="A423" s="168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5"/>
    </row>
    <row r="424" spans="1:26" x14ac:dyDescent="0.2">
      <c r="A424" s="168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5"/>
    </row>
    <row r="425" spans="1:26" x14ac:dyDescent="0.2">
      <c r="A425" s="168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5"/>
    </row>
    <row r="426" spans="1:26" x14ac:dyDescent="0.2">
      <c r="A426" s="168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5"/>
    </row>
    <row r="427" spans="1:26" x14ac:dyDescent="0.2">
      <c r="A427" s="168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5"/>
    </row>
    <row r="428" spans="1:26" x14ac:dyDescent="0.2">
      <c r="A428" s="168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5"/>
    </row>
    <row r="429" spans="1:26" x14ac:dyDescent="0.2">
      <c r="A429" s="168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5"/>
    </row>
    <row r="430" spans="1:26" x14ac:dyDescent="0.2">
      <c r="A430" s="168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5"/>
    </row>
    <row r="431" spans="1:26" x14ac:dyDescent="0.2">
      <c r="A431" s="168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5"/>
    </row>
    <row r="432" spans="1:26" x14ac:dyDescent="0.2">
      <c r="A432" s="168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5"/>
    </row>
    <row r="433" spans="1:26" x14ac:dyDescent="0.2">
      <c r="A433" s="168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5"/>
    </row>
    <row r="434" spans="1:26" x14ac:dyDescent="0.2">
      <c r="A434" s="168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5"/>
    </row>
    <row r="435" spans="1:26" x14ac:dyDescent="0.2">
      <c r="A435" s="168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5"/>
    </row>
    <row r="436" spans="1:26" x14ac:dyDescent="0.2">
      <c r="A436" s="168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5"/>
    </row>
    <row r="437" spans="1:26" x14ac:dyDescent="0.2">
      <c r="A437" s="168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5"/>
    </row>
    <row r="438" spans="1:26" x14ac:dyDescent="0.2">
      <c r="A438" s="168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5"/>
    </row>
    <row r="439" spans="1:26" x14ac:dyDescent="0.2">
      <c r="A439" s="168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5"/>
    </row>
    <row r="440" spans="1:26" x14ac:dyDescent="0.2">
      <c r="A440" s="168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5"/>
    </row>
    <row r="441" spans="1:26" x14ac:dyDescent="0.2">
      <c r="A441" s="168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5"/>
    </row>
    <row r="442" spans="1:26" x14ac:dyDescent="0.2">
      <c r="A442" s="168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5"/>
    </row>
    <row r="443" spans="1:26" x14ac:dyDescent="0.2">
      <c r="A443" s="168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5"/>
    </row>
    <row r="444" spans="1:26" x14ac:dyDescent="0.2">
      <c r="A444" s="168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5"/>
    </row>
    <row r="445" spans="1:26" x14ac:dyDescent="0.2">
      <c r="A445" s="168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5"/>
    </row>
    <row r="446" spans="1:26" x14ac:dyDescent="0.2">
      <c r="A446" s="168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5"/>
    </row>
    <row r="447" spans="1:26" x14ac:dyDescent="0.2">
      <c r="A447" s="168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5"/>
    </row>
    <row r="448" spans="1:26" x14ac:dyDescent="0.2">
      <c r="A448" s="168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5"/>
    </row>
    <row r="449" spans="1:26" x14ac:dyDescent="0.2">
      <c r="A449" s="168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5"/>
    </row>
    <row r="450" spans="1:26" x14ac:dyDescent="0.2">
      <c r="A450" s="168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5"/>
    </row>
    <row r="451" spans="1:26" x14ac:dyDescent="0.2">
      <c r="A451" s="168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5"/>
    </row>
    <row r="452" spans="1:26" x14ac:dyDescent="0.2">
      <c r="A452" s="168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5"/>
    </row>
    <row r="453" spans="1:26" x14ac:dyDescent="0.2">
      <c r="A453" s="168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5"/>
    </row>
    <row r="454" spans="1:26" x14ac:dyDescent="0.2">
      <c r="A454" s="168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5"/>
    </row>
    <row r="455" spans="1:26" x14ac:dyDescent="0.2">
      <c r="A455" s="168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5"/>
    </row>
    <row r="456" spans="1:26" x14ac:dyDescent="0.2">
      <c r="A456" s="168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5"/>
    </row>
    <row r="457" spans="1:26" x14ac:dyDescent="0.2">
      <c r="A457" s="168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5"/>
    </row>
    <row r="458" spans="1:26" x14ac:dyDescent="0.2">
      <c r="A458" s="168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5"/>
    </row>
    <row r="459" spans="1:26" x14ac:dyDescent="0.2">
      <c r="A459" s="168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5"/>
    </row>
    <row r="460" spans="1:26" x14ac:dyDescent="0.2">
      <c r="A460" s="168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5"/>
    </row>
    <row r="461" spans="1:26" x14ac:dyDescent="0.2">
      <c r="A461" s="168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5"/>
    </row>
    <row r="462" spans="1:26" x14ac:dyDescent="0.2">
      <c r="A462" s="168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5"/>
    </row>
    <row r="463" spans="1:26" x14ac:dyDescent="0.2">
      <c r="A463" s="168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5"/>
    </row>
    <row r="464" spans="1:26" x14ac:dyDescent="0.2">
      <c r="A464" s="168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5"/>
    </row>
    <row r="465" spans="1:26" x14ac:dyDescent="0.2">
      <c r="A465" s="168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5"/>
    </row>
    <row r="466" spans="1:26" x14ac:dyDescent="0.2">
      <c r="A466" s="168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5"/>
    </row>
    <row r="467" spans="1:26" x14ac:dyDescent="0.2">
      <c r="A467" s="168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5"/>
    </row>
    <row r="468" spans="1:26" x14ac:dyDescent="0.2">
      <c r="A468" s="168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5"/>
    </row>
    <row r="469" spans="1:26" x14ac:dyDescent="0.2">
      <c r="A469" s="168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5"/>
    </row>
    <row r="470" spans="1:26" x14ac:dyDescent="0.2">
      <c r="A470" s="168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5"/>
    </row>
    <row r="471" spans="1:26" x14ac:dyDescent="0.2">
      <c r="A471" s="168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5"/>
    </row>
    <row r="472" spans="1:26" x14ac:dyDescent="0.2">
      <c r="A472" s="168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5"/>
    </row>
    <row r="473" spans="1:26" x14ac:dyDescent="0.2">
      <c r="A473" s="168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5"/>
    </row>
    <row r="474" spans="1:26" x14ac:dyDescent="0.2">
      <c r="A474" s="168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5"/>
    </row>
    <row r="475" spans="1:26" x14ac:dyDescent="0.2">
      <c r="A475" s="168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5"/>
    </row>
    <row r="476" spans="1:26" x14ac:dyDescent="0.2">
      <c r="A476" s="168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5"/>
    </row>
    <row r="477" spans="1:26" x14ac:dyDescent="0.2">
      <c r="A477" s="168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5"/>
    </row>
    <row r="478" spans="1:26" x14ac:dyDescent="0.2">
      <c r="A478" s="168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5"/>
    </row>
    <row r="479" spans="1:26" x14ac:dyDescent="0.2">
      <c r="A479" s="168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5"/>
    </row>
    <row r="480" spans="1:26" x14ac:dyDescent="0.2">
      <c r="A480" s="168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5"/>
    </row>
    <row r="481" spans="1:26" x14ac:dyDescent="0.2">
      <c r="A481" s="168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5"/>
    </row>
    <row r="482" spans="1:26" x14ac:dyDescent="0.2">
      <c r="A482" s="168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5"/>
    </row>
    <row r="483" spans="1:26" x14ac:dyDescent="0.2">
      <c r="A483" s="168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5"/>
    </row>
    <row r="484" spans="1:26" x14ac:dyDescent="0.2">
      <c r="A484" s="168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5"/>
    </row>
    <row r="485" spans="1:26" x14ac:dyDescent="0.2">
      <c r="A485" s="168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5"/>
    </row>
    <row r="486" spans="1:26" x14ac:dyDescent="0.2">
      <c r="A486" s="168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5"/>
    </row>
    <row r="487" spans="1:26" x14ac:dyDescent="0.2">
      <c r="A487" s="168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5"/>
    </row>
    <row r="488" spans="1:26" x14ac:dyDescent="0.2">
      <c r="A488" s="168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5"/>
    </row>
    <row r="489" spans="1:26" x14ac:dyDescent="0.2">
      <c r="A489" s="168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5"/>
    </row>
    <row r="490" spans="1:26" x14ac:dyDescent="0.2">
      <c r="A490" s="168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5"/>
    </row>
    <row r="491" spans="1:26" x14ac:dyDescent="0.2">
      <c r="A491" s="168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5"/>
    </row>
    <row r="492" spans="1:26" x14ac:dyDescent="0.2">
      <c r="A492" s="168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5"/>
    </row>
    <row r="493" spans="1:26" x14ac:dyDescent="0.2">
      <c r="A493" s="168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5"/>
    </row>
    <row r="494" spans="1:26" x14ac:dyDescent="0.2">
      <c r="A494" s="168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5"/>
    </row>
    <row r="495" spans="1:26" x14ac:dyDescent="0.2">
      <c r="A495" s="168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5"/>
    </row>
    <row r="496" spans="1:26" x14ac:dyDescent="0.2">
      <c r="A496" s="168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5"/>
    </row>
    <row r="497" spans="1:26" x14ac:dyDescent="0.2">
      <c r="A497" s="168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5"/>
    </row>
    <row r="498" spans="1:26" x14ac:dyDescent="0.2">
      <c r="A498" s="168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5"/>
    </row>
    <row r="499" spans="1:26" x14ac:dyDescent="0.2">
      <c r="A499" s="168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5"/>
    </row>
    <row r="500" spans="1:26" x14ac:dyDescent="0.2">
      <c r="A500" s="168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5"/>
    </row>
    <row r="501" spans="1:26" x14ac:dyDescent="0.2">
      <c r="A501" s="168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5"/>
    </row>
    <row r="502" spans="1:26" x14ac:dyDescent="0.2">
      <c r="A502" s="168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5"/>
    </row>
    <row r="503" spans="1:26" x14ac:dyDescent="0.2">
      <c r="A503" s="168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5"/>
    </row>
    <row r="504" spans="1:26" x14ac:dyDescent="0.2">
      <c r="A504" s="168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5"/>
    </row>
    <row r="505" spans="1:26" x14ac:dyDescent="0.2">
      <c r="A505" s="168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5"/>
    </row>
    <row r="506" spans="1:26" x14ac:dyDescent="0.2">
      <c r="A506" s="168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5"/>
    </row>
    <row r="507" spans="1:26" x14ac:dyDescent="0.2">
      <c r="A507" s="168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5"/>
    </row>
    <row r="508" spans="1:26" x14ac:dyDescent="0.2">
      <c r="A508" s="168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5"/>
    </row>
    <row r="509" spans="1:26" x14ac:dyDescent="0.2">
      <c r="A509" s="168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5"/>
    </row>
    <row r="510" spans="1:26" x14ac:dyDescent="0.2">
      <c r="A510" s="168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5"/>
    </row>
    <row r="511" spans="1:26" x14ac:dyDescent="0.2">
      <c r="A511" s="168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5"/>
    </row>
    <row r="512" spans="1:26" x14ac:dyDescent="0.2">
      <c r="A512" s="168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5"/>
    </row>
    <row r="513" spans="1:26" x14ac:dyDescent="0.2">
      <c r="A513" s="168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5"/>
    </row>
    <row r="514" spans="1:26" x14ac:dyDescent="0.2">
      <c r="A514" s="168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5"/>
    </row>
    <row r="515" spans="1:26" x14ac:dyDescent="0.2">
      <c r="A515" s="168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5"/>
    </row>
    <row r="516" spans="1:26" x14ac:dyDescent="0.2">
      <c r="A516" s="168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5"/>
    </row>
    <row r="517" spans="1:26" x14ac:dyDescent="0.2">
      <c r="A517" s="168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5"/>
    </row>
    <row r="518" spans="1:26" x14ac:dyDescent="0.2">
      <c r="A518" s="168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5"/>
    </row>
    <row r="519" spans="1:26" x14ac:dyDescent="0.2">
      <c r="A519" s="168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5"/>
    </row>
    <row r="520" spans="1:26" x14ac:dyDescent="0.2">
      <c r="A520" s="168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5"/>
    </row>
    <row r="521" spans="1:26" x14ac:dyDescent="0.2">
      <c r="A521" s="168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5"/>
    </row>
    <row r="522" spans="1:26" x14ac:dyDescent="0.2">
      <c r="A522" s="168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5"/>
    </row>
    <row r="523" spans="1:26" x14ac:dyDescent="0.2">
      <c r="A523" s="168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5"/>
    </row>
    <row r="524" spans="1:26" x14ac:dyDescent="0.2">
      <c r="A524" s="168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5"/>
    </row>
    <row r="525" spans="1:26" x14ac:dyDescent="0.2">
      <c r="A525" s="168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5"/>
    </row>
    <row r="526" spans="1:26" x14ac:dyDescent="0.2">
      <c r="A526" s="168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5"/>
    </row>
    <row r="527" spans="1:26" x14ac:dyDescent="0.2">
      <c r="A527" s="168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5"/>
    </row>
    <row r="528" spans="1:26" x14ac:dyDescent="0.2">
      <c r="A528" s="168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5"/>
    </row>
    <row r="529" spans="1:26" x14ac:dyDescent="0.2">
      <c r="A529" s="168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5"/>
    </row>
    <row r="530" spans="1:26" x14ac:dyDescent="0.2">
      <c r="A530" s="168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5"/>
    </row>
    <row r="531" spans="1:26" x14ac:dyDescent="0.2">
      <c r="A531" s="168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5"/>
    </row>
    <row r="532" spans="1:26" x14ac:dyDescent="0.2">
      <c r="A532" s="168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5"/>
    </row>
    <row r="533" spans="1:26" x14ac:dyDescent="0.2">
      <c r="A533" s="168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5"/>
    </row>
    <row r="534" spans="1:26" x14ac:dyDescent="0.2">
      <c r="A534" s="168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5"/>
    </row>
    <row r="535" spans="1:26" x14ac:dyDescent="0.2">
      <c r="A535" s="168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5"/>
    </row>
    <row r="536" spans="1:26" x14ac:dyDescent="0.2">
      <c r="A536" s="168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5"/>
    </row>
    <row r="537" spans="1:26" x14ac:dyDescent="0.2">
      <c r="A537" s="168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5"/>
    </row>
    <row r="538" spans="1:26" x14ac:dyDescent="0.2">
      <c r="A538" s="168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5"/>
    </row>
    <row r="539" spans="1:26" x14ac:dyDescent="0.2">
      <c r="A539" s="168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5"/>
    </row>
    <row r="540" spans="1:26" x14ac:dyDescent="0.2">
      <c r="A540" s="168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5"/>
    </row>
    <row r="541" spans="1:26" x14ac:dyDescent="0.2">
      <c r="A541" s="168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5"/>
    </row>
    <row r="542" spans="1:26" x14ac:dyDescent="0.2">
      <c r="A542" s="168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5"/>
    </row>
    <row r="543" spans="1:26" x14ac:dyDescent="0.2">
      <c r="A543" s="168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5"/>
    </row>
    <row r="544" spans="1:26" x14ac:dyDescent="0.2">
      <c r="A544" s="168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5"/>
    </row>
    <row r="545" spans="1:26" x14ac:dyDescent="0.2">
      <c r="A545" s="168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5"/>
    </row>
    <row r="546" spans="1:26" x14ac:dyDescent="0.2">
      <c r="A546" s="168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5"/>
    </row>
    <row r="547" spans="1:26" x14ac:dyDescent="0.2">
      <c r="A547" s="168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5"/>
    </row>
    <row r="548" spans="1:26" x14ac:dyDescent="0.2">
      <c r="A548" s="168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5"/>
    </row>
    <row r="549" spans="1:26" x14ac:dyDescent="0.2">
      <c r="A549" s="168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5"/>
    </row>
    <row r="550" spans="1:26" x14ac:dyDescent="0.2">
      <c r="A550" s="168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5"/>
    </row>
    <row r="551" spans="1:26" x14ac:dyDescent="0.2">
      <c r="A551" s="168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5"/>
    </row>
    <row r="552" spans="1:26" x14ac:dyDescent="0.2">
      <c r="A552" s="168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5"/>
    </row>
    <row r="553" spans="1:26" x14ac:dyDescent="0.2">
      <c r="A553" s="168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5"/>
    </row>
    <row r="554" spans="1:26" x14ac:dyDescent="0.2">
      <c r="A554" s="168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5"/>
    </row>
    <row r="555" spans="1:26" x14ac:dyDescent="0.2">
      <c r="A555" s="168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5"/>
    </row>
    <row r="556" spans="1:26" x14ac:dyDescent="0.2">
      <c r="A556" s="168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5"/>
    </row>
    <row r="557" spans="1:26" x14ac:dyDescent="0.2">
      <c r="A557" s="168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5"/>
    </row>
    <row r="558" spans="1:26" x14ac:dyDescent="0.2">
      <c r="A558" s="168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5"/>
    </row>
    <row r="559" spans="1:26" x14ac:dyDescent="0.2">
      <c r="A559" s="168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5"/>
    </row>
    <row r="560" spans="1:26" x14ac:dyDescent="0.2">
      <c r="A560" s="168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5"/>
    </row>
    <row r="561" spans="1:26" x14ac:dyDescent="0.2">
      <c r="A561" s="168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5"/>
    </row>
    <row r="562" spans="1:26" x14ac:dyDescent="0.2">
      <c r="A562" s="168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5"/>
    </row>
    <row r="563" spans="1:26" x14ac:dyDescent="0.2">
      <c r="A563" s="168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5"/>
    </row>
    <row r="564" spans="1:26" x14ac:dyDescent="0.2">
      <c r="A564" s="168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5"/>
    </row>
    <row r="565" spans="1:26" x14ac:dyDescent="0.2">
      <c r="A565" s="168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5"/>
    </row>
    <row r="566" spans="1:26" x14ac:dyDescent="0.2">
      <c r="A566" s="168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5"/>
    </row>
    <row r="567" spans="1:26" x14ac:dyDescent="0.2">
      <c r="A567" s="168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5"/>
    </row>
    <row r="568" spans="1:26" x14ac:dyDescent="0.2">
      <c r="A568" s="168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5"/>
    </row>
    <row r="569" spans="1:26" x14ac:dyDescent="0.2">
      <c r="A569" s="168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5"/>
    </row>
    <row r="570" spans="1:26" x14ac:dyDescent="0.2">
      <c r="A570" s="168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5"/>
    </row>
    <row r="571" spans="1:26" x14ac:dyDescent="0.2">
      <c r="A571" s="168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5"/>
    </row>
    <row r="572" spans="1:26" x14ac:dyDescent="0.2">
      <c r="A572" s="168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5"/>
    </row>
    <row r="573" spans="1:26" x14ac:dyDescent="0.2">
      <c r="A573" s="168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5"/>
    </row>
    <row r="574" spans="1:26" x14ac:dyDescent="0.2">
      <c r="A574" s="168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5"/>
    </row>
    <row r="575" spans="1:26" x14ac:dyDescent="0.2">
      <c r="A575" s="168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5"/>
    </row>
    <row r="576" spans="1:26" x14ac:dyDescent="0.2">
      <c r="A576" s="168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5"/>
    </row>
    <row r="577" spans="1:26" x14ac:dyDescent="0.2">
      <c r="A577" s="168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5"/>
    </row>
    <row r="578" spans="1:26" x14ac:dyDescent="0.2">
      <c r="A578" s="168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5"/>
    </row>
    <row r="579" spans="1:26" x14ac:dyDescent="0.2">
      <c r="A579" s="168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5"/>
    </row>
    <row r="580" spans="1:26" x14ac:dyDescent="0.2">
      <c r="A580" s="168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5"/>
    </row>
    <row r="581" spans="1:26" x14ac:dyDescent="0.2">
      <c r="A581" s="168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5"/>
    </row>
    <row r="582" spans="1:26" x14ac:dyDescent="0.2">
      <c r="A582" s="168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5"/>
    </row>
    <row r="583" spans="1:26" x14ac:dyDescent="0.2">
      <c r="A583" s="168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5"/>
    </row>
    <row r="584" spans="1:26" x14ac:dyDescent="0.2">
      <c r="A584" s="168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5"/>
    </row>
    <row r="585" spans="1:26" x14ac:dyDescent="0.2">
      <c r="A585" s="168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5"/>
    </row>
    <row r="586" spans="1:26" x14ac:dyDescent="0.2">
      <c r="A586" s="168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5"/>
    </row>
    <row r="587" spans="1:26" x14ac:dyDescent="0.2">
      <c r="A587" s="168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5"/>
    </row>
    <row r="588" spans="1:26" x14ac:dyDescent="0.2">
      <c r="A588" s="168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5"/>
    </row>
    <row r="589" spans="1:26" x14ac:dyDescent="0.2">
      <c r="A589" s="168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5"/>
    </row>
    <row r="590" spans="1:26" x14ac:dyDescent="0.2">
      <c r="A590" s="168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5"/>
    </row>
    <row r="591" spans="1:26" x14ac:dyDescent="0.2">
      <c r="A591" s="168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5"/>
    </row>
    <row r="592" spans="1:26" x14ac:dyDescent="0.2">
      <c r="A592" s="168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5"/>
    </row>
    <row r="593" spans="1:26" x14ac:dyDescent="0.2">
      <c r="A593" s="168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5"/>
    </row>
    <row r="594" spans="1:26" x14ac:dyDescent="0.2">
      <c r="A594" s="168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5"/>
    </row>
    <row r="595" spans="1:26" x14ac:dyDescent="0.2">
      <c r="A595" s="168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5"/>
    </row>
    <row r="596" spans="1:26" x14ac:dyDescent="0.2">
      <c r="A596" s="168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5"/>
    </row>
    <row r="597" spans="1:26" x14ac:dyDescent="0.2">
      <c r="A597" s="168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5"/>
    </row>
    <row r="598" spans="1:26" x14ac:dyDescent="0.2">
      <c r="A598" s="168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5"/>
    </row>
    <row r="599" spans="1:26" x14ac:dyDescent="0.2">
      <c r="A599" s="168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5"/>
    </row>
    <row r="600" spans="1:26" x14ac:dyDescent="0.2">
      <c r="A600" s="168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5"/>
    </row>
    <row r="601" spans="1:26" x14ac:dyDescent="0.2">
      <c r="A601" s="168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5"/>
    </row>
    <row r="602" spans="1:26" x14ac:dyDescent="0.2">
      <c r="A602" s="168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5"/>
    </row>
    <row r="603" spans="1:26" x14ac:dyDescent="0.2">
      <c r="A603" s="168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5"/>
    </row>
    <row r="604" spans="1:26" x14ac:dyDescent="0.2">
      <c r="A604" s="168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5"/>
    </row>
    <row r="605" spans="1:26" x14ac:dyDescent="0.2">
      <c r="A605" s="168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5"/>
    </row>
    <row r="606" spans="1:26" x14ac:dyDescent="0.2">
      <c r="A606" s="168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5"/>
    </row>
    <row r="607" spans="1:26" x14ac:dyDescent="0.2">
      <c r="A607" s="168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5"/>
    </row>
    <row r="608" spans="1:26" x14ac:dyDescent="0.2">
      <c r="A608" s="168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5"/>
    </row>
    <row r="609" spans="1:26" x14ac:dyDescent="0.2">
      <c r="A609" s="168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5"/>
    </row>
    <row r="610" spans="1:26" x14ac:dyDescent="0.2">
      <c r="A610" s="168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5"/>
    </row>
    <row r="611" spans="1:26" x14ac:dyDescent="0.2">
      <c r="A611" s="168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5"/>
    </row>
    <row r="612" spans="1:26" x14ac:dyDescent="0.2">
      <c r="A612" s="168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5"/>
    </row>
    <row r="613" spans="1:26" x14ac:dyDescent="0.2">
      <c r="A613" s="168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5"/>
    </row>
    <row r="614" spans="1:26" x14ac:dyDescent="0.2">
      <c r="A614" s="168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5"/>
    </row>
    <row r="615" spans="1:26" x14ac:dyDescent="0.2">
      <c r="A615" s="168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5"/>
    </row>
    <row r="616" spans="1:26" x14ac:dyDescent="0.2">
      <c r="A616" s="168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5"/>
    </row>
    <row r="617" spans="1:26" x14ac:dyDescent="0.2">
      <c r="A617" s="168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5"/>
    </row>
    <row r="618" spans="1:26" x14ac:dyDescent="0.2">
      <c r="A618" s="168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5"/>
    </row>
    <row r="619" spans="1:26" x14ac:dyDescent="0.2">
      <c r="A619" s="168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5"/>
    </row>
    <row r="620" spans="1:26" x14ac:dyDescent="0.2">
      <c r="A620" s="168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5"/>
    </row>
    <row r="621" spans="1:26" x14ac:dyDescent="0.2">
      <c r="A621" s="168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5"/>
    </row>
    <row r="622" spans="1:26" x14ac:dyDescent="0.2">
      <c r="A622" s="168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5"/>
    </row>
    <row r="623" spans="1:26" x14ac:dyDescent="0.2">
      <c r="A623" s="168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5"/>
    </row>
    <row r="624" spans="1:26" x14ac:dyDescent="0.2">
      <c r="A624" s="168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5"/>
    </row>
    <row r="625" spans="1:26" x14ac:dyDescent="0.2">
      <c r="A625" s="168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5"/>
    </row>
    <row r="626" spans="1:26" x14ac:dyDescent="0.2">
      <c r="A626" s="168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5"/>
    </row>
    <row r="627" spans="1:26" x14ac:dyDescent="0.2">
      <c r="A627" s="168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5"/>
    </row>
    <row r="628" spans="1:26" x14ac:dyDescent="0.2">
      <c r="A628" s="168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5"/>
    </row>
    <row r="629" spans="1:26" x14ac:dyDescent="0.2">
      <c r="A629" s="168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5"/>
    </row>
    <row r="630" spans="1:26" x14ac:dyDescent="0.2">
      <c r="A630" s="168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5"/>
    </row>
    <row r="631" spans="1:26" x14ac:dyDescent="0.2">
      <c r="A631" s="168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5"/>
    </row>
    <row r="632" spans="1:26" x14ac:dyDescent="0.2">
      <c r="A632" s="168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5"/>
    </row>
    <row r="633" spans="1:26" x14ac:dyDescent="0.2">
      <c r="A633" s="168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5"/>
    </row>
    <row r="634" spans="1:26" x14ac:dyDescent="0.2">
      <c r="A634" s="168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5"/>
    </row>
    <row r="635" spans="1:26" x14ac:dyDescent="0.2">
      <c r="A635" s="168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5"/>
    </row>
    <row r="636" spans="1:26" x14ac:dyDescent="0.2">
      <c r="A636" s="168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5"/>
    </row>
    <row r="637" spans="1:26" x14ac:dyDescent="0.2">
      <c r="A637" s="168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5"/>
    </row>
    <row r="638" spans="1:26" x14ac:dyDescent="0.2">
      <c r="A638" s="168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5"/>
    </row>
    <row r="639" spans="1:26" x14ac:dyDescent="0.2">
      <c r="A639" s="168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5"/>
    </row>
    <row r="640" spans="1:26" x14ac:dyDescent="0.2">
      <c r="A640" s="168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5"/>
    </row>
    <row r="641" spans="1:26" x14ac:dyDescent="0.2">
      <c r="A641" s="168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5"/>
    </row>
    <row r="642" spans="1:26" x14ac:dyDescent="0.2">
      <c r="A642" s="168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5"/>
    </row>
    <row r="643" spans="1:26" x14ac:dyDescent="0.2">
      <c r="A643" s="168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5"/>
    </row>
    <row r="644" spans="1:26" x14ac:dyDescent="0.2">
      <c r="A644" s="168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5"/>
    </row>
    <row r="645" spans="1:26" x14ac:dyDescent="0.2">
      <c r="A645" s="168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5"/>
    </row>
    <row r="646" spans="1:26" x14ac:dyDescent="0.2">
      <c r="A646" s="168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5"/>
    </row>
    <row r="647" spans="1:26" x14ac:dyDescent="0.2">
      <c r="A647" s="168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5"/>
    </row>
    <row r="648" spans="1:26" x14ac:dyDescent="0.2">
      <c r="A648" s="168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5"/>
    </row>
    <row r="649" spans="1:26" x14ac:dyDescent="0.2">
      <c r="A649" s="168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5"/>
    </row>
    <row r="650" spans="1:26" x14ac:dyDescent="0.2">
      <c r="A650" s="168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5"/>
    </row>
    <row r="651" spans="1:26" x14ac:dyDescent="0.2">
      <c r="A651" s="168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5"/>
    </row>
    <row r="652" spans="1:26" x14ac:dyDescent="0.2">
      <c r="A652" s="168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5"/>
    </row>
    <row r="653" spans="1:26" x14ac:dyDescent="0.2">
      <c r="A653" s="168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5"/>
    </row>
    <row r="654" spans="1:26" x14ac:dyDescent="0.2">
      <c r="A654" s="168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5"/>
    </row>
    <row r="655" spans="1:26" x14ac:dyDescent="0.2">
      <c r="A655" s="168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5"/>
    </row>
    <row r="656" spans="1:26" x14ac:dyDescent="0.2">
      <c r="A656" s="168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5"/>
    </row>
    <row r="657" spans="1:26" x14ac:dyDescent="0.2">
      <c r="A657" s="168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5"/>
    </row>
    <row r="658" spans="1:26" x14ac:dyDescent="0.2">
      <c r="A658" s="168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5"/>
    </row>
    <row r="659" spans="1:26" x14ac:dyDescent="0.2">
      <c r="A659" s="168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5"/>
    </row>
    <row r="660" spans="1:26" x14ac:dyDescent="0.2">
      <c r="A660" s="168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5"/>
    </row>
    <row r="661" spans="1:26" x14ac:dyDescent="0.2">
      <c r="A661" s="168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5"/>
    </row>
    <row r="662" spans="1:26" x14ac:dyDescent="0.2">
      <c r="A662" s="168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5"/>
    </row>
    <row r="663" spans="1:26" x14ac:dyDescent="0.2">
      <c r="A663" s="168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5"/>
    </row>
    <row r="664" spans="1:26" x14ac:dyDescent="0.2">
      <c r="A664" s="168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5"/>
    </row>
    <row r="665" spans="1:26" x14ac:dyDescent="0.2">
      <c r="A665" s="168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5"/>
    </row>
    <row r="666" spans="1:26" x14ac:dyDescent="0.2">
      <c r="A666" s="168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5"/>
    </row>
    <row r="667" spans="1:26" x14ac:dyDescent="0.2">
      <c r="A667" s="168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5"/>
    </row>
    <row r="668" spans="1:26" x14ac:dyDescent="0.2">
      <c r="A668" s="168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5"/>
    </row>
    <row r="669" spans="1:26" x14ac:dyDescent="0.2">
      <c r="A669" s="168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5"/>
    </row>
    <row r="670" spans="1:26" x14ac:dyDescent="0.2">
      <c r="A670" s="168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5"/>
    </row>
    <row r="671" spans="1:26" x14ac:dyDescent="0.2">
      <c r="A671" s="168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5"/>
    </row>
    <row r="672" spans="1:26" x14ac:dyDescent="0.2">
      <c r="A672" s="168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5"/>
    </row>
    <row r="673" spans="1:26" x14ac:dyDescent="0.2">
      <c r="A673" s="168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5"/>
    </row>
    <row r="674" spans="1:26" x14ac:dyDescent="0.2">
      <c r="A674" s="168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5"/>
    </row>
    <row r="675" spans="1:26" x14ac:dyDescent="0.2">
      <c r="A675" s="168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5"/>
    </row>
    <row r="676" spans="1:26" x14ac:dyDescent="0.2">
      <c r="A676" s="168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5"/>
    </row>
    <row r="677" spans="1:26" x14ac:dyDescent="0.2">
      <c r="A677" s="168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5"/>
    </row>
    <row r="678" spans="1:26" x14ac:dyDescent="0.2">
      <c r="A678" s="168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5"/>
    </row>
    <row r="679" spans="1:26" x14ac:dyDescent="0.2">
      <c r="A679" s="168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5"/>
    </row>
    <row r="680" spans="1:26" x14ac:dyDescent="0.2">
      <c r="A680" s="168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5"/>
    </row>
    <row r="681" spans="1:26" x14ac:dyDescent="0.2">
      <c r="A681" s="168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5"/>
    </row>
    <row r="682" spans="1:26" x14ac:dyDescent="0.2">
      <c r="A682" s="168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5"/>
    </row>
    <row r="683" spans="1:26" x14ac:dyDescent="0.2">
      <c r="A683" s="168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5"/>
    </row>
    <row r="684" spans="1:26" x14ac:dyDescent="0.2">
      <c r="A684" s="168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5"/>
    </row>
    <row r="685" spans="1:26" x14ac:dyDescent="0.2">
      <c r="A685" s="168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5"/>
    </row>
    <row r="686" spans="1:26" x14ac:dyDescent="0.2">
      <c r="A686" s="168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5"/>
    </row>
    <row r="687" spans="1:26" x14ac:dyDescent="0.2">
      <c r="A687" s="168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5"/>
    </row>
    <row r="688" spans="1:26" x14ac:dyDescent="0.2">
      <c r="A688" s="168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5"/>
    </row>
    <row r="689" spans="1:26" x14ac:dyDescent="0.2">
      <c r="A689" s="168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5"/>
    </row>
    <row r="690" spans="1:26" x14ac:dyDescent="0.2">
      <c r="A690" s="168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5"/>
    </row>
    <row r="691" spans="1:26" x14ac:dyDescent="0.2">
      <c r="A691" s="168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5"/>
    </row>
    <row r="692" spans="1:26" x14ac:dyDescent="0.2">
      <c r="A692" s="168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5"/>
    </row>
    <row r="693" spans="1:26" x14ac:dyDescent="0.2">
      <c r="A693" s="168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5"/>
    </row>
    <row r="694" spans="1:26" x14ac:dyDescent="0.2">
      <c r="A694" s="168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5"/>
    </row>
    <row r="695" spans="1:26" x14ac:dyDescent="0.2">
      <c r="A695" s="168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5"/>
    </row>
    <row r="696" spans="1:26" x14ac:dyDescent="0.2">
      <c r="A696" s="168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5"/>
    </row>
    <row r="697" spans="1:26" x14ac:dyDescent="0.2">
      <c r="A697" s="168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5"/>
    </row>
    <row r="698" spans="1:26" x14ac:dyDescent="0.2">
      <c r="A698" s="168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5"/>
    </row>
    <row r="699" spans="1:26" x14ac:dyDescent="0.2">
      <c r="A699" s="168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5"/>
    </row>
    <row r="700" spans="1:26" x14ac:dyDescent="0.2">
      <c r="A700" s="168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5"/>
    </row>
    <row r="701" spans="1:26" x14ac:dyDescent="0.2">
      <c r="A701" s="168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5"/>
    </row>
    <row r="702" spans="1:26" x14ac:dyDescent="0.2">
      <c r="A702" s="168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5"/>
    </row>
    <row r="703" spans="1:26" x14ac:dyDescent="0.2">
      <c r="A703" s="168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5"/>
    </row>
    <row r="704" spans="1:26" x14ac:dyDescent="0.2">
      <c r="A704" s="168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5"/>
    </row>
    <row r="705" spans="1:26" x14ac:dyDescent="0.2">
      <c r="A705" s="168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5"/>
    </row>
    <row r="706" spans="1:26" x14ac:dyDescent="0.2">
      <c r="A706" s="168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5"/>
    </row>
    <row r="707" spans="1:26" x14ac:dyDescent="0.2">
      <c r="A707" s="168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5"/>
    </row>
    <row r="708" spans="1:26" x14ac:dyDescent="0.2">
      <c r="A708" s="168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5"/>
    </row>
    <row r="709" spans="1:26" x14ac:dyDescent="0.2">
      <c r="A709" s="168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5"/>
    </row>
    <row r="710" spans="1:26" x14ac:dyDescent="0.2">
      <c r="A710" s="168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5"/>
    </row>
    <row r="711" spans="1:26" x14ac:dyDescent="0.2">
      <c r="A711" s="168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5"/>
    </row>
    <row r="712" spans="1:26" x14ac:dyDescent="0.2">
      <c r="A712" s="168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5"/>
    </row>
    <row r="713" spans="1:26" x14ac:dyDescent="0.2">
      <c r="A713" s="168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5"/>
    </row>
    <row r="714" spans="1:26" x14ac:dyDescent="0.2">
      <c r="A714" s="168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5"/>
    </row>
    <row r="715" spans="1:26" x14ac:dyDescent="0.2">
      <c r="A715" s="168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5"/>
    </row>
    <row r="716" spans="1:26" x14ac:dyDescent="0.2">
      <c r="A716" s="168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5"/>
    </row>
    <row r="717" spans="1:26" x14ac:dyDescent="0.2">
      <c r="A717" s="168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5"/>
    </row>
    <row r="718" spans="1:26" x14ac:dyDescent="0.2">
      <c r="A718" s="168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5"/>
    </row>
    <row r="719" spans="1:26" x14ac:dyDescent="0.2">
      <c r="A719" s="168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5"/>
    </row>
    <row r="720" spans="1:26" x14ac:dyDescent="0.2">
      <c r="A720" s="168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5"/>
    </row>
    <row r="721" spans="1:26" x14ac:dyDescent="0.2">
      <c r="A721" s="168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5"/>
    </row>
    <row r="722" spans="1:26" x14ac:dyDescent="0.2">
      <c r="A722" s="168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5"/>
    </row>
    <row r="723" spans="1:26" x14ac:dyDescent="0.2">
      <c r="A723" s="168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5"/>
    </row>
    <row r="724" spans="1:26" x14ac:dyDescent="0.2">
      <c r="A724" s="168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5"/>
    </row>
    <row r="725" spans="1:26" x14ac:dyDescent="0.2">
      <c r="A725" s="168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5"/>
    </row>
    <row r="726" spans="1:26" x14ac:dyDescent="0.2">
      <c r="A726" s="168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5"/>
    </row>
    <row r="727" spans="1:26" x14ac:dyDescent="0.2">
      <c r="A727" s="168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5"/>
    </row>
    <row r="728" spans="1:26" x14ac:dyDescent="0.2">
      <c r="A728" s="168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5"/>
    </row>
    <row r="729" spans="1:26" x14ac:dyDescent="0.2">
      <c r="A729" s="168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5"/>
    </row>
    <row r="730" spans="1:26" x14ac:dyDescent="0.2">
      <c r="A730" s="168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5"/>
    </row>
    <row r="731" spans="1:26" x14ac:dyDescent="0.2">
      <c r="A731" s="168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5"/>
    </row>
    <row r="732" spans="1:26" x14ac:dyDescent="0.2">
      <c r="A732" s="168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5"/>
    </row>
    <row r="733" spans="1:26" x14ac:dyDescent="0.2">
      <c r="A733" s="168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5"/>
    </row>
    <row r="734" spans="1:26" x14ac:dyDescent="0.2">
      <c r="A734" s="168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5"/>
    </row>
    <row r="735" spans="1:26" x14ac:dyDescent="0.2">
      <c r="A735" s="168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5"/>
    </row>
    <row r="736" spans="1:26" x14ac:dyDescent="0.2">
      <c r="A736" s="168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5"/>
    </row>
    <row r="737" spans="1:26" x14ac:dyDescent="0.2">
      <c r="A737" s="168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5"/>
    </row>
    <row r="738" spans="1:26" x14ac:dyDescent="0.2">
      <c r="A738" s="168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5"/>
    </row>
    <row r="739" spans="1:26" x14ac:dyDescent="0.2">
      <c r="A739" s="168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5"/>
    </row>
    <row r="740" spans="1:26" x14ac:dyDescent="0.2">
      <c r="A740" s="168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5"/>
    </row>
    <row r="741" spans="1:26" x14ac:dyDescent="0.2">
      <c r="A741" s="168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5"/>
    </row>
    <row r="742" spans="1:26" x14ac:dyDescent="0.2">
      <c r="A742" s="168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5"/>
    </row>
    <row r="743" spans="1:26" x14ac:dyDescent="0.2">
      <c r="A743" s="168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5"/>
    </row>
    <row r="744" spans="1:26" x14ac:dyDescent="0.2">
      <c r="A744" s="168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5"/>
    </row>
    <row r="745" spans="1:26" x14ac:dyDescent="0.2">
      <c r="A745" s="168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5"/>
    </row>
    <row r="746" spans="1:26" x14ac:dyDescent="0.2">
      <c r="A746" s="168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5"/>
    </row>
    <row r="747" spans="1:26" x14ac:dyDescent="0.2">
      <c r="A747" s="168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5"/>
    </row>
    <row r="748" spans="1:26" x14ac:dyDescent="0.2">
      <c r="A748" s="168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5"/>
    </row>
    <row r="749" spans="1:26" x14ac:dyDescent="0.2">
      <c r="A749" s="168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5"/>
    </row>
    <row r="750" spans="1:26" x14ac:dyDescent="0.2">
      <c r="A750" s="168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5"/>
    </row>
    <row r="751" spans="1:26" x14ac:dyDescent="0.2">
      <c r="A751" s="168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5"/>
    </row>
    <row r="752" spans="1:26" x14ac:dyDescent="0.2">
      <c r="A752" s="168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5"/>
    </row>
    <row r="753" spans="1:26" x14ac:dyDescent="0.2">
      <c r="A753" s="168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5"/>
    </row>
    <row r="754" spans="1:26" x14ac:dyDescent="0.2">
      <c r="A754" s="168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5"/>
    </row>
    <row r="755" spans="1:26" x14ac:dyDescent="0.2">
      <c r="A755" s="168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5"/>
    </row>
    <row r="756" spans="1:26" x14ac:dyDescent="0.2">
      <c r="A756" s="168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5"/>
    </row>
    <row r="757" spans="1:26" x14ac:dyDescent="0.2">
      <c r="A757" s="168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5"/>
    </row>
    <row r="758" spans="1:26" x14ac:dyDescent="0.2">
      <c r="A758" s="168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5"/>
    </row>
    <row r="759" spans="1:26" x14ac:dyDescent="0.2">
      <c r="A759" s="168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5"/>
    </row>
    <row r="760" spans="1:26" x14ac:dyDescent="0.2">
      <c r="A760" s="168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5"/>
    </row>
    <row r="761" spans="1:26" x14ac:dyDescent="0.2">
      <c r="A761" s="168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5"/>
    </row>
    <row r="762" spans="1:26" x14ac:dyDescent="0.2">
      <c r="A762" s="168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5"/>
    </row>
    <row r="763" spans="1:26" x14ac:dyDescent="0.2">
      <c r="A763" s="168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5"/>
    </row>
    <row r="764" spans="1:26" x14ac:dyDescent="0.2">
      <c r="A764" s="168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5"/>
    </row>
    <row r="765" spans="1:26" x14ac:dyDescent="0.2">
      <c r="A765" s="168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5"/>
    </row>
    <row r="766" spans="1:26" x14ac:dyDescent="0.2">
      <c r="A766" s="168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5"/>
    </row>
    <row r="767" spans="1:26" x14ac:dyDescent="0.2">
      <c r="A767" s="168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5"/>
    </row>
    <row r="768" spans="1:26" x14ac:dyDescent="0.2">
      <c r="A768" s="168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5"/>
    </row>
    <row r="769" spans="1:26" x14ac:dyDescent="0.2">
      <c r="A769" s="168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5"/>
    </row>
    <row r="770" spans="1:26" x14ac:dyDescent="0.2">
      <c r="A770" s="168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5"/>
    </row>
    <row r="771" spans="1:26" x14ac:dyDescent="0.2">
      <c r="A771" s="168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5"/>
    </row>
    <row r="772" spans="1:26" x14ac:dyDescent="0.2">
      <c r="A772" s="168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5"/>
    </row>
    <row r="773" spans="1:26" x14ac:dyDescent="0.2">
      <c r="A773" s="168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5"/>
    </row>
    <row r="774" spans="1:26" x14ac:dyDescent="0.2">
      <c r="A774" s="168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5"/>
    </row>
    <row r="775" spans="1:26" x14ac:dyDescent="0.2">
      <c r="A775" s="168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5"/>
    </row>
    <row r="776" spans="1:26" x14ac:dyDescent="0.2">
      <c r="A776" s="168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5"/>
    </row>
    <row r="777" spans="1:26" x14ac:dyDescent="0.2">
      <c r="A777" s="168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5"/>
    </row>
    <row r="778" spans="1:26" x14ac:dyDescent="0.2">
      <c r="A778" s="168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5"/>
    </row>
    <row r="779" spans="1:26" x14ac:dyDescent="0.2">
      <c r="A779" s="168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5"/>
    </row>
    <row r="780" spans="1:26" x14ac:dyDescent="0.2">
      <c r="A780" s="168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5"/>
    </row>
    <row r="781" spans="1:26" x14ac:dyDescent="0.2">
      <c r="A781" s="168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5"/>
    </row>
    <row r="782" spans="1:26" x14ac:dyDescent="0.2">
      <c r="A782" s="168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5"/>
    </row>
    <row r="783" spans="1:26" x14ac:dyDescent="0.2">
      <c r="A783" s="168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5"/>
    </row>
    <row r="784" spans="1:26" x14ac:dyDescent="0.2">
      <c r="A784" s="168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5"/>
    </row>
    <row r="785" spans="1:26" x14ac:dyDescent="0.2">
      <c r="A785" s="168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5"/>
    </row>
    <row r="786" spans="1:26" x14ac:dyDescent="0.2">
      <c r="A786" s="168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5"/>
    </row>
    <row r="787" spans="1:26" x14ac:dyDescent="0.2">
      <c r="A787" s="168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5"/>
    </row>
    <row r="788" spans="1:26" x14ac:dyDescent="0.2">
      <c r="A788" s="168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5"/>
    </row>
    <row r="789" spans="1:26" x14ac:dyDescent="0.2">
      <c r="A789" s="168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5"/>
    </row>
    <row r="790" spans="1:26" x14ac:dyDescent="0.2">
      <c r="A790" s="168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5"/>
    </row>
    <row r="791" spans="1:26" x14ac:dyDescent="0.2">
      <c r="A791" s="168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5"/>
    </row>
    <row r="792" spans="1:26" x14ac:dyDescent="0.2">
      <c r="A792" s="168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5"/>
    </row>
    <row r="793" spans="1:26" x14ac:dyDescent="0.2">
      <c r="A793" s="168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5"/>
    </row>
    <row r="794" spans="1:26" x14ac:dyDescent="0.2">
      <c r="A794" s="168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5"/>
    </row>
    <row r="795" spans="1:26" x14ac:dyDescent="0.2">
      <c r="A795" s="168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5"/>
    </row>
    <row r="796" spans="1:26" x14ac:dyDescent="0.2">
      <c r="A796" s="168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5"/>
    </row>
    <row r="797" spans="1:26" x14ac:dyDescent="0.2">
      <c r="A797" s="168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5"/>
    </row>
    <row r="798" spans="1:26" x14ac:dyDescent="0.2">
      <c r="A798" s="168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5"/>
    </row>
    <row r="799" spans="1:26" x14ac:dyDescent="0.2">
      <c r="A799" s="168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5"/>
    </row>
    <row r="800" spans="1:26" x14ac:dyDescent="0.2">
      <c r="A800" s="168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5"/>
    </row>
    <row r="801" spans="1:26" x14ac:dyDescent="0.2">
      <c r="A801" s="168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5"/>
    </row>
    <row r="802" spans="1:26" x14ac:dyDescent="0.2">
      <c r="A802" s="168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5"/>
    </row>
    <row r="803" spans="1:26" x14ac:dyDescent="0.2">
      <c r="A803" s="168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5"/>
    </row>
    <row r="804" spans="1:26" x14ac:dyDescent="0.2">
      <c r="A804" s="168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5"/>
    </row>
    <row r="805" spans="1:26" x14ac:dyDescent="0.2">
      <c r="A805" s="168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5"/>
    </row>
    <row r="806" spans="1:26" x14ac:dyDescent="0.2">
      <c r="A806" s="168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5"/>
    </row>
    <row r="807" spans="1:26" x14ac:dyDescent="0.2">
      <c r="A807" s="168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5"/>
    </row>
    <row r="808" spans="1:26" x14ac:dyDescent="0.2">
      <c r="A808" s="168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5"/>
    </row>
    <row r="809" spans="1:26" x14ac:dyDescent="0.2">
      <c r="A809" s="168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5"/>
    </row>
    <row r="810" spans="1:26" x14ac:dyDescent="0.2">
      <c r="A810" s="168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5"/>
    </row>
    <row r="811" spans="1:26" x14ac:dyDescent="0.2">
      <c r="A811" s="168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5"/>
    </row>
    <row r="812" spans="1:26" x14ac:dyDescent="0.2">
      <c r="A812" s="168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5"/>
    </row>
    <row r="813" spans="1:26" x14ac:dyDescent="0.2">
      <c r="A813" s="168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5"/>
    </row>
    <row r="814" spans="1:26" x14ac:dyDescent="0.2">
      <c r="A814" s="168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5"/>
    </row>
    <row r="815" spans="1:26" x14ac:dyDescent="0.2">
      <c r="A815" s="168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5"/>
    </row>
    <row r="816" spans="1:26" x14ac:dyDescent="0.2">
      <c r="A816" s="168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5"/>
    </row>
    <row r="817" spans="1:26" x14ac:dyDescent="0.2">
      <c r="A817" s="168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5"/>
    </row>
    <row r="818" spans="1:26" x14ac:dyDescent="0.2">
      <c r="A818" s="168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5"/>
    </row>
    <row r="819" spans="1:26" x14ac:dyDescent="0.2">
      <c r="A819" s="168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5"/>
    </row>
    <row r="820" spans="1:26" x14ac:dyDescent="0.2">
      <c r="A820" s="168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5"/>
    </row>
    <row r="821" spans="1:26" x14ac:dyDescent="0.2">
      <c r="A821" s="168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5"/>
    </row>
    <row r="822" spans="1:26" x14ac:dyDescent="0.2">
      <c r="A822" s="168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5"/>
    </row>
    <row r="823" spans="1:26" x14ac:dyDescent="0.2">
      <c r="A823" s="168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5"/>
    </row>
    <row r="824" spans="1:26" x14ac:dyDescent="0.2">
      <c r="A824" s="168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5"/>
    </row>
    <row r="825" spans="1:26" x14ac:dyDescent="0.2">
      <c r="A825" s="168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5"/>
    </row>
    <row r="826" spans="1:26" x14ac:dyDescent="0.2">
      <c r="A826" s="168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5"/>
    </row>
    <row r="827" spans="1:26" x14ac:dyDescent="0.2">
      <c r="A827" s="168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5"/>
    </row>
    <row r="828" spans="1:26" x14ac:dyDescent="0.2">
      <c r="A828" s="168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5"/>
    </row>
    <row r="829" spans="1:26" x14ac:dyDescent="0.2">
      <c r="A829" s="168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5"/>
    </row>
    <row r="830" spans="1:26" x14ac:dyDescent="0.2">
      <c r="A830" s="168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5"/>
    </row>
    <row r="831" spans="1:26" x14ac:dyDescent="0.2">
      <c r="A831" s="168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5"/>
    </row>
    <row r="832" spans="1:26" x14ac:dyDescent="0.2">
      <c r="A832" s="168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5"/>
    </row>
    <row r="833" spans="1:26" x14ac:dyDescent="0.2">
      <c r="A833" s="168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5"/>
    </row>
    <row r="834" spans="1:26" x14ac:dyDescent="0.2">
      <c r="A834" s="168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5"/>
    </row>
    <row r="835" spans="1:26" x14ac:dyDescent="0.2">
      <c r="A835" s="168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5"/>
    </row>
    <row r="836" spans="1:26" x14ac:dyDescent="0.2">
      <c r="A836" s="168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5"/>
    </row>
    <row r="837" spans="1:26" x14ac:dyDescent="0.2">
      <c r="A837" s="168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5"/>
    </row>
    <row r="838" spans="1:26" x14ac:dyDescent="0.2">
      <c r="A838" s="168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5"/>
    </row>
    <row r="839" spans="1:26" x14ac:dyDescent="0.2">
      <c r="A839" s="168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5"/>
    </row>
    <row r="840" spans="1:26" x14ac:dyDescent="0.2">
      <c r="A840" s="168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5"/>
    </row>
    <row r="841" spans="1:26" x14ac:dyDescent="0.2">
      <c r="A841" s="168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5"/>
    </row>
    <row r="842" spans="1:26" x14ac:dyDescent="0.2">
      <c r="A842" s="168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5"/>
    </row>
    <row r="843" spans="1:26" x14ac:dyDescent="0.2">
      <c r="A843" s="168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5"/>
    </row>
    <row r="844" spans="1:26" x14ac:dyDescent="0.2">
      <c r="A844" s="168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5"/>
    </row>
    <row r="845" spans="1:26" x14ac:dyDescent="0.2">
      <c r="A845" s="168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5"/>
    </row>
    <row r="846" spans="1:26" x14ac:dyDescent="0.2">
      <c r="A846" s="168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5"/>
    </row>
    <row r="847" spans="1:26" x14ac:dyDescent="0.2">
      <c r="A847" s="168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5"/>
    </row>
    <row r="848" spans="1:26" x14ac:dyDescent="0.2">
      <c r="A848" s="168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5"/>
    </row>
    <row r="849" spans="1:26" x14ac:dyDescent="0.2">
      <c r="A849" s="168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5"/>
    </row>
    <row r="850" spans="1:26" x14ac:dyDescent="0.2">
      <c r="A850" s="168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5"/>
    </row>
    <row r="851" spans="1:26" x14ac:dyDescent="0.2">
      <c r="A851" s="168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5"/>
    </row>
    <row r="852" spans="1:26" x14ac:dyDescent="0.2">
      <c r="A852" s="168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5"/>
    </row>
    <row r="853" spans="1:26" x14ac:dyDescent="0.2">
      <c r="A853" s="168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5"/>
    </row>
    <row r="854" spans="1:26" x14ac:dyDescent="0.2">
      <c r="A854" s="168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5"/>
    </row>
    <row r="855" spans="1:26" x14ac:dyDescent="0.2">
      <c r="A855" s="168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5"/>
    </row>
    <row r="856" spans="1:26" x14ac:dyDescent="0.2">
      <c r="A856" s="168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5"/>
    </row>
    <row r="857" spans="1:26" x14ac:dyDescent="0.2">
      <c r="A857" s="168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5"/>
    </row>
    <row r="858" spans="1:26" x14ac:dyDescent="0.2">
      <c r="A858" s="168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5"/>
    </row>
    <row r="859" spans="1:26" x14ac:dyDescent="0.2">
      <c r="A859" s="168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5"/>
    </row>
    <row r="860" spans="1:26" x14ac:dyDescent="0.2">
      <c r="A860" s="168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5"/>
    </row>
    <row r="861" spans="1:26" x14ac:dyDescent="0.2">
      <c r="A861" s="168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5"/>
    </row>
    <row r="862" spans="1:26" x14ac:dyDescent="0.2">
      <c r="A862" s="168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5"/>
    </row>
    <row r="863" spans="1:26" x14ac:dyDescent="0.2">
      <c r="A863" s="168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5"/>
    </row>
    <row r="864" spans="1:26" x14ac:dyDescent="0.2">
      <c r="A864" s="168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5"/>
    </row>
    <row r="865" spans="1:26" x14ac:dyDescent="0.2">
      <c r="A865" s="168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5"/>
    </row>
    <row r="866" spans="1:26" x14ac:dyDescent="0.2">
      <c r="A866" s="168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5"/>
    </row>
    <row r="867" spans="1:26" x14ac:dyDescent="0.2">
      <c r="A867" s="168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5"/>
    </row>
    <row r="868" spans="1:26" x14ac:dyDescent="0.2">
      <c r="A868" s="168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5"/>
    </row>
    <row r="869" spans="1:26" x14ac:dyDescent="0.2">
      <c r="A869" s="168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5"/>
    </row>
    <row r="870" spans="1:26" x14ac:dyDescent="0.2">
      <c r="A870" s="168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5"/>
    </row>
    <row r="871" spans="1:26" x14ac:dyDescent="0.2">
      <c r="A871" s="168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5"/>
    </row>
    <row r="872" spans="1:26" x14ac:dyDescent="0.2">
      <c r="A872" s="168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5"/>
    </row>
    <row r="873" spans="1:26" x14ac:dyDescent="0.2">
      <c r="A873" s="168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5"/>
    </row>
    <row r="874" spans="1:26" x14ac:dyDescent="0.2">
      <c r="A874" s="168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5"/>
    </row>
    <row r="875" spans="1:26" x14ac:dyDescent="0.2">
      <c r="A875" s="168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5"/>
    </row>
    <row r="876" spans="1:26" x14ac:dyDescent="0.2">
      <c r="A876" s="168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5"/>
    </row>
    <row r="877" spans="1:26" x14ac:dyDescent="0.2">
      <c r="A877" s="168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5"/>
    </row>
    <row r="878" spans="1:26" x14ac:dyDescent="0.2">
      <c r="A878" s="168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5"/>
    </row>
    <row r="879" spans="1:26" x14ac:dyDescent="0.2">
      <c r="A879" s="168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5"/>
    </row>
    <row r="880" spans="1:26" x14ac:dyDescent="0.2">
      <c r="A880" s="168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5"/>
    </row>
    <row r="881" spans="1:26" x14ac:dyDescent="0.2">
      <c r="A881" s="168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5"/>
    </row>
    <row r="882" spans="1:26" x14ac:dyDescent="0.2">
      <c r="A882" s="168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5"/>
    </row>
    <row r="883" spans="1:26" x14ac:dyDescent="0.2">
      <c r="A883" s="168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5"/>
    </row>
    <row r="884" spans="1:26" x14ac:dyDescent="0.2">
      <c r="A884" s="168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5"/>
    </row>
    <row r="885" spans="1:26" x14ac:dyDescent="0.2">
      <c r="A885" s="168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5"/>
    </row>
    <row r="886" spans="1:26" x14ac:dyDescent="0.2">
      <c r="A886" s="168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5"/>
    </row>
    <row r="887" spans="1:26" x14ac:dyDescent="0.2">
      <c r="A887" s="168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5"/>
    </row>
    <row r="888" spans="1:26" x14ac:dyDescent="0.2">
      <c r="A888" s="168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5"/>
    </row>
    <row r="889" spans="1:26" x14ac:dyDescent="0.2">
      <c r="A889" s="168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5"/>
    </row>
    <row r="890" spans="1:26" x14ac:dyDescent="0.2">
      <c r="A890" s="168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5"/>
    </row>
    <row r="891" spans="1:26" x14ac:dyDescent="0.2">
      <c r="A891" s="168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5"/>
    </row>
    <row r="892" spans="1:26" x14ac:dyDescent="0.2">
      <c r="A892" s="168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5"/>
    </row>
    <row r="893" spans="1:26" x14ac:dyDescent="0.2">
      <c r="A893" s="168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5"/>
    </row>
    <row r="894" spans="1:26" x14ac:dyDescent="0.2">
      <c r="A894" s="168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5"/>
    </row>
    <row r="895" spans="1:26" x14ac:dyDescent="0.2">
      <c r="A895" s="168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5"/>
    </row>
    <row r="896" spans="1:26" x14ac:dyDescent="0.2">
      <c r="A896" s="168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5"/>
    </row>
    <row r="897" spans="1:26" x14ac:dyDescent="0.2">
      <c r="A897" s="168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5"/>
    </row>
    <row r="898" spans="1:26" x14ac:dyDescent="0.2">
      <c r="A898" s="168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5"/>
    </row>
    <row r="899" spans="1:26" x14ac:dyDescent="0.2">
      <c r="A899" s="168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5"/>
    </row>
    <row r="900" spans="1:26" x14ac:dyDescent="0.2">
      <c r="A900" s="168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5"/>
    </row>
    <row r="901" spans="1:26" x14ac:dyDescent="0.2">
      <c r="A901" s="168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5"/>
    </row>
    <row r="902" spans="1:26" x14ac:dyDescent="0.2">
      <c r="A902" s="168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5"/>
    </row>
    <row r="903" spans="1:26" x14ac:dyDescent="0.2">
      <c r="A903" s="168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5"/>
    </row>
    <row r="904" spans="1:26" x14ac:dyDescent="0.2">
      <c r="A904" s="168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5"/>
    </row>
    <row r="905" spans="1:26" x14ac:dyDescent="0.2">
      <c r="A905" s="168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5"/>
    </row>
    <row r="906" spans="1:26" x14ac:dyDescent="0.2">
      <c r="A906" s="168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5"/>
    </row>
    <row r="907" spans="1:26" x14ac:dyDescent="0.2">
      <c r="A907" s="168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5"/>
    </row>
    <row r="908" spans="1:26" x14ac:dyDescent="0.2">
      <c r="A908" s="168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5"/>
    </row>
    <row r="909" spans="1:26" x14ac:dyDescent="0.2">
      <c r="A909" s="168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5"/>
    </row>
    <row r="910" spans="1:26" x14ac:dyDescent="0.2">
      <c r="A910" s="168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5"/>
    </row>
    <row r="911" spans="1:26" x14ac:dyDescent="0.2">
      <c r="A911" s="168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5"/>
    </row>
    <row r="912" spans="1:26" x14ac:dyDescent="0.2">
      <c r="A912" s="168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5"/>
    </row>
    <row r="913" spans="1:26" x14ac:dyDescent="0.2">
      <c r="A913" s="168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5"/>
    </row>
    <row r="914" spans="1:26" x14ac:dyDescent="0.2">
      <c r="A914" s="168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5"/>
    </row>
    <row r="915" spans="1:26" x14ac:dyDescent="0.2">
      <c r="A915" s="168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5"/>
    </row>
    <row r="916" spans="1:26" x14ac:dyDescent="0.2">
      <c r="A916" s="168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5"/>
    </row>
    <row r="917" spans="1:26" x14ac:dyDescent="0.2">
      <c r="A917" s="168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5"/>
    </row>
    <row r="918" spans="1:26" x14ac:dyDescent="0.2">
      <c r="A918" s="168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5"/>
    </row>
    <row r="919" spans="1:26" x14ac:dyDescent="0.2">
      <c r="A919" s="168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5"/>
    </row>
    <row r="920" spans="1:26" x14ac:dyDescent="0.2">
      <c r="A920" s="168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5"/>
    </row>
    <row r="921" spans="1:26" x14ac:dyDescent="0.2">
      <c r="A921" s="168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5"/>
    </row>
    <row r="922" spans="1:26" x14ac:dyDescent="0.2">
      <c r="A922" s="168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5"/>
    </row>
    <row r="923" spans="1:26" x14ac:dyDescent="0.2">
      <c r="A923" s="168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5"/>
    </row>
    <row r="924" spans="1:26" x14ac:dyDescent="0.2">
      <c r="A924" s="168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5"/>
    </row>
    <row r="925" spans="1:26" x14ac:dyDescent="0.2">
      <c r="A925" s="168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5"/>
    </row>
    <row r="926" spans="1:26" x14ac:dyDescent="0.2">
      <c r="A926" s="168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5"/>
    </row>
    <row r="927" spans="1:26" x14ac:dyDescent="0.2">
      <c r="A927" s="168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5"/>
    </row>
    <row r="928" spans="1:26" x14ac:dyDescent="0.2">
      <c r="A928" s="168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5"/>
    </row>
    <row r="929" spans="1:26" x14ac:dyDescent="0.2">
      <c r="A929" s="168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5"/>
    </row>
    <row r="930" spans="1:26" x14ac:dyDescent="0.2">
      <c r="A930" s="168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5"/>
    </row>
    <row r="931" spans="1:26" x14ac:dyDescent="0.2">
      <c r="A931" s="168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5"/>
    </row>
    <row r="932" spans="1:26" x14ac:dyDescent="0.2">
      <c r="A932" s="168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5"/>
    </row>
    <row r="933" spans="1:26" x14ac:dyDescent="0.2">
      <c r="A933" s="168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5"/>
    </row>
    <row r="934" spans="1:26" x14ac:dyDescent="0.2">
      <c r="A934" s="168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5"/>
    </row>
    <row r="935" spans="1:26" x14ac:dyDescent="0.2">
      <c r="A935" s="168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5"/>
    </row>
    <row r="936" spans="1:26" x14ac:dyDescent="0.2">
      <c r="A936" s="168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5"/>
    </row>
    <row r="937" spans="1:26" x14ac:dyDescent="0.2">
      <c r="A937" s="168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5"/>
    </row>
    <row r="938" spans="1:26" x14ac:dyDescent="0.2">
      <c r="A938" s="168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5"/>
    </row>
    <row r="939" spans="1:26" x14ac:dyDescent="0.2">
      <c r="A939" s="168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5"/>
    </row>
    <row r="940" spans="1:26" x14ac:dyDescent="0.2">
      <c r="A940" s="168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5"/>
    </row>
    <row r="941" spans="1:26" x14ac:dyDescent="0.2">
      <c r="A941" s="168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5"/>
    </row>
    <row r="942" spans="1:26" x14ac:dyDescent="0.2">
      <c r="A942" s="168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5"/>
    </row>
    <row r="943" spans="1:26" x14ac:dyDescent="0.2">
      <c r="A943" s="168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5"/>
    </row>
    <row r="944" spans="1:26" x14ac:dyDescent="0.2">
      <c r="A944" s="168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5"/>
    </row>
    <row r="945" spans="1:26" x14ac:dyDescent="0.2">
      <c r="A945" s="168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5"/>
    </row>
    <row r="946" spans="1:26" x14ac:dyDescent="0.2">
      <c r="A946" s="168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5"/>
    </row>
    <row r="947" spans="1:26" x14ac:dyDescent="0.2">
      <c r="A947" s="168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5"/>
    </row>
    <row r="948" spans="1:26" x14ac:dyDescent="0.2">
      <c r="A948" s="168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5"/>
    </row>
    <row r="949" spans="1:26" x14ac:dyDescent="0.2">
      <c r="A949" s="168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5"/>
    </row>
    <row r="950" spans="1:26" x14ac:dyDescent="0.2">
      <c r="A950" s="168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5"/>
    </row>
    <row r="951" spans="1:26" x14ac:dyDescent="0.2">
      <c r="A951" s="168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5"/>
    </row>
    <row r="952" spans="1:26" x14ac:dyDescent="0.2">
      <c r="A952" s="168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5"/>
    </row>
    <row r="953" spans="1:26" x14ac:dyDescent="0.2">
      <c r="A953" s="168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5"/>
    </row>
    <row r="954" spans="1:26" x14ac:dyDescent="0.2">
      <c r="A954" s="168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5"/>
    </row>
    <row r="955" spans="1:26" x14ac:dyDescent="0.2">
      <c r="A955" s="168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5"/>
    </row>
    <row r="956" spans="1:26" x14ac:dyDescent="0.2">
      <c r="A956" s="168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5"/>
    </row>
    <row r="957" spans="1:26" x14ac:dyDescent="0.2">
      <c r="A957" s="168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5"/>
    </row>
    <row r="958" spans="1:26" x14ac:dyDescent="0.2">
      <c r="A958" s="168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5"/>
    </row>
    <row r="959" spans="1:26" x14ac:dyDescent="0.2">
      <c r="A959" s="168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5"/>
    </row>
    <row r="960" spans="1:26" x14ac:dyDescent="0.2">
      <c r="A960" s="168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5"/>
    </row>
    <row r="961" spans="1:26" x14ac:dyDescent="0.2">
      <c r="A961" s="168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5"/>
    </row>
    <row r="962" spans="1:26" x14ac:dyDescent="0.2">
      <c r="A962" s="168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5"/>
    </row>
    <row r="963" spans="1:26" x14ac:dyDescent="0.2">
      <c r="A963" s="168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5"/>
    </row>
    <row r="964" spans="1:26" x14ac:dyDescent="0.2">
      <c r="A964" s="168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5"/>
    </row>
    <row r="965" spans="1:26" x14ac:dyDescent="0.2">
      <c r="A965" s="168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5"/>
    </row>
    <row r="966" spans="1:26" x14ac:dyDescent="0.2">
      <c r="A966" s="168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5"/>
    </row>
    <row r="967" spans="1:26" x14ac:dyDescent="0.2">
      <c r="A967" s="168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5"/>
    </row>
    <row r="968" spans="1:26" x14ac:dyDescent="0.2">
      <c r="A968" s="168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5"/>
    </row>
    <row r="969" spans="1:26" x14ac:dyDescent="0.2">
      <c r="A969" s="168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5"/>
    </row>
    <row r="970" spans="1:26" x14ac:dyDescent="0.2">
      <c r="A970" s="168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5"/>
    </row>
    <row r="971" spans="1:26" x14ac:dyDescent="0.2">
      <c r="A971" s="168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5"/>
    </row>
    <row r="972" spans="1:26" x14ac:dyDescent="0.2">
      <c r="A972" s="168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5"/>
    </row>
    <row r="973" spans="1:26" x14ac:dyDescent="0.2">
      <c r="A973" s="168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5"/>
    </row>
    <row r="974" spans="1:26" x14ac:dyDescent="0.2">
      <c r="A974" s="168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5"/>
    </row>
    <row r="975" spans="1:26" x14ac:dyDescent="0.2">
      <c r="A975" s="168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5"/>
    </row>
    <row r="976" spans="1:26" x14ac:dyDescent="0.2">
      <c r="A976" s="168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5"/>
    </row>
    <row r="977" spans="1:26" x14ac:dyDescent="0.2">
      <c r="A977" s="168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5"/>
    </row>
    <row r="978" spans="1:26" x14ac:dyDescent="0.2">
      <c r="A978" s="168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5"/>
    </row>
    <row r="979" spans="1:26" x14ac:dyDescent="0.2">
      <c r="A979" s="168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5"/>
    </row>
    <row r="980" spans="1:26" x14ac:dyDescent="0.2">
      <c r="A980" s="168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5"/>
    </row>
    <row r="981" spans="1:26" x14ac:dyDescent="0.2">
      <c r="A981" s="168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5"/>
    </row>
    <row r="982" spans="1:26" x14ac:dyDescent="0.2">
      <c r="A982" s="168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5"/>
    </row>
    <row r="983" spans="1:26" x14ac:dyDescent="0.2">
      <c r="A983" s="168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5"/>
    </row>
    <row r="984" spans="1:26" x14ac:dyDescent="0.2">
      <c r="A984" s="168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5"/>
    </row>
    <row r="985" spans="1:26" x14ac:dyDescent="0.2">
      <c r="A985" s="168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5"/>
    </row>
    <row r="986" spans="1:26" x14ac:dyDescent="0.2">
      <c r="A986" s="168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5"/>
    </row>
    <row r="987" spans="1:26" x14ac:dyDescent="0.2">
      <c r="A987" s="168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5"/>
    </row>
    <row r="988" spans="1:26" x14ac:dyDescent="0.2">
      <c r="A988" s="168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5"/>
    </row>
    <row r="989" spans="1:26" x14ac:dyDescent="0.2">
      <c r="A989" s="168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5"/>
    </row>
    <row r="990" spans="1:26" x14ac:dyDescent="0.2">
      <c r="A990" s="168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5"/>
    </row>
    <row r="991" spans="1:26" x14ac:dyDescent="0.2">
      <c r="A991" s="168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5"/>
    </row>
    <row r="992" spans="1:26" x14ac:dyDescent="0.2">
      <c r="A992" s="168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5"/>
    </row>
    <row r="993" spans="1:26" x14ac:dyDescent="0.2">
      <c r="A993" s="168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5"/>
    </row>
    <row r="994" spans="1:26" x14ac:dyDescent="0.2">
      <c r="A994" s="168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5"/>
    </row>
    <row r="995" spans="1:26" x14ac:dyDescent="0.2">
      <c r="A995" s="168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5"/>
    </row>
    <row r="996" spans="1:26" x14ac:dyDescent="0.2">
      <c r="A996" s="168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5"/>
    </row>
    <row r="997" spans="1:26" x14ac:dyDescent="0.2">
      <c r="A997" s="168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5"/>
    </row>
    <row r="998" spans="1:26" x14ac:dyDescent="0.2">
      <c r="A998" s="168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5"/>
    </row>
    <row r="999" spans="1:26" x14ac:dyDescent="0.2">
      <c r="A999" s="168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5"/>
    </row>
    <row r="1000" spans="1:26" x14ac:dyDescent="0.2">
      <c r="A1000" s="188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75"/>
    </row>
  </sheetData>
  <mergeCells count="2">
    <mergeCell ref="B1:Q1"/>
    <mergeCell ref="B30:C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E842-1ABF-421E-B1A6-0DB484DEB957}">
  <dimension ref="A1:Z1001"/>
  <sheetViews>
    <sheetView topLeftCell="B8" workbookViewId="0">
      <selection activeCell="B30" sqref="B30"/>
    </sheetView>
  </sheetViews>
  <sheetFormatPr baseColWidth="10" defaultColWidth="9.1640625" defaultRowHeight="12" x14ac:dyDescent="0.15"/>
  <cols>
    <col min="1" max="1" width="9.1640625" style="17"/>
    <col min="2" max="2" width="45.83203125" style="17" customWidth="1"/>
    <col min="3" max="3" width="21.5" style="17" customWidth="1"/>
    <col min="4" max="6" width="14.33203125" style="17" bestFit="1" customWidth="1"/>
    <col min="7" max="7" width="15.6640625" style="17" bestFit="1" customWidth="1"/>
    <col min="8" max="8" width="17.33203125" style="17" customWidth="1"/>
    <col min="9" max="9" width="19" style="17" customWidth="1"/>
    <col min="10" max="10" width="18.33203125" style="17" customWidth="1"/>
    <col min="11" max="12" width="18.5" style="17" customWidth="1"/>
    <col min="13" max="15" width="18.1640625" style="17" customWidth="1"/>
    <col min="16" max="17" width="18.33203125" style="17" customWidth="1"/>
    <col min="18" max="18" width="18.5" style="17" customWidth="1"/>
    <col min="19" max="16384" width="9.1640625" style="17"/>
  </cols>
  <sheetData>
    <row r="1" spans="1:26" x14ac:dyDescent="0.15">
      <c r="A1" s="13"/>
      <c r="B1" s="248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50"/>
      <c r="R1" s="14"/>
      <c r="S1" s="15"/>
      <c r="T1" s="15"/>
      <c r="U1" s="15"/>
      <c r="V1" s="15"/>
      <c r="W1" s="15"/>
      <c r="X1" s="15"/>
      <c r="Y1" s="15"/>
      <c r="Z1" s="16"/>
    </row>
    <row r="2" spans="1:26" x14ac:dyDescent="0.15">
      <c r="A2" s="18"/>
      <c r="B2" s="19"/>
      <c r="C2" s="20">
        <v>0</v>
      </c>
      <c r="D2" s="20">
        <v>1</v>
      </c>
      <c r="E2" s="20">
        <v>2</v>
      </c>
      <c r="F2" s="20">
        <v>3</v>
      </c>
      <c r="G2" s="20">
        <v>4</v>
      </c>
      <c r="H2" s="20">
        <v>5</v>
      </c>
      <c r="I2" s="20">
        <v>6</v>
      </c>
      <c r="J2" s="20">
        <v>7</v>
      </c>
      <c r="K2" s="20">
        <v>8</v>
      </c>
      <c r="L2" s="20">
        <v>9</v>
      </c>
      <c r="M2" s="20">
        <v>10</v>
      </c>
      <c r="N2" s="20">
        <v>11</v>
      </c>
      <c r="O2" s="20">
        <v>12</v>
      </c>
      <c r="P2" s="20">
        <v>13</v>
      </c>
      <c r="Q2" s="20">
        <v>14</v>
      </c>
      <c r="R2" s="20">
        <v>15</v>
      </c>
      <c r="S2" s="21"/>
      <c r="T2" s="21"/>
      <c r="U2" s="21"/>
      <c r="V2" s="21"/>
      <c r="W2" s="21"/>
      <c r="X2" s="21"/>
      <c r="Y2" s="21"/>
      <c r="Z2" s="22"/>
    </row>
    <row r="3" spans="1:26" x14ac:dyDescent="0.15">
      <c r="A3" s="18"/>
      <c r="B3" s="23"/>
      <c r="C3" s="24">
        <v>45658</v>
      </c>
      <c r="D3" s="20">
        <v>2025</v>
      </c>
      <c r="E3" s="20">
        <v>2026</v>
      </c>
      <c r="F3" s="20">
        <v>2027</v>
      </c>
      <c r="G3" s="20">
        <v>2028</v>
      </c>
      <c r="H3" s="20">
        <v>2029</v>
      </c>
      <c r="I3" s="20">
        <v>2030</v>
      </c>
      <c r="J3" s="20">
        <v>2031</v>
      </c>
      <c r="K3" s="20">
        <v>2032</v>
      </c>
      <c r="L3" s="20">
        <v>2033</v>
      </c>
      <c r="M3" s="20">
        <v>2034</v>
      </c>
      <c r="N3" s="20">
        <v>2035</v>
      </c>
      <c r="O3" s="20">
        <v>2036</v>
      </c>
      <c r="P3" s="20">
        <v>2037</v>
      </c>
      <c r="Q3" s="20">
        <v>2038</v>
      </c>
      <c r="R3" s="20">
        <v>2039</v>
      </c>
      <c r="S3" s="21"/>
      <c r="T3" s="21"/>
      <c r="U3" s="21"/>
      <c r="V3" s="21"/>
      <c r="W3" s="21"/>
      <c r="X3" s="21"/>
      <c r="Y3" s="21"/>
      <c r="Z3" s="22"/>
    </row>
    <row r="4" spans="1:26" x14ac:dyDescent="0.15">
      <c r="A4" s="18"/>
      <c r="B4" s="25"/>
      <c r="C4" s="49"/>
      <c r="D4" s="39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106"/>
      <c r="S4" s="51"/>
      <c r="T4" s="21"/>
      <c r="U4" s="21"/>
      <c r="V4" s="21"/>
      <c r="W4" s="21"/>
      <c r="X4" s="21"/>
      <c r="Y4" s="21"/>
      <c r="Z4" s="22"/>
    </row>
    <row r="5" spans="1:26" x14ac:dyDescent="0.15">
      <c r="A5" s="18"/>
      <c r="B5" s="25" t="s">
        <v>0</v>
      </c>
      <c r="C5" s="199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f>C33</f>
        <v>10000</v>
      </c>
      <c r="J5" s="21">
        <f t="shared" ref="J5:R5" si="0">I5*(1+$C$34)</f>
        <v>12000</v>
      </c>
      <c r="K5" s="21">
        <f t="shared" si="0"/>
        <v>14400</v>
      </c>
      <c r="L5" s="21">
        <f t="shared" si="0"/>
        <v>17280</v>
      </c>
      <c r="M5" s="21">
        <f t="shared" si="0"/>
        <v>20736</v>
      </c>
      <c r="N5" s="21">
        <f t="shared" si="0"/>
        <v>24883.200000000001</v>
      </c>
      <c r="O5" s="21">
        <f t="shared" si="0"/>
        <v>29859.84</v>
      </c>
      <c r="P5" s="21">
        <f t="shared" si="0"/>
        <v>35831.807999999997</v>
      </c>
      <c r="Q5" s="21">
        <f t="shared" si="0"/>
        <v>42998.169599999994</v>
      </c>
      <c r="R5" s="200">
        <f t="shared" si="0"/>
        <v>51597.803519999994</v>
      </c>
      <c r="S5" s="51"/>
      <c r="T5" s="21"/>
      <c r="U5" s="21"/>
      <c r="V5" s="21"/>
      <c r="W5" s="21"/>
      <c r="X5" s="21"/>
      <c r="Y5" s="21"/>
      <c r="Z5" s="22"/>
    </row>
    <row r="6" spans="1:26" x14ac:dyDescent="0.15">
      <c r="A6" s="18"/>
      <c r="B6" s="25"/>
      <c r="C6" s="49"/>
      <c r="D6" s="39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98"/>
      <c r="S6" s="51"/>
      <c r="T6" s="21"/>
      <c r="U6" s="21"/>
      <c r="V6" s="21"/>
      <c r="W6" s="21"/>
      <c r="X6" s="21"/>
      <c r="Y6" s="21"/>
      <c r="Z6" s="22"/>
    </row>
    <row r="7" spans="1:26" x14ac:dyDescent="0.15">
      <c r="A7" s="18"/>
      <c r="B7" s="25" t="s">
        <v>1</v>
      </c>
      <c r="C7" s="49">
        <v>0</v>
      </c>
      <c r="D7" s="39">
        <v>0</v>
      </c>
      <c r="E7" s="27">
        <v>0</v>
      </c>
      <c r="F7" s="27">
        <v>0</v>
      </c>
      <c r="G7" s="27">
        <v>0</v>
      </c>
      <c r="H7" s="27">
        <v>0</v>
      </c>
      <c r="I7" s="27">
        <f t="shared" ref="I7:R7" si="1">I5*($C$35)</f>
        <v>1500000000</v>
      </c>
      <c r="J7" s="27">
        <f t="shared" si="1"/>
        <v>1800000000</v>
      </c>
      <c r="K7" s="27">
        <f t="shared" si="1"/>
        <v>2160000000</v>
      </c>
      <c r="L7" s="27">
        <f t="shared" si="1"/>
        <v>2592000000</v>
      </c>
      <c r="M7" s="27">
        <f t="shared" si="1"/>
        <v>3110400000</v>
      </c>
      <c r="N7" s="27">
        <f t="shared" si="1"/>
        <v>3732480000</v>
      </c>
      <c r="O7" s="27">
        <f t="shared" si="1"/>
        <v>4478976000</v>
      </c>
      <c r="P7" s="27">
        <f t="shared" si="1"/>
        <v>5374771200</v>
      </c>
      <c r="Q7" s="27">
        <f t="shared" si="1"/>
        <v>6449725439.999999</v>
      </c>
      <c r="R7" s="98">
        <f t="shared" si="1"/>
        <v>7739670527.999999</v>
      </c>
      <c r="S7" s="51"/>
      <c r="T7" s="21"/>
      <c r="U7" s="21"/>
      <c r="V7" s="21"/>
      <c r="W7" s="21"/>
      <c r="X7" s="21"/>
      <c r="Y7" s="21"/>
      <c r="Z7" s="22"/>
    </row>
    <row r="8" spans="1:26" x14ac:dyDescent="0.15">
      <c r="A8" s="18"/>
      <c r="B8" s="25"/>
      <c r="C8" s="49"/>
      <c r="D8" s="39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98"/>
      <c r="S8" s="51"/>
      <c r="T8" s="21"/>
      <c r="U8" s="21"/>
      <c r="V8" s="21"/>
      <c r="W8" s="21"/>
      <c r="X8" s="21"/>
      <c r="Y8" s="21"/>
      <c r="Z8" s="22"/>
    </row>
    <row r="9" spans="1:26" x14ac:dyDescent="0.15">
      <c r="A9" s="18"/>
      <c r="B9" s="25" t="s">
        <v>2</v>
      </c>
      <c r="C9" s="49">
        <v>0</v>
      </c>
      <c r="D9" s="39">
        <v>0</v>
      </c>
      <c r="E9" s="27">
        <v>0</v>
      </c>
      <c r="F9" s="27">
        <v>0</v>
      </c>
      <c r="G9" s="27">
        <v>0</v>
      </c>
      <c r="H9" s="27">
        <v>0</v>
      </c>
      <c r="I9" s="27">
        <f>I5*(I36)</f>
        <v>800000000</v>
      </c>
      <c r="J9" s="27">
        <f t="shared" ref="J9:R9" si="2">J5*(J36)</f>
        <v>960000000</v>
      </c>
      <c r="K9" s="27">
        <f t="shared" si="2"/>
        <v>1152000000</v>
      </c>
      <c r="L9" s="27">
        <f t="shared" si="2"/>
        <v>1382400000</v>
      </c>
      <c r="M9" s="27">
        <f t="shared" si="2"/>
        <v>1617408000</v>
      </c>
      <c r="N9" s="27">
        <f t="shared" si="2"/>
        <v>1940889600</v>
      </c>
      <c r="O9" s="27">
        <f t="shared" si="2"/>
        <v>2269347840</v>
      </c>
      <c r="P9" s="27">
        <f t="shared" si="2"/>
        <v>2723217408</v>
      </c>
      <c r="Q9" s="27">
        <f t="shared" si="2"/>
        <v>3224862719.9999995</v>
      </c>
      <c r="R9" s="98">
        <f t="shared" si="2"/>
        <v>3818237460.4799995</v>
      </c>
      <c r="S9" s="51"/>
      <c r="T9" s="21"/>
      <c r="U9" s="21"/>
      <c r="V9" s="21"/>
      <c r="W9" s="21"/>
      <c r="X9" s="21"/>
      <c r="Y9" s="21"/>
      <c r="Z9" s="22"/>
    </row>
    <row r="10" spans="1:26" x14ac:dyDescent="0.15">
      <c r="A10" s="18"/>
      <c r="B10" s="133" t="s">
        <v>3</v>
      </c>
      <c r="C10" s="123">
        <v>0</v>
      </c>
      <c r="D10" s="61">
        <v>0</v>
      </c>
      <c r="E10" s="27">
        <v>0</v>
      </c>
      <c r="F10" s="27">
        <v>0</v>
      </c>
      <c r="G10" s="27">
        <v>0</v>
      </c>
      <c r="H10" s="27">
        <v>0</v>
      </c>
      <c r="I10" s="27">
        <f>I5*$C$37</f>
        <v>10000000</v>
      </c>
      <c r="J10" s="27">
        <f t="shared" ref="J10:R10" si="3">J5*$C$37</f>
        <v>12000000</v>
      </c>
      <c r="K10" s="27">
        <f t="shared" si="3"/>
        <v>14400000</v>
      </c>
      <c r="L10" s="27">
        <f t="shared" si="3"/>
        <v>17280000</v>
      </c>
      <c r="M10" s="27">
        <f t="shared" si="3"/>
        <v>20736000</v>
      </c>
      <c r="N10" s="27">
        <f t="shared" si="3"/>
        <v>24883200</v>
      </c>
      <c r="O10" s="27">
        <f t="shared" si="3"/>
        <v>29859840</v>
      </c>
      <c r="P10" s="27">
        <f t="shared" si="3"/>
        <v>35831808</v>
      </c>
      <c r="Q10" s="27">
        <f t="shared" si="3"/>
        <v>42998169.599999994</v>
      </c>
      <c r="R10" s="98">
        <f t="shared" si="3"/>
        <v>51597803.519999996</v>
      </c>
      <c r="S10" s="51"/>
      <c r="T10" s="21"/>
      <c r="U10" s="21"/>
      <c r="V10" s="21"/>
      <c r="W10" s="21"/>
      <c r="X10" s="21"/>
      <c r="Y10" s="21"/>
      <c r="Z10" s="22"/>
    </row>
    <row r="11" spans="1:26" x14ac:dyDescent="0.15">
      <c r="A11" s="18"/>
      <c r="B11" s="133" t="s">
        <v>4</v>
      </c>
      <c r="C11" s="123">
        <v>0</v>
      </c>
      <c r="D11" s="62">
        <v>0</v>
      </c>
      <c r="E11" s="107">
        <v>0</v>
      </c>
      <c r="F11" s="107">
        <v>0</v>
      </c>
      <c r="G11" s="107">
        <v>0</v>
      </c>
      <c r="H11" s="107">
        <v>0</v>
      </c>
      <c r="I11" s="107">
        <f t="shared" ref="I11:R11" si="4">I9+I10</f>
        <v>810000000</v>
      </c>
      <c r="J11" s="107">
        <f t="shared" si="4"/>
        <v>972000000</v>
      </c>
      <c r="K11" s="107">
        <f t="shared" si="4"/>
        <v>1166400000</v>
      </c>
      <c r="L11" s="107">
        <f t="shared" si="4"/>
        <v>1399680000</v>
      </c>
      <c r="M11" s="107">
        <f t="shared" si="4"/>
        <v>1638144000</v>
      </c>
      <c r="N11" s="107">
        <f t="shared" si="4"/>
        <v>1965772800</v>
      </c>
      <c r="O11" s="107">
        <f t="shared" si="4"/>
        <v>2299207680</v>
      </c>
      <c r="P11" s="107">
        <f t="shared" si="4"/>
        <v>2759049216</v>
      </c>
      <c r="Q11" s="107">
        <f t="shared" si="4"/>
        <v>3267860889.5999994</v>
      </c>
      <c r="R11" s="108">
        <f t="shared" si="4"/>
        <v>3869835263.9999995</v>
      </c>
      <c r="S11" s="51"/>
      <c r="T11" s="21"/>
      <c r="U11" s="21"/>
      <c r="V11" s="21"/>
      <c r="W11" s="21"/>
      <c r="X11" s="21"/>
      <c r="Y11" s="21"/>
      <c r="Z11" s="22"/>
    </row>
    <row r="12" spans="1:26" x14ac:dyDescent="0.15">
      <c r="A12" s="18"/>
      <c r="B12" s="133"/>
      <c r="C12" s="123"/>
      <c r="D12" s="63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98"/>
      <c r="S12" s="51"/>
      <c r="T12" s="21"/>
      <c r="U12" s="21"/>
      <c r="V12" s="21"/>
      <c r="W12" s="21"/>
      <c r="X12" s="21"/>
      <c r="Y12" s="21"/>
      <c r="Z12" s="22"/>
    </row>
    <row r="13" spans="1:26" x14ac:dyDescent="0.15">
      <c r="A13" s="18"/>
      <c r="B13" s="134" t="s">
        <v>5</v>
      </c>
      <c r="C13" s="124">
        <v>0</v>
      </c>
      <c r="D13" s="121">
        <v>0</v>
      </c>
      <c r="E13" s="109">
        <v>0</v>
      </c>
      <c r="F13" s="109">
        <v>0</v>
      </c>
      <c r="G13" s="109">
        <v>0</v>
      </c>
      <c r="H13" s="109">
        <v>0</v>
      </c>
      <c r="I13" s="103">
        <f>I7-I11</f>
        <v>690000000</v>
      </c>
      <c r="J13" s="109">
        <f t="shared" ref="J13:R13" si="5">J7-J11</f>
        <v>828000000</v>
      </c>
      <c r="K13" s="109">
        <f t="shared" si="5"/>
        <v>993600000</v>
      </c>
      <c r="L13" s="109">
        <f t="shared" si="5"/>
        <v>1192320000</v>
      </c>
      <c r="M13" s="109">
        <f t="shared" si="5"/>
        <v>1472256000</v>
      </c>
      <c r="N13" s="109">
        <f t="shared" si="5"/>
        <v>1766707200</v>
      </c>
      <c r="O13" s="109">
        <f t="shared" si="5"/>
        <v>2179768320</v>
      </c>
      <c r="P13" s="109">
        <f t="shared" si="5"/>
        <v>2615721984</v>
      </c>
      <c r="Q13" s="103">
        <f t="shared" si="5"/>
        <v>3181864550.3999996</v>
      </c>
      <c r="R13" s="110">
        <f t="shared" si="5"/>
        <v>3869835263.9999995</v>
      </c>
      <c r="S13" s="51"/>
      <c r="T13" s="21"/>
      <c r="U13" s="21"/>
      <c r="V13" s="21"/>
      <c r="W13" s="21"/>
      <c r="X13" s="21"/>
      <c r="Y13" s="21"/>
      <c r="Z13" s="22"/>
    </row>
    <row r="14" spans="1:26" x14ac:dyDescent="0.15">
      <c r="A14" s="18"/>
      <c r="B14" s="133"/>
      <c r="C14" s="125"/>
      <c r="D14" s="66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10"/>
      <c r="S14" s="51"/>
      <c r="T14" s="21"/>
      <c r="U14" s="21"/>
      <c r="V14" s="21"/>
      <c r="W14" s="21"/>
      <c r="X14" s="21"/>
      <c r="Y14" s="21"/>
      <c r="Z14" s="22"/>
    </row>
    <row r="15" spans="1:26" x14ac:dyDescent="0.15">
      <c r="A15" s="18"/>
      <c r="B15" s="133" t="s">
        <v>6</v>
      </c>
      <c r="C15" s="125">
        <v>0</v>
      </c>
      <c r="D15" s="66">
        <v>160000000</v>
      </c>
      <c r="E15" s="103">
        <f t="shared" ref="E15:R15" si="6">D15*(1+$C$39)</f>
        <v>168000000</v>
      </c>
      <c r="F15" s="103">
        <f t="shared" si="6"/>
        <v>176400000</v>
      </c>
      <c r="G15" s="103">
        <f t="shared" si="6"/>
        <v>185220000</v>
      </c>
      <c r="H15" s="103">
        <f t="shared" si="6"/>
        <v>194481000</v>
      </c>
      <c r="I15" s="103">
        <f t="shared" si="6"/>
        <v>204205050</v>
      </c>
      <c r="J15" s="103">
        <f t="shared" si="6"/>
        <v>214415302.5</v>
      </c>
      <c r="K15" s="103">
        <f t="shared" si="6"/>
        <v>225136067.625</v>
      </c>
      <c r="L15" s="103">
        <f t="shared" si="6"/>
        <v>236392871.00625002</v>
      </c>
      <c r="M15" s="103">
        <f t="shared" si="6"/>
        <v>248212514.55656254</v>
      </c>
      <c r="N15" s="103">
        <f t="shared" si="6"/>
        <v>260623140.28439069</v>
      </c>
      <c r="O15" s="103">
        <f t="shared" si="6"/>
        <v>273654297.29861021</v>
      </c>
      <c r="P15" s="103">
        <f t="shared" si="6"/>
        <v>287337012.16354072</v>
      </c>
      <c r="Q15" s="103">
        <f t="shared" si="6"/>
        <v>301703862.77171779</v>
      </c>
      <c r="R15" s="110">
        <f t="shared" si="6"/>
        <v>316789055.91030371</v>
      </c>
      <c r="S15" s="51"/>
      <c r="T15" s="21"/>
      <c r="U15" s="21"/>
      <c r="V15" s="21"/>
      <c r="W15" s="21"/>
      <c r="X15" s="21"/>
      <c r="Y15" s="21"/>
      <c r="Z15" s="22"/>
    </row>
    <row r="16" spans="1:26" x14ac:dyDescent="0.15">
      <c r="A16" s="18"/>
      <c r="B16" s="133" t="s">
        <v>7</v>
      </c>
      <c r="C16" s="126">
        <v>0</v>
      </c>
      <c r="D16" s="238">
        <f>$C$41</f>
        <v>200000000</v>
      </c>
      <c r="E16" s="238">
        <f t="shared" ref="E16:R16" si="7">$C$41</f>
        <v>200000000</v>
      </c>
      <c r="F16" s="238">
        <f t="shared" si="7"/>
        <v>200000000</v>
      </c>
      <c r="G16" s="238">
        <f t="shared" si="7"/>
        <v>200000000</v>
      </c>
      <c r="H16" s="238">
        <f t="shared" si="7"/>
        <v>200000000</v>
      </c>
      <c r="I16" s="238">
        <f t="shared" si="7"/>
        <v>200000000</v>
      </c>
      <c r="J16" s="238">
        <f t="shared" si="7"/>
        <v>200000000</v>
      </c>
      <c r="K16" s="238">
        <f t="shared" si="7"/>
        <v>200000000</v>
      </c>
      <c r="L16" s="238">
        <f t="shared" si="7"/>
        <v>200000000</v>
      </c>
      <c r="M16" s="238">
        <f t="shared" si="7"/>
        <v>200000000</v>
      </c>
      <c r="N16" s="238">
        <f t="shared" si="7"/>
        <v>200000000</v>
      </c>
      <c r="O16" s="238">
        <f t="shared" si="7"/>
        <v>200000000</v>
      </c>
      <c r="P16" s="238">
        <f t="shared" si="7"/>
        <v>200000000</v>
      </c>
      <c r="Q16" s="238">
        <f t="shared" si="7"/>
        <v>200000000</v>
      </c>
      <c r="R16" s="239">
        <f t="shared" si="7"/>
        <v>200000000</v>
      </c>
      <c r="S16" s="51"/>
      <c r="T16" s="21"/>
      <c r="U16" s="21"/>
      <c r="V16" s="21"/>
      <c r="W16" s="21"/>
      <c r="X16" s="21"/>
      <c r="Y16" s="21"/>
      <c r="Z16" s="22"/>
    </row>
    <row r="17" spans="1:26" x14ac:dyDescent="0.15">
      <c r="A17" s="18"/>
      <c r="B17" s="133"/>
      <c r="C17" s="127"/>
      <c r="D17" s="66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10"/>
      <c r="S17" s="51"/>
      <c r="T17" s="21"/>
      <c r="U17" s="21"/>
      <c r="V17" s="21"/>
      <c r="W17" s="21"/>
      <c r="X17" s="21"/>
      <c r="Y17" s="21"/>
      <c r="Z17" s="22"/>
    </row>
    <row r="18" spans="1:26" x14ac:dyDescent="0.15">
      <c r="A18" s="18"/>
      <c r="B18" s="134" t="s">
        <v>8</v>
      </c>
      <c r="C18" s="128">
        <f t="shared" ref="C18:R18" si="8">C13-C15-C16</f>
        <v>0</v>
      </c>
      <c r="D18" s="66">
        <f t="shared" si="8"/>
        <v>-360000000</v>
      </c>
      <c r="E18" s="103">
        <f t="shared" si="8"/>
        <v>-368000000</v>
      </c>
      <c r="F18" s="103">
        <f t="shared" si="8"/>
        <v>-376400000</v>
      </c>
      <c r="G18" s="103">
        <f t="shared" si="8"/>
        <v>-385220000</v>
      </c>
      <c r="H18" s="103">
        <f t="shared" si="8"/>
        <v>-394481000</v>
      </c>
      <c r="I18" s="103">
        <f>I13-I15-I16</f>
        <v>285794950</v>
      </c>
      <c r="J18" s="103">
        <f t="shared" si="8"/>
        <v>413584697.5</v>
      </c>
      <c r="K18" s="103">
        <f t="shared" si="8"/>
        <v>568463932.375</v>
      </c>
      <c r="L18" s="103">
        <f t="shared" si="8"/>
        <v>755927128.99374998</v>
      </c>
      <c r="M18" s="103">
        <f t="shared" si="8"/>
        <v>1024043485.4434376</v>
      </c>
      <c r="N18" s="103">
        <f t="shared" si="8"/>
        <v>1306084059.7156093</v>
      </c>
      <c r="O18" s="103">
        <f t="shared" si="8"/>
        <v>1706114022.7013898</v>
      </c>
      <c r="P18" s="103">
        <f t="shared" si="8"/>
        <v>2128384971.8364592</v>
      </c>
      <c r="Q18" s="103">
        <f t="shared" si="8"/>
        <v>2680160687.6282816</v>
      </c>
      <c r="R18" s="110">
        <f t="shared" si="8"/>
        <v>3353046208.0896959</v>
      </c>
      <c r="S18" s="51"/>
      <c r="T18" s="21"/>
      <c r="U18" s="21"/>
      <c r="V18" s="21"/>
      <c r="W18" s="21"/>
      <c r="X18" s="21"/>
      <c r="Y18" s="21"/>
      <c r="Z18" s="22"/>
    </row>
    <row r="19" spans="1:26" x14ac:dyDescent="0.15">
      <c r="A19" s="18"/>
      <c r="B19" s="134" t="s">
        <v>9</v>
      </c>
      <c r="C19" s="129">
        <v>0</v>
      </c>
      <c r="D19" s="54">
        <v>5000000</v>
      </c>
      <c r="E19" s="31">
        <v>5000000</v>
      </c>
      <c r="F19" s="31">
        <v>5000000</v>
      </c>
      <c r="G19" s="31">
        <v>5000000</v>
      </c>
      <c r="H19" s="31">
        <v>5000000</v>
      </c>
      <c r="I19" s="31">
        <v>5000000</v>
      </c>
      <c r="J19" s="31">
        <v>5000000</v>
      </c>
      <c r="K19" s="31">
        <v>5000000</v>
      </c>
      <c r="L19" s="31">
        <v>5000000</v>
      </c>
      <c r="M19" s="31">
        <v>5000000</v>
      </c>
      <c r="N19" s="31">
        <v>5000000</v>
      </c>
      <c r="O19" s="31">
        <v>5000000</v>
      </c>
      <c r="P19" s="31">
        <v>5000000</v>
      </c>
      <c r="Q19" s="31">
        <v>5000000</v>
      </c>
      <c r="R19" s="99">
        <v>5000000</v>
      </c>
      <c r="S19" s="51"/>
      <c r="T19" s="21"/>
      <c r="U19" s="21"/>
      <c r="V19" s="21"/>
      <c r="W19" s="21"/>
      <c r="X19" s="21"/>
      <c r="Y19" s="21"/>
      <c r="Z19" s="22"/>
    </row>
    <row r="20" spans="1:26" x14ac:dyDescent="0.15">
      <c r="A20" s="18"/>
      <c r="B20" s="134" t="s">
        <v>10</v>
      </c>
      <c r="C20" s="129">
        <v>0</v>
      </c>
      <c r="D20" s="121">
        <v>0</v>
      </c>
      <c r="E20" s="109">
        <v>0</v>
      </c>
      <c r="F20" s="109">
        <v>0</v>
      </c>
      <c r="G20" s="109">
        <v>0</v>
      </c>
      <c r="H20" s="109">
        <v>0</v>
      </c>
      <c r="I20" s="109">
        <f t="shared" ref="I20:R20" si="9">(I18-I19)*0.25</f>
        <v>70198737.5</v>
      </c>
      <c r="J20" s="109">
        <f t="shared" si="9"/>
        <v>102146174.375</v>
      </c>
      <c r="K20" s="109">
        <f t="shared" si="9"/>
        <v>140865983.09375</v>
      </c>
      <c r="L20" s="109">
        <f t="shared" si="9"/>
        <v>187731782.24843749</v>
      </c>
      <c r="M20" s="109">
        <f t="shared" si="9"/>
        <v>254760871.36085939</v>
      </c>
      <c r="N20" s="109">
        <f t="shared" si="9"/>
        <v>325271014.92890233</v>
      </c>
      <c r="O20" s="109">
        <f t="shared" si="9"/>
        <v>425278505.67534745</v>
      </c>
      <c r="P20" s="109">
        <f t="shared" si="9"/>
        <v>530846242.95911479</v>
      </c>
      <c r="Q20" s="109">
        <f t="shared" si="9"/>
        <v>668790171.9070704</v>
      </c>
      <c r="R20" s="111">
        <f t="shared" si="9"/>
        <v>837011552.02242398</v>
      </c>
      <c r="S20" s="51"/>
      <c r="T20" s="21"/>
      <c r="U20" s="21"/>
      <c r="V20" s="21"/>
      <c r="W20" s="21"/>
      <c r="X20" s="21"/>
      <c r="Y20" s="21"/>
      <c r="Z20" s="22"/>
    </row>
    <row r="21" spans="1:26" x14ac:dyDescent="0.15">
      <c r="A21" s="18"/>
      <c r="B21" s="133"/>
      <c r="C21" s="125"/>
      <c r="D21" s="66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10"/>
      <c r="S21" s="51"/>
      <c r="T21" s="21"/>
      <c r="U21" s="21"/>
      <c r="V21" s="21"/>
      <c r="W21" s="21"/>
      <c r="X21" s="21"/>
      <c r="Y21" s="21"/>
      <c r="Z21" s="22"/>
    </row>
    <row r="22" spans="1:26" x14ac:dyDescent="0.15">
      <c r="A22" s="18"/>
      <c r="B22" s="134" t="s">
        <v>11</v>
      </c>
      <c r="C22" s="130">
        <v>0</v>
      </c>
      <c r="D22" s="66">
        <v>0</v>
      </c>
      <c r="E22" s="103">
        <v>0</v>
      </c>
      <c r="F22" s="103">
        <v>0</v>
      </c>
      <c r="G22" s="103">
        <v>0</v>
      </c>
      <c r="H22" s="103">
        <v>0</v>
      </c>
      <c r="I22" s="103">
        <f t="shared" ref="I22:R22" si="10">I7*($C$42)</f>
        <v>75000000</v>
      </c>
      <c r="J22" s="103">
        <f t="shared" si="10"/>
        <v>90000000</v>
      </c>
      <c r="K22" s="103">
        <f t="shared" si="10"/>
        <v>108000000</v>
      </c>
      <c r="L22" s="103">
        <f t="shared" si="10"/>
        <v>129600000</v>
      </c>
      <c r="M22" s="103">
        <f t="shared" si="10"/>
        <v>155520000</v>
      </c>
      <c r="N22" s="103">
        <f t="shared" si="10"/>
        <v>186624000</v>
      </c>
      <c r="O22" s="103">
        <f t="shared" si="10"/>
        <v>223948800</v>
      </c>
      <c r="P22" s="103">
        <f t="shared" si="10"/>
        <v>268738560</v>
      </c>
      <c r="Q22" s="103">
        <f t="shared" si="10"/>
        <v>322486272</v>
      </c>
      <c r="R22" s="110">
        <f t="shared" si="10"/>
        <v>386983526.39999998</v>
      </c>
      <c r="S22" s="51"/>
      <c r="T22" s="21"/>
      <c r="U22" s="21"/>
      <c r="V22" s="21"/>
      <c r="W22" s="21"/>
      <c r="X22" s="21"/>
      <c r="Y22" s="21"/>
      <c r="Z22" s="22"/>
    </row>
    <row r="23" spans="1:26" x14ac:dyDescent="0.15">
      <c r="A23" s="18"/>
      <c r="B23" s="134" t="s">
        <v>12</v>
      </c>
      <c r="C23" s="129">
        <v>0</v>
      </c>
      <c r="D23" s="122">
        <v>0</v>
      </c>
      <c r="E23" s="112">
        <v>0</v>
      </c>
      <c r="F23" s="112">
        <v>0</v>
      </c>
      <c r="G23" s="112">
        <v>0</v>
      </c>
      <c r="H23" s="112">
        <v>0</v>
      </c>
      <c r="I23" s="112">
        <f>I22-H22</f>
        <v>75000000</v>
      </c>
      <c r="J23" s="112">
        <f t="shared" ref="J23:R23" si="11">J22-I22</f>
        <v>15000000</v>
      </c>
      <c r="K23" s="112">
        <f t="shared" si="11"/>
        <v>18000000</v>
      </c>
      <c r="L23" s="112">
        <f t="shared" si="11"/>
        <v>21600000</v>
      </c>
      <c r="M23" s="112">
        <f t="shared" si="11"/>
        <v>25920000</v>
      </c>
      <c r="N23" s="112">
        <f t="shared" si="11"/>
        <v>31104000</v>
      </c>
      <c r="O23" s="112">
        <f t="shared" si="11"/>
        <v>37324800</v>
      </c>
      <c r="P23" s="112">
        <f t="shared" si="11"/>
        <v>44789760</v>
      </c>
      <c r="Q23" s="112">
        <f t="shared" si="11"/>
        <v>53747712</v>
      </c>
      <c r="R23" s="108">
        <f t="shared" si="11"/>
        <v>64497254.399999976</v>
      </c>
      <c r="S23" s="51"/>
      <c r="T23" s="21"/>
      <c r="U23" s="21"/>
      <c r="V23" s="21"/>
      <c r="W23" s="21"/>
      <c r="X23" s="21"/>
      <c r="Y23" s="21"/>
      <c r="Z23" s="22"/>
    </row>
    <row r="24" spans="1:26" x14ac:dyDescent="0.15">
      <c r="A24" s="18"/>
      <c r="B24" s="134" t="s">
        <v>13</v>
      </c>
      <c r="C24" s="131">
        <v>0</v>
      </c>
      <c r="D24" s="246">
        <f>$C$43</f>
        <v>100000000</v>
      </c>
      <c r="E24" s="246">
        <f t="shared" ref="E24:H24" si="12">$C$43</f>
        <v>100000000</v>
      </c>
      <c r="F24" s="246">
        <f t="shared" si="12"/>
        <v>100000000</v>
      </c>
      <c r="G24" s="246">
        <f t="shared" si="12"/>
        <v>100000000</v>
      </c>
      <c r="H24" s="246">
        <f t="shared" si="12"/>
        <v>100000000</v>
      </c>
      <c r="I24" s="31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98">
        <v>0</v>
      </c>
      <c r="S24" s="51"/>
      <c r="T24" s="21"/>
      <c r="U24" s="21"/>
      <c r="V24" s="21"/>
      <c r="W24" s="21"/>
      <c r="X24" s="21"/>
      <c r="Y24" s="21"/>
      <c r="Z24" s="22"/>
    </row>
    <row r="25" spans="1:26" x14ac:dyDescent="0.15">
      <c r="A25" s="18"/>
      <c r="B25" s="133"/>
      <c r="C25" s="132"/>
      <c r="D25" s="39"/>
      <c r="E25" s="27"/>
      <c r="F25" s="113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98"/>
      <c r="S25" s="51"/>
      <c r="T25" s="21"/>
      <c r="U25" s="21"/>
      <c r="V25" s="21"/>
      <c r="W25" s="21"/>
      <c r="X25" s="21"/>
      <c r="Y25" s="21"/>
      <c r="Z25" s="22"/>
    </row>
    <row r="26" spans="1:26" x14ac:dyDescent="0.15">
      <c r="A26" s="18"/>
      <c r="B26" s="29" t="s">
        <v>14</v>
      </c>
      <c r="C26" s="53">
        <v>0</v>
      </c>
      <c r="D26" s="39">
        <f>D18+D19-D20-D23-D24</f>
        <v>-455000000</v>
      </c>
      <c r="E26" s="39">
        <f t="shared" ref="E26:R26" si="13">E18+E19-E20-E23-E24</f>
        <v>-463000000</v>
      </c>
      <c r="F26" s="39">
        <f t="shared" si="13"/>
        <v>-471400000</v>
      </c>
      <c r="G26" s="39">
        <f t="shared" si="13"/>
        <v>-480220000</v>
      </c>
      <c r="H26" s="39">
        <f t="shared" si="13"/>
        <v>-489481000</v>
      </c>
      <c r="I26" s="39">
        <f t="shared" si="13"/>
        <v>145596212.5</v>
      </c>
      <c r="J26" s="39">
        <f t="shared" si="13"/>
        <v>301438523.125</v>
      </c>
      <c r="K26" s="39">
        <f t="shared" si="13"/>
        <v>414597949.28125</v>
      </c>
      <c r="L26" s="39">
        <f t="shared" si="13"/>
        <v>551595346.74531245</v>
      </c>
      <c r="M26" s="39">
        <f t="shared" si="13"/>
        <v>748362614.08257818</v>
      </c>
      <c r="N26" s="39">
        <f t="shared" si="13"/>
        <v>954709044.78670692</v>
      </c>
      <c r="O26" s="39">
        <f t="shared" si="13"/>
        <v>1248510717.0260425</v>
      </c>
      <c r="P26" s="39">
        <f t="shared" si="13"/>
        <v>1557748968.8773444</v>
      </c>
      <c r="Q26" s="39">
        <f t="shared" si="13"/>
        <v>1962622803.7212112</v>
      </c>
      <c r="R26" s="52">
        <f t="shared" si="13"/>
        <v>2456537401.6672721</v>
      </c>
      <c r="S26" s="51"/>
      <c r="T26" s="21"/>
      <c r="U26" s="21"/>
      <c r="V26" s="21"/>
      <c r="W26" s="21"/>
      <c r="X26" s="21"/>
      <c r="Y26" s="21"/>
      <c r="Z26" s="22"/>
    </row>
    <row r="27" spans="1:26" x14ac:dyDescent="0.15">
      <c r="A27" s="18"/>
      <c r="B27" s="32" t="s">
        <v>15</v>
      </c>
      <c r="C27" s="64">
        <v>0</v>
      </c>
      <c r="D27" s="65">
        <f t="shared" ref="D27:R27" si="14">C27+D26</f>
        <v>-455000000</v>
      </c>
      <c r="E27" s="114">
        <f t="shared" si="14"/>
        <v>-918000000</v>
      </c>
      <c r="F27" s="114">
        <f t="shared" si="14"/>
        <v>-1389400000</v>
      </c>
      <c r="G27" s="114">
        <f t="shared" si="14"/>
        <v>-1869620000</v>
      </c>
      <c r="H27" s="114">
        <f t="shared" si="14"/>
        <v>-2359101000</v>
      </c>
      <c r="I27" s="114">
        <f t="shared" si="14"/>
        <v>-2213504787.5</v>
      </c>
      <c r="J27" s="34">
        <f t="shared" si="14"/>
        <v>-1912066264.375</v>
      </c>
      <c r="K27" s="114">
        <f t="shared" si="14"/>
        <v>-1497468315.09375</v>
      </c>
      <c r="L27" s="114">
        <f t="shared" si="14"/>
        <v>-945872968.34843755</v>
      </c>
      <c r="M27" s="114">
        <f t="shared" si="14"/>
        <v>-197510354.26585937</v>
      </c>
      <c r="N27" s="34">
        <f t="shared" si="14"/>
        <v>757198690.52084756</v>
      </c>
      <c r="O27" s="114">
        <f t="shared" si="14"/>
        <v>2005709407.54689</v>
      </c>
      <c r="P27" s="114">
        <f t="shared" si="14"/>
        <v>3563458376.4242344</v>
      </c>
      <c r="Q27" s="114">
        <f t="shared" si="14"/>
        <v>5526081180.1454458</v>
      </c>
      <c r="R27" s="115">
        <f t="shared" si="14"/>
        <v>7982618581.8127174</v>
      </c>
      <c r="S27" s="51"/>
      <c r="T27" s="21"/>
      <c r="U27" s="21"/>
      <c r="V27" s="21"/>
      <c r="W27" s="21"/>
      <c r="X27" s="21"/>
      <c r="Y27" s="21"/>
      <c r="Z27" s="22"/>
    </row>
    <row r="28" spans="1:26" x14ac:dyDescent="0.15">
      <c r="A28" s="36"/>
      <c r="B28" s="37"/>
      <c r="C28" s="37"/>
      <c r="D28" s="37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2"/>
    </row>
    <row r="29" spans="1:26" ht="13" x14ac:dyDescent="0.15">
      <c r="A29" s="138"/>
      <c r="B29" s="143" t="s">
        <v>40</v>
      </c>
      <c r="C29" s="140"/>
      <c r="D29" s="8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2"/>
    </row>
    <row r="30" spans="1:26" x14ac:dyDescent="0.15">
      <c r="A30" s="18"/>
      <c r="B30" s="21" t="s">
        <v>34</v>
      </c>
      <c r="C30" s="21"/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2"/>
    </row>
    <row r="31" spans="1:26" x14ac:dyDescent="0.15">
      <c r="A31" s="18"/>
      <c r="B31" s="251" t="s">
        <v>17</v>
      </c>
      <c r="C31" s="252"/>
      <c r="D31" s="4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2"/>
    </row>
    <row r="32" spans="1:26" x14ac:dyDescent="0.15">
      <c r="A32" s="18"/>
      <c r="B32" s="37" t="s">
        <v>18</v>
      </c>
      <c r="C32" s="37"/>
      <c r="D32" s="42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2"/>
    </row>
    <row r="33" spans="1:26" x14ac:dyDescent="0.15">
      <c r="A33" s="18"/>
      <c r="B33" s="21" t="s">
        <v>19</v>
      </c>
      <c r="C33" s="43">
        <f>20000*50%</f>
        <v>10000</v>
      </c>
      <c r="D33" s="22" t="s">
        <v>20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2"/>
    </row>
    <row r="34" spans="1:26" x14ac:dyDescent="0.15">
      <c r="A34" s="18"/>
      <c r="B34" s="21" t="s">
        <v>21</v>
      </c>
      <c r="C34" s="44">
        <v>0.2</v>
      </c>
      <c r="D34" s="22"/>
      <c r="E34" s="21"/>
      <c r="F34" s="21"/>
      <c r="G34" s="21"/>
      <c r="H34" s="21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21"/>
      <c r="T34" s="21"/>
      <c r="U34" s="21"/>
      <c r="V34" s="21"/>
      <c r="W34" s="21"/>
      <c r="X34" s="21"/>
      <c r="Y34" s="21"/>
      <c r="Z34" s="22"/>
    </row>
    <row r="35" spans="1:26" x14ac:dyDescent="0.15">
      <c r="A35" s="18"/>
      <c r="B35" s="21" t="s">
        <v>22</v>
      </c>
      <c r="C35" s="45">
        <v>150000</v>
      </c>
      <c r="D35" s="22"/>
      <c r="E35" s="21"/>
      <c r="F35" s="21"/>
      <c r="G35" s="21"/>
      <c r="H35" s="22"/>
      <c r="I35" s="37">
        <v>2030</v>
      </c>
      <c r="J35" s="37">
        <v>2031</v>
      </c>
      <c r="K35" s="37">
        <v>2032</v>
      </c>
      <c r="L35" s="37">
        <v>2033</v>
      </c>
      <c r="M35" s="37">
        <v>2034</v>
      </c>
      <c r="N35" s="37">
        <v>2035</v>
      </c>
      <c r="O35" s="37">
        <v>2036</v>
      </c>
      <c r="P35" s="37">
        <v>2037</v>
      </c>
      <c r="Q35" s="37">
        <v>2038</v>
      </c>
      <c r="R35" s="42">
        <v>2039</v>
      </c>
      <c r="S35" s="21"/>
      <c r="T35" s="21"/>
      <c r="U35" s="21"/>
      <c r="V35" s="21"/>
      <c r="W35" s="21"/>
      <c r="X35" s="21"/>
      <c r="Y35" s="21"/>
      <c r="Z35" s="22"/>
    </row>
    <row r="36" spans="1:26" x14ac:dyDescent="0.15">
      <c r="A36" s="18"/>
      <c r="B36" s="21" t="s">
        <v>23</v>
      </c>
      <c r="C36" s="21"/>
      <c r="D36" s="22"/>
      <c r="E36" s="21"/>
      <c r="F36" s="21"/>
      <c r="G36" s="21"/>
      <c r="H36" s="22"/>
      <c r="I36" s="34">
        <v>80000</v>
      </c>
      <c r="J36" s="34">
        <v>80000</v>
      </c>
      <c r="K36" s="34">
        <v>80000</v>
      </c>
      <c r="L36" s="34">
        <v>80000</v>
      </c>
      <c r="M36" s="34">
        <v>78000</v>
      </c>
      <c r="N36" s="34">
        <v>78000</v>
      </c>
      <c r="O36" s="34">
        <v>76000</v>
      </c>
      <c r="P36" s="34">
        <v>76000</v>
      </c>
      <c r="Q36" s="34">
        <v>75000</v>
      </c>
      <c r="R36" s="35">
        <v>74000</v>
      </c>
      <c r="S36" s="21"/>
      <c r="T36" s="21"/>
      <c r="U36" s="21"/>
      <c r="V36" s="21"/>
      <c r="W36" s="21"/>
      <c r="X36" s="21"/>
      <c r="Y36" s="21"/>
      <c r="Z36" s="22"/>
    </row>
    <row r="37" spans="1:26" x14ac:dyDescent="0.15">
      <c r="A37" s="18"/>
      <c r="B37" s="21" t="s">
        <v>24</v>
      </c>
      <c r="C37" s="45">
        <v>1000</v>
      </c>
      <c r="D37" s="22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2"/>
    </row>
    <row r="38" spans="1:26" x14ac:dyDescent="0.15">
      <c r="A38" s="18"/>
      <c r="B38" s="21" t="s">
        <v>25</v>
      </c>
      <c r="C38" s="45">
        <v>160000000</v>
      </c>
      <c r="D38" s="22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2"/>
    </row>
    <row r="39" spans="1:26" x14ac:dyDescent="0.15">
      <c r="A39" s="18"/>
      <c r="B39" s="21" t="s">
        <v>26</v>
      </c>
      <c r="C39" s="44">
        <v>0.05</v>
      </c>
      <c r="D39" s="22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2"/>
    </row>
    <row r="40" spans="1:26" x14ac:dyDescent="0.15">
      <c r="A40" s="18"/>
      <c r="B40" s="21" t="s">
        <v>9</v>
      </c>
      <c r="C40" s="45">
        <v>5000000</v>
      </c>
      <c r="D40" s="22" t="s">
        <v>27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2"/>
    </row>
    <row r="41" spans="1:26" x14ac:dyDescent="0.15">
      <c r="A41" s="18"/>
      <c r="B41" s="21" t="s">
        <v>7</v>
      </c>
      <c r="C41" s="45">
        <v>200000000</v>
      </c>
      <c r="D41" s="22" t="s">
        <v>27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2"/>
    </row>
    <row r="42" spans="1:26" x14ac:dyDescent="0.15">
      <c r="A42" s="18"/>
      <c r="B42" s="21" t="s">
        <v>28</v>
      </c>
      <c r="C42" s="44">
        <v>0.05</v>
      </c>
      <c r="D42" s="22" t="s">
        <v>29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2"/>
    </row>
    <row r="43" spans="1:26" x14ac:dyDescent="0.15">
      <c r="A43" s="18"/>
      <c r="B43" s="21" t="s">
        <v>13</v>
      </c>
      <c r="C43" s="45">
        <v>100000000</v>
      </c>
      <c r="D43" s="22" t="s">
        <v>27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2"/>
    </row>
    <row r="44" spans="1:26" x14ac:dyDescent="0.15">
      <c r="A44" s="18"/>
      <c r="B44" s="21" t="s">
        <v>30</v>
      </c>
      <c r="C44" s="44">
        <v>0.25</v>
      </c>
      <c r="D44" s="22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2"/>
    </row>
    <row r="45" spans="1:26" x14ac:dyDescent="0.15">
      <c r="A45" s="18"/>
      <c r="B45" s="37" t="s">
        <v>31</v>
      </c>
      <c r="C45" s="46">
        <v>0.15</v>
      </c>
      <c r="D45" s="42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2"/>
    </row>
    <row r="46" spans="1:26" x14ac:dyDescent="0.15">
      <c r="A46" s="36"/>
      <c r="B46" s="37"/>
      <c r="C46" s="37"/>
      <c r="D46" s="37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2"/>
    </row>
    <row r="47" spans="1:26" x14ac:dyDescent="0.15">
      <c r="A47" s="18"/>
      <c r="B47" s="37" t="s">
        <v>32</v>
      </c>
      <c r="C47" s="47">
        <f>NPV($C$45,D26:R26)+C26</f>
        <v>350967157.4657293</v>
      </c>
      <c r="D47" s="42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2"/>
    </row>
    <row r="48" spans="1:26" x14ac:dyDescent="0.15">
      <c r="A48" s="36"/>
      <c r="B48" s="21"/>
      <c r="C48" s="45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2"/>
    </row>
    <row r="49" spans="1:26" x14ac:dyDescent="0.15">
      <c r="A49" s="36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2"/>
    </row>
    <row r="50" spans="1:26" x14ac:dyDescent="0.15">
      <c r="A50" s="36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2"/>
    </row>
    <row r="51" spans="1:26" x14ac:dyDescent="0.15">
      <c r="A51" s="36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2"/>
    </row>
    <row r="52" spans="1:26" x14ac:dyDescent="0.15">
      <c r="A52" s="36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2"/>
    </row>
    <row r="53" spans="1:26" x14ac:dyDescent="0.15">
      <c r="A53" s="36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2"/>
    </row>
    <row r="54" spans="1:26" x14ac:dyDescent="0.15">
      <c r="A54" s="36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2"/>
    </row>
    <row r="55" spans="1:26" x14ac:dyDescent="0.15">
      <c r="A55" s="36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2"/>
    </row>
    <row r="56" spans="1:26" x14ac:dyDescent="0.15">
      <c r="A56" s="36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2"/>
    </row>
    <row r="57" spans="1:26" x14ac:dyDescent="0.15">
      <c r="A57" s="36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2"/>
    </row>
    <row r="58" spans="1:26" x14ac:dyDescent="0.15">
      <c r="A58" s="36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2"/>
    </row>
    <row r="59" spans="1:26" x14ac:dyDescent="0.15">
      <c r="A59" s="36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2"/>
    </row>
    <row r="60" spans="1:26" x14ac:dyDescent="0.15">
      <c r="A60" s="36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2"/>
    </row>
    <row r="61" spans="1:26" x14ac:dyDescent="0.15">
      <c r="A61" s="36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2"/>
    </row>
    <row r="62" spans="1:26" x14ac:dyDescent="0.15">
      <c r="A62" s="36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2"/>
    </row>
    <row r="63" spans="1:26" x14ac:dyDescent="0.15">
      <c r="A63" s="36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2"/>
    </row>
    <row r="64" spans="1:26" x14ac:dyDescent="0.15">
      <c r="A64" s="36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2"/>
    </row>
    <row r="65" spans="1:26" x14ac:dyDescent="0.15">
      <c r="A65" s="36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2"/>
    </row>
    <row r="66" spans="1:26" x14ac:dyDescent="0.15">
      <c r="A66" s="36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2"/>
    </row>
    <row r="67" spans="1:26" x14ac:dyDescent="0.15">
      <c r="A67" s="36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2"/>
    </row>
    <row r="68" spans="1:26" x14ac:dyDescent="0.15">
      <c r="A68" s="36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2"/>
    </row>
    <row r="69" spans="1:26" x14ac:dyDescent="0.15">
      <c r="A69" s="36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2"/>
    </row>
    <row r="70" spans="1:26" x14ac:dyDescent="0.15">
      <c r="A70" s="36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2"/>
    </row>
    <row r="71" spans="1:26" x14ac:dyDescent="0.15">
      <c r="A71" s="36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2"/>
    </row>
    <row r="72" spans="1:26" x14ac:dyDescent="0.15">
      <c r="A72" s="36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2"/>
    </row>
    <row r="73" spans="1:26" x14ac:dyDescent="0.15">
      <c r="A73" s="36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2"/>
    </row>
    <row r="74" spans="1:26" x14ac:dyDescent="0.15">
      <c r="A74" s="36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2"/>
    </row>
    <row r="75" spans="1:26" x14ac:dyDescent="0.15">
      <c r="A75" s="36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2"/>
    </row>
    <row r="76" spans="1:26" x14ac:dyDescent="0.15">
      <c r="A76" s="36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2"/>
    </row>
    <row r="77" spans="1:26" x14ac:dyDescent="0.15">
      <c r="A77" s="36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2"/>
    </row>
    <row r="78" spans="1:26" x14ac:dyDescent="0.15">
      <c r="A78" s="36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2"/>
    </row>
    <row r="79" spans="1:26" x14ac:dyDescent="0.15">
      <c r="A79" s="36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2"/>
    </row>
    <row r="80" spans="1:26" x14ac:dyDescent="0.15">
      <c r="A80" s="36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2"/>
    </row>
    <row r="81" spans="1:26" x14ac:dyDescent="0.15">
      <c r="A81" s="36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2"/>
    </row>
    <row r="82" spans="1:26" x14ac:dyDescent="0.15">
      <c r="A82" s="36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2"/>
    </row>
    <row r="83" spans="1:26" x14ac:dyDescent="0.15">
      <c r="A83" s="36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2"/>
    </row>
    <row r="84" spans="1:26" x14ac:dyDescent="0.15">
      <c r="A84" s="36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2"/>
    </row>
    <row r="85" spans="1:26" x14ac:dyDescent="0.15">
      <c r="A85" s="36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2"/>
    </row>
    <row r="86" spans="1:26" x14ac:dyDescent="0.15">
      <c r="A86" s="36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2"/>
    </row>
    <row r="87" spans="1:26" x14ac:dyDescent="0.15">
      <c r="A87" s="36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2"/>
    </row>
    <row r="88" spans="1:26" x14ac:dyDescent="0.15">
      <c r="A88" s="36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2"/>
    </row>
    <row r="89" spans="1:26" x14ac:dyDescent="0.15">
      <c r="A89" s="36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2"/>
    </row>
    <row r="90" spans="1:26" x14ac:dyDescent="0.15">
      <c r="A90" s="36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2"/>
    </row>
    <row r="91" spans="1:26" x14ac:dyDescent="0.15">
      <c r="A91" s="36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2"/>
    </row>
    <row r="92" spans="1:26" x14ac:dyDescent="0.15">
      <c r="A92" s="36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2"/>
    </row>
    <row r="93" spans="1:26" x14ac:dyDescent="0.15">
      <c r="A93" s="36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2"/>
    </row>
    <row r="94" spans="1:26" x14ac:dyDescent="0.15">
      <c r="A94" s="36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2"/>
    </row>
    <row r="95" spans="1:26" x14ac:dyDescent="0.15">
      <c r="A95" s="36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2"/>
    </row>
    <row r="96" spans="1:26" x14ac:dyDescent="0.15">
      <c r="A96" s="36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2"/>
    </row>
    <row r="97" spans="1:26" x14ac:dyDescent="0.15">
      <c r="A97" s="36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2"/>
    </row>
    <row r="98" spans="1:26" x14ac:dyDescent="0.15">
      <c r="A98" s="36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2"/>
    </row>
    <row r="99" spans="1:26" x14ac:dyDescent="0.15">
      <c r="A99" s="36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2"/>
    </row>
    <row r="100" spans="1:26" x14ac:dyDescent="0.15">
      <c r="A100" s="36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2"/>
    </row>
    <row r="101" spans="1:26" x14ac:dyDescent="0.15">
      <c r="A101" s="36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2"/>
    </row>
    <row r="102" spans="1:26" x14ac:dyDescent="0.15">
      <c r="A102" s="36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2"/>
    </row>
    <row r="103" spans="1:26" x14ac:dyDescent="0.15">
      <c r="A103" s="36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2"/>
    </row>
    <row r="104" spans="1:26" x14ac:dyDescent="0.15">
      <c r="A104" s="36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2"/>
    </row>
    <row r="105" spans="1:26" x14ac:dyDescent="0.15">
      <c r="A105" s="36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2"/>
    </row>
    <row r="106" spans="1:26" x14ac:dyDescent="0.15">
      <c r="A106" s="36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2"/>
    </row>
    <row r="107" spans="1:26" x14ac:dyDescent="0.15">
      <c r="A107" s="36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2"/>
    </row>
    <row r="108" spans="1:26" x14ac:dyDescent="0.15">
      <c r="A108" s="36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2"/>
    </row>
    <row r="109" spans="1:26" x14ac:dyDescent="0.15">
      <c r="A109" s="36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2"/>
    </row>
    <row r="110" spans="1:26" x14ac:dyDescent="0.15">
      <c r="A110" s="36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2"/>
    </row>
    <row r="111" spans="1:26" x14ac:dyDescent="0.15">
      <c r="A111" s="36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2"/>
    </row>
    <row r="112" spans="1:26" x14ac:dyDescent="0.15">
      <c r="A112" s="36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2"/>
    </row>
    <row r="113" spans="1:26" x14ac:dyDescent="0.15">
      <c r="A113" s="36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2"/>
    </row>
    <row r="114" spans="1:26" x14ac:dyDescent="0.15">
      <c r="A114" s="36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2"/>
    </row>
    <row r="115" spans="1:26" x14ac:dyDescent="0.15">
      <c r="A115" s="36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2"/>
    </row>
    <row r="116" spans="1:26" x14ac:dyDescent="0.15">
      <c r="A116" s="36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2"/>
    </row>
    <row r="117" spans="1:26" x14ac:dyDescent="0.15">
      <c r="A117" s="36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2"/>
    </row>
    <row r="118" spans="1:26" x14ac:dyDescent="0.15">
      <c r="A118" s="36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2"/>
    </row>
    <row r="119" spans="1:26" x14ac:dyDescent="0.15">
      <c r="A119" s="36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2"/>
    </row>
    <row r="120" spans="1:26" x14ac:dyDescent="0.15">
      <c r="A120" s="36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2"/>
    </row>
    <row r="121" spans="1:26" x14ac:dyDescent="0.15">
      <c r="A121" s="36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2"/>
    </row>
    <row r="122" spans="1:26" x14ac:dyDescent="0.15">
      <c r="A122" s="36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2"/>
    </row>
    <row r="123" spans="1:26" x14ac:dyDescent="0.15">
      <c r="A123" s="36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2"/>
    </row>
    <row r="124" spans="1:26" x14ac:dyDescent="0.15">
      <c r="A124" s="36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2"/>
    </row>
    <row r="125" spans="1:26" x14ac:dyDescent="0.15">
      <c r="A125" s="36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2"/>
    </row>
    <row r="126" spans="1:26" x14ac:dyDescent="0.15">
      <c r="A126" s="36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2"/>
    </row>
    <row r="127" spans="1:26" x14ac:dyDescent="0.15">
      <c r="A127" s="36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2"/>
    </row>
    <row r="128" spans="1:26" x14ac:dyDescent="0.15">
      <c r="A128" s="36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2"/>
    </row>
    <row r="129" spans="1:26" x14ac:dyDescent="0.15">
      <c r="A129" s="36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2"/>
    </row>
    <row r="130" spans="1:26" x14ac:dyDescent="0.15">
      <c r="A130" s="36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2"/>
    </row>
    <row r="131" spans="1:26" x14ac:dyDescent="0.15">
      <c r="A131" s="36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2"/>
    </row>
    <row r="132" spans="1:26" x14ac:dyDescent="0.15">
      <c r="A132" s="36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2"/>
    </row>
    <row r="133" spans="1:26" x14ac:dyDescent="0.15">
      <c r="A133" s="36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2"/>
    </row>
    <row r="134" spans="1:26" x14ac:dyDescent="0.15">
      <c r="A134" s="36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2"/>
    </row>
    <row r="135" spans="1:26" x14ac:dyDescent="0.15">
      <c r="A135" s="36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2"/>
    </row>
    <row r="136" spans="1:26" x14ac:dyDescent="0.15">
      <c r="A136" s="36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2"/>
    </row>
    <row r="137" spans="1:26" x14ac:dyDescent="0.15">
      <c r="A137" s="36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2"/>
    </row>
    <row r="138" spans="1:26" x14ac:dyDescent="0.15">
      <c r="A138" s="36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2"/>
    </row>
    <row r="139" spans="1:26" x14ac:dyDescent="0.15">
      <c r="A139" s="36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2"/>
    </row>
    <row r="140" spans="1:26" x14ac:dyDescent="0.15">
      <c r="A140" s="36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2"/>
    </row>
    <row r="141" spans="1:26" x14ac:dyDescent="0.15">
      <c r="A141" s="36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2"/>
    </row>
    <row r="142" spans="1:26" x14ac:dyDescent="0.15">
      <c r="A142" s="36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2"/>
    </row>
    <row r="143" spans="1:26" x14ac:dyDescent="0.15">
      <c r="A143" s="36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2"/>
    </row>
    <row r="144" spans="1:26" x14ac:dyDescent="0.15">
      <c r="A144" s="36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2"/>
    </row>
    <row r="145" spans="1:26" x14ac:dyDescent="0.15">
      <c r="A145" s="36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2"/>
    </row>
    <row r="146" spans="1:26" x14ac:dyDescent="0.15">
      <c r="A146" s="36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2"/>
    </row>
    <row r="147" spans="1:26" x14ac:dyDescent="0.15">
      <c r="A147" s="36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2"/>
    </row>
    <row r="148" spans="1:26" x14ac:dyDescent="0.15">
      <c r="A148" s="36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2"/>
    </row>
    <row r="149" spans="1:26" x14ac:dyDescent="0.15">
      <c r="A149" s="36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2"/>
    </row>
    <row r="150" spans="1:26" x14ac:dyDescent="0.15">
      <c r="A150" s="36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2"/>
    </row>
    <row r="151" spans="1:26" x14ac:dyDescent="0.15">
      <c r="A151" s="36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2"/>
    </row>
    <row r="152" spans="1:26" x14ac:dyDescent="0.15">
      <c r="A152" s="36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2"/>
    </row>
    <row r="153" spans="1:26" x14ac:dyDescent="0.15">
      <c r="A153" s="36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2"/>
    </row>
    <row r="154" spans="1:26" x14ac:dyDescent="0.15">
      <c r="A154" s="36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2"/>
    </row>
    <row r="155" spans="1:26" x14ac:dyDescent="0.15">
      <c r="A155" s="36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2"/>
    </row>
    <row r="156" spans="1:26" x14ac:dyDescent="0.15">
      <c r="A156" s="36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2"/>
    </row>
    <row r="157" spans="1:26" x14ac:dyDescent="0.15">
      <c r="A157" s="36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2"/>
    </row>
    <row r="158" spans="1:26" x14ac:dyDescent="0.15">
      <c r="A158" s="36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2"/>
    </row>
    <row r="159" spans="1:26" x14ac:dyDescent="0.15">
      <c r="A159" s="36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2"/>
    </row>
    <row r="160" spans="1:26" x14ac:dyDescent="0.15">
      <c r="A160" s="36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2"/>
    </row>
    <row r="161" spans="1:26" x14ac:dyDescent="0.15">
      <c r="A161" s="36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2"/>
    </row>
    <row r="162" spans="1:26" x14ac:dyDescent="0.15">
      <c r="A162" s="36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2"/>
    </row>
    <row r="163" spans="1:26" x14ac:dyDescent="0.15">
      <c r="A163" s="36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2"/>
    </row>
    <row r="164" spans="1:26" x14ac:dyDescent="0.15">
      <c r="A164" s="36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2"/>
    </row>
    <row r="165" spans="1:26" x14ac:dyDescent="0.15">
      <c r="A165" s="36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2"/>
    </row>
    <row r="166" spans="1:26" x14ac:dyDescent="0.15">
      <c r="A166" s="36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2"/>
    </row>
    <row r="167" spans="1:26" x14ac:dyDescent="0.15">
      <c r="A167" s="36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2"/>
    </row>
    <row r="168" spans="1:26" x14ac:dyDescent="0.15">
      <c r="A168" s="36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2"/>
    </row>
    <row r="169" spans="1:26" x14ac:dyDescent="0.15">
      <c r="A169" s="36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2"/>
    </row>
    <row r="170" spans="1:26" x14ac:dyDescent="0.15">
      <c r="A170" s="36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2"/>
    </row>
    <row r="171" spans="1:26" x14ac:dyDescent="0.15">
      <c r="A171" s="36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2"/>
    </row>
    <row r="172" spans="1:26" x14ac:dyDescent="0.15">
      <c r="A172" s="36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2"/>
    </row>
    <row r="173" spans="1:26" x14ac:dyDescent="0.15">
      <c r="A173" s="36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2"/>
    </row>
    <row r="174" spans="1:26" x14ac:dyDescent="0.15">
      <c r="A174" s="36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2"/>
    </row>
    <row r="175" spans="1:26" x14ac:dyDescent="0.15">
      <c r="A175" s="36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2"/>
    </row>
    <row r="176" spans="1:26" x14ac:dyDescent="0.15">
      <c r="A176" s="36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2"/>
    </row>
    <row r="177" spans="1:26" x14ac:dyDescent="0.15">
      <c r="A177" s="36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2"/>
    </row>
    <row r="178" spans="1:26" x14ac:dyDescent="0.15">
      <c r="A178" s="36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2"/>
    </row>
    <row r="179" spans="1:26" x14ac:dyDescent="0.15">
      <c r="A179" s="36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2"/>
    </row>
    <row r="180" spans="1:26" x14ac:dyDescent="0.15">
      <c r="A180" s="36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2"/>
    </row>
    <row r="181" spans="1:26" x14ac:dyDescent="0.15">
      <c r="A181" s="36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2"/>
    </row>
    <row r="182" spans="1:26" x14ac:dyDescent="0.15">
      <c r="A182" s="36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2"/>
    </row>
    <row r="183" spans="1:26" x14ac:dyDescent="0.15">
      <c r="A183" s="36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2"/>
    </row>
    <row r="184" spans="1:26" x14ac:dyDescent="0.15">
      <c r="A184" s="36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2"/>
    </row>
    <row r="185" spans="1:26" x14ac:dyDescent="0.15">
      <c r="A185" s="36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2"/>
    </row>
    <row r="186" spans="1:26" x14ac:dyDescent="0.15">
      <c r="A186" s="36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2"/>
    </row>
    <row r="187" spans="1:26" x14ac:dyDescent="0.15">
      <c r="A187" s="36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2"/>
    </row>
    <row r="188" spans="1:26" x14ac:dyDescent="0.15">
      <c r="A188" s="36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2"/>
    </row>
    <row r="189" spans="1:26" x14ac:dyDescent="0.15">
      <c r="A189" s="36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2"/>
    </row>
    <row r="190" spans="1:26" x14ac:dyDescent="0.15">
      <c r="A190" s="36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2"/>
    </row>
    <row r="191" spans="1:26" x14ac:dyDescent="0.15">
      <c r="A191" s="36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2"/>
    </row>
    <row r="192" spans="1:26" x14ac:dyDescent="0.15">
      <c r="A192" s="36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2"/>
    </row>
    <row r="193" spans="1:26" x14ac:dyDescent="0.15">
      <c r="A193" s="36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2"/>
    </row>
    <row r="194" spans="1:26" x14ac:dyDescent="0.15">
      <c r="A194" s="36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2"/>
    </row>
    <row r="195" spans="1:26" x14ac:dyDescent="0.15">
      <c r="A195" s="36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2"/>
    </row>
    <row r="196" spans="1:26" x14ac:dyDescent="0.15">
      <c r="A196" s="36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2"/>
    </row>
    <row r="197" spans="1:26" x14ac:dyDescent="0.15">
      <c r="A197" s="36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2"/>
    </row>
    <row r="198" spans="1:26" x14ac:dyDescent="0.15">
      <c r="A198" s="36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2"/>
    </row>
    <row r="199" spans="1:26" x14ac:dyDescent="0.15">
      <c r="A199" s="36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2"/>
    </row>
    <row r="200" spans="1:26" x14ac:dyDescent="0.15">
      <c r="A200" s="36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2"/>
    </row>
    <row r="201" spans="1:26" x14ac:dyDescent="0.15">
      <c r="A201" s="36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2"/>
    </row>
    <row r="202" spans="1:26" x14ac:dyDescent="0.15">
      <c r="A202" s="36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2"/>
    </row>
    <row r="203" spans="1:26" x14ac:dyDescent="0.15">
      <c r="A203" s="36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2"/>
    </row>
    <row r="204" spans="1:26" x14ac:dyDescent="0.15">
      <c r="A204" s="36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2"/>
    </row>
    <row r="205" spans="1:26" x14ac:dyDescent="0.15">
      <c r="A205" s="36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2"/>
    </row>
    <row r="206" spans="1:26" x14ac:dyDescent="0.15">
      <c r="A206" s="36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2"/>
    </row>
    <row r="207" spans="1:26" x14ac:dyDescent="0.15">
      <c r="A207" s="36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2"/>
    </row>
    <row r="208" spans="1:26" x14ac:dyDescent="0.15">
      <c r="A208" s="36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2"/>
    </row>
    <row r="209" spans="1:26" x14ac:dyDescent="0.15">
      <c r="A209" s="36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2"/>
    </row>
    <row r="210" spans="1:26" x14ac:dyDescent="0.15">
      <c r="A210" s="36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2"/>
    </row>
    <row r="211" spans="1:26" x14ac:dyDescent="0.15">
      <c r="A211" s="36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2"/>
    </row>
    <row r="212" spans="1:26" x14ac:dyDescent="0.15">
      <c r="A212" s="36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2"/>
    </row>
    <row r="213" spans="1:26" x14ac:dyDescent="0.15">
      <c r="A213" s="36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2"/>
    </row>
    <row r="214" spans="1:26" x14ac:dyDescent="0.15">
      <c r="A214" s="36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2"/>
    </row>
    <row r="215" spans="1:26" x14ac:dyDescent="0.15">
      <c r="A215" s="36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2"/>
    </row>
    <row r="216" spans="1:26" x14ac:dyDescent="0.15">
      <c r="A216" s="36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2"/>
    </row>
    <row r="217" spans="1:26" x14ac:dyDescent="0.15">
      <c r="A217" s="36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2"/>
    </row>
    <row r="218" spans="1:26" x14ac:dyDescent="0.15">
      <c r="A218" s="36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2"/>
    </row>
    <row r="219" spans="1:26" x14ac:dyDescent="0.15">
      <c r="A219" s="36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2"/>
    </row>
    <row r="220" spans="1:26" x14ac:dyDescent="0.15">
      <c r="A220" s="36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2"/>
    </row>
    <row r="221" spans="1:26" x14ac:dyDescent="0.15">
      <c r="A221" s="36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2"/>
    </row>
    <row r="222" spans="1:26" x14ac:dyDescent="0.15">
      <c r="A222" s="36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2"/>
    </row>
    <row r="223" spans="1:26" x14ac:dyDescent="0.15">
      <c r="A223" s="36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2"/>
    </row>
    <row r="224" spans="1:26" x14ac:dyDescent="0.15">
      <c r="A224" s="36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2"/>
    </row>
    <row r="225" spans="1:26" x14ac:dyDescent="0.15">
      <c r="A225" s="36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2"/>
    </row>
    <row r="226" spans="1:26" x14ac:dyDescent="0.15">
      <c r="A226" s="36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2"/>
    </row>
    <row r="227" spans="1:26" x14ac:dyDescent="0.15">
      <c r="A227" s="36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2"/>
    </row>
    <row r="228" spans="1:26" x14ac:dyDescent="0.15">
      <c r="A228" s="36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2"/>
    </row>
    <row r="229" spans="1:26" x14ac:dyDescent="0.15">
      <c r="A229" s="36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2"/>
    </row>
    <row r="230" spans="1:26" x14ac:dyDescent="0.15">
      <c r="A230" s="36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2"/>
    </row>
    <row r="231" spans="1:26" x14ac:dyDescent="0.15">
      <c r="A231" s="36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2"/>
    </row>
    <row r="232" spans="1:26" x14ac:dyDescent="0.15">
      <c r="A232" s="36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2"/>
    </row>
    <row r="233" spans="1:26" x14ac:dyDescent="0.15">
      <c r="A233" s="36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2"/>
    </row>
    <row r="234" spans="1:26" x14ac:dyDescent="0.15">
      <c r="A234" s="36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2"/>
    </row>
    <row r="235" spans="1:26" x14ac:dyDescent="0.15">
      <c r="A235" s="36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2"/>
    </row>
    <row r="236" spans="1:26" x14ac:dyDescent="0.15">
      <c r="A236" s="36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2"/>
    </row>
    <row r="237" spans="1:26" x14ac:dyDescent="0.15">
      <c r="A237" s="36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2"/>
    </row>
    <row r="238" spans="1:26" x14ac:dyDescent="0.15">
      <c r="A238" s="36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2"/>
    </row>
    <row r="239" spans="1:26" x14ac:dyDescent="0.15">
      <c r="A239" s="36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2"/>
    </row>
    <row r="240" spans="1:26" x14ac:dyDescent="0.15">
      <c r="A240" s="36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2"/>
    </row>
    <row r="241" spans="1:26" x14ac:dyDescent="0.15">
      <c r="A241" s="36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2"/>
    </row>
    <row r="242" spans="1:26" x14ac:dyDescent="0.15">
      <c r="A242" s="36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2"/>
    </row>
    <row r="243" spans="1:26" x14ac:dyDescent="0.15">
      <c r="A243" s="36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2"/>
    </row>
    <row r="244" spans="1:26" x14ac:dyDescent="0.15">
      <c r="A244" s="36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2"/>
    </row>
    <row r="245" spans="1:26" x14ac:dyDescent="0.15">
      <c r="A245" s="36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2"/>
    </row>
    <row r="246" spans="1:26" x14ac:dyDescent="0.15">
      <c r="A246" s="36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2"/>
    </row>
    <row r="247" spans="1:26" x14ac:dyDescent="0.15">
      <c r="A247" s="36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2"/>
    </row>
    <row r="248" spans="1:26" x14ac:dyDescent="0.15">
      <c r="A248" s="36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2"/>
    </row>
    <row r="249" spans="1:26" x14ac:dyDescent="0.15">
      <c r="A249" s="36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2"/>
    </row>
    <row r="250" spans="1:26" x14ac:dyDescent="0.15">
      <c r="A250" s="36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2"/>
    </row>
    <row r="251" spans="1:26" x14ac:dyDescent="0.15">
      <c r="A251" s="36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2"/>
    </row>
    <row r="252" spans="1:26" x14ac:dyDescent="0.15">
      <c r="A252" s="36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2"/>
    </row>
    <row r="253" spans="1:26" x14ac:dyDescent="0.15">
      <c r="A253" s="36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2"/>
    </row>
    <row r="254" spans="1:26" x14ac:dyDescent="0.15">
      <c r="A254" s="36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2"/>
    </row>
    <row r="255" spans="1:26" x14ac:dyDescent="0.15">
      <c r="A255" s="36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2"/>
    </row>
    <row r="256" spans="1:26" x14ac:dyDescent="0.15">
      <c r="A256" s="36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2"/>
    </row>
    <row r="257" spans="1:26" x14ac:dyDescent="0.15">
      <c r="A257" s="36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2"/>
    </row>
    <row r="258" spans="1:26" x14ac:dyDescent="0.15">
      <c r="A258" s="36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2"/>
    </row>
    <row r="259" spans="1:26" x14ac:dyDescent="0.15">
      <c r="A259" s="36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2"/>
    </row>
    <row r="260" spans="1:26" x14ac:dyDescent="0.15">
      <c r="A260" s="36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2"/>
    </row>
    <row r="261" spans="1:26" x14ac:dyDescent="0.15">
      <c r="A261" s="36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2"/>
    </row>
    <row r="262" spans="1:26" x14ac:dyDescent="0.15">
      <c r="A262" s="36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2"/>
    </row>
    <row r="263" spans="1:26" x14ac:dyDescent="0.15">
      <c r="A263" s="36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2"/>
    </row>
    <row r="264" spans="1:26" x14ac:dyDescent="0.15">
      <c r="A264" s="36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2"/>
    </row>
    <row r="265" spans="1:26" x14ac:dyDescent="0.15">
      <c r="A265" s="36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2"/>
    </row>
    <row r="266" spans="1:26" x14ac:dyDescent="0.15">
      <c r="A266" s="36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2"/>
    </row>
    <row r="267" spans="1:26" x14ac:dyDescent="0.15">
      <c r="A267" s="36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2"/>
    </row>
    <row r="268" spans="1:26" x14ac:dyDescent="0.15">
      <c r="A268" s="36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2"/>
    </row>
    <row r="269" spans="1:26" x14ac:dyDescent="0.15">
      <c r="A269" s="36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2"/>
    </row>
    <row r="270" spans="1:26" x14ac:dyDescent="0.15">
      <c r="A270" s="36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2"/>
    </row>
    <row r="271" spans="1:26" x14ac:dyDescent="0.15">
      <c r="A271" s="36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2"/>
    </row>
    <row r="272" spans="1:26" x14ac:dyDescent="0.15">
      <c r="A272" s="36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2"/>
    </row>
    <row r="273" spans="1:26" x14ac:dyDescent="0.15">
      <c r="A273" s="36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2"/>
    </row>
    <row r="274" spans="1:26" x14ac:dyDescent="0.15">
      <c r="A274" s="36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2"/>
    </row>
    <row r="275" spans="1:26" x14ac:dyDescent="0.15">
      <c r="A275" s="36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2"/>
    </row>
    <row r="276" spans="1:26" x14ac:dyDescent="0.15">
      <c r="A276" s="36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2"/>
    </row>
    <row r="277" spans="1:26" x14ac:dyDescent="0.15">
      <c r="A277" s="36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2"/>
    </row>
    <row r="278" spans="1:26" x14ac:dyDescent="0.15">
      <c r="A278" s="36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2"/>
    </row>
    <row r="279" spans="1:26" x14ac:dyDescent="0.15">
      <c r="A279" s="36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2"/>
    </row>
    <row r="280" spans="1:26" x14ac:dyDescent="0.15">
      <c r="A280" s="36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2"/>
    </row>
    <row r="281" spans="1:26" x14ac:dyDescent="0.15">
      <c r="A281" s="36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2"/>
    </row>
    <row r="282" spans="1:26" x14ac:dyDescent="0.15">
      <c r="A282" s="36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2"/>
    </row>
    <row r="283" spans="1:26" x14ac:dyDescent="0.15">
      <c r="A283" s="36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2"/>
    </row>
    <row r="284" spans="1:26" x14ac:dyDescent="0.15">
      <c r="A284" s="36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2"/>
    </row>
    <row r="285" spans="1:26" x14ac:dyDescent="0.15">
      <c r="A285" s="36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2"/>
    </row>
    <row r="286" spans="1:26" x14ac:dyDescent="0.15">
      <c r="A286" s="36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2"/>
    </row>
    <row r="287" spans="1:26" x14ac:dyDescent="0.15">
      <c r="A287" s="36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2"/>
    </row>
    <row r="288" spans="1:26" x14ac:dyDescent="0.15">
      <c r="A288" s="36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2"/>
    </row>
    <row r="289" spans="1:26" x14ac:dyDescent="0.15">
      <c r="A289" s="36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2"/>
    </row>
    <row r="290" spans="1:26" x14ac:dyDescent="0.15">
      <c r="A290" s="36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2"/>
    </row>
    <row r="291" spans="1:26" x14ac:dyDescent="0.15">
      <c r="A291" s="36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2"/>
    </row>
    <row r="292" spans="1:26" x14ac:dyDescent="0.15">
      <c r="A292" s="36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2"/>
    </row>
    <row r="293" spans="1:26" x14ac:dyDescent="0.15">
      <c r="A293" s="36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2"/>
    </row>
    <row r="294" spans="1:26" x14ac:dyDescent="0.15">
      <c r="A294" s="36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2"/>
    </row>
    <row r="295" spans="1:26" x14ac:dyDescent="0.15">
      <c r="A295" s="36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2"/>
    </row>
    <row r="296" spans="1:26" x14ac:dyDescent="0.15">
      <c r="A296" s="36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2"/>
    </row>
    <row r="297" spans="1:26" x14ac:dyDescent="0.15">
      <c r="A297" s="36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2"/>
    </row>
    <row r="298" spans="1:26" x14ac:dyDescent="0.15">
      <c r="A298" s="36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2"/>
    </row>
    <row r="299" spans="1:26" x14ac:dyDescent="0.15">
      <c r="A299" s="36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2"/>
    </row>
    <row r="300" spans="1:26" x14ac:dyDescent="0.15">
      <c r="A300" s="36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2"/>
    </row>
    <row r="301" spans="1:26" x14ac:dyDescent="0.15">
      <c r="A301" s="36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2"/>
    </row>
    <row r="302" spans="1:26" x14ac:dyDescent="0.15">
      <c r="A302" s="36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2"/>
    </row>
    <row r="303" spans="1:26" x14ac:dyDescent="0.15">
      <c r="A303" s="36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2"/>
    </row>
    <row r="304" spans="1:26" x14ac:dyDescent="0.15">
      <c r="A304" s="36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2"/>
    </row>
    <row r="305" spans="1:26" x14ac:dyDescent="0.15">
      <c r="A305" s="36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2"/>
    </row>
    <row r="306" spans="1:26" x14ac:dyDescent="0.15">
      <c r="A306" s="36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2"/>
    </row>
    <row r="307" spans="1:26" x14ac:dyDescent="0.15">
      <c r="A307" s="36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2"/>
    </row>
    <row r="308" spans="1:26" x14ac:dyDescent="0.15">
      <c r="A308" s="36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2"/>
    </row>
    <row r="309" spans="1:26" x14ac:dyDescent="0.15">
      <c r="A309" s="36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2"/>
    </row>
    <row r="310" spans="1:26" x14ac:dyDescent="0.15">
      <c r="A310" s="36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2"/>
    </row>
    <row r="311" spans="1:26" x14ac:dyDescent="0.15">
      <c r="A311" s="36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2"/>
    </row>
    <row r="312" spans="1:26" x14ac:dyDescent="0.15">
      <c r="A312" s="36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2"/>
    </row>
    <row r="313" spans="1:26" x14ac:dyDescent="0.15">
      <c r="A313" s="36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2"/>
    </row>
    <row r="314" spans="1:26" x14ac:dyDescent="0.15">
      <c r="A314" s="36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2"/>
    </row>
    <row r="315" spans="1:26" x14ac:dyDescent="0.15">
      <c r="A315" s="36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2"/>
    </row>
    <row r="316" spans="1:26" x14ac:dyDescent="0.15">
      <c r="A316" s="36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2"/>
    </row>
    <row r="317" spans="1:26" x14ac:dyDescent="0.15">
      <c r="A317" s="36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2"/>
    </row>
    <row r="318" spans="1:26" x14ac:dyDescent="0.15">
      <c r="A318" s="36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2"/>
    </row>
    <row r="319" spans="1:26" x14ac:dyDescent="0.15">
      <c r="A319" s="36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2"/>
    </row>
    <row r="320" spans="1:26" x14ac:dyDescent="0.15">
      <c r="A320" s="36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2"/>
    </row>
    <row r="321" spans="1:26" x14ac:dyDescent="0.15">
      <c r="A321" s="36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2"/>
    </row>
    <row r="322" spans="1:26" x14ac:dyDescent="0.15">
      <c r="A322" s="36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2"/>
    </row>
    <row r="323" spans="1:26" x14ac:dyDescent="0.15">
      <c r="A323" s="36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2"/>
    </row>
    <row r="324" spans="1:26" x14ac:dyDescent="0.15">
      <c r="A324" s="36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2"/>
    </row>
    <row r="325" spans="1:26" x14ac:dyDescent="0.15">
      <c r="A325" s="36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2"/>
    </row>
    <row r="326" spans="1:26" x14ac:dyDescent="0.15">
      <c r="A326" s="36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2"/>
    </row>
    <row r="327" spans="1:26" x14ac:dyDescent="0.15">
      <c r="A327" s="36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2"/>
    </row>
    <row r="328" spans="1:26" x14ac:dyDescent="0.15">
      <c r="A328" s="36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2"/>
    </row>
    <row r="329" spans="1:26" x14ac:dyDescent="0.15">
      <c r="A329" s="36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2"/>
    </row>
    <row r="330" spans="1:26" x14ac:dyDescent="0.15">
      <c r="A330" s="36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2"/>
    </row>
    <row r="331" spans="1:26" x14ac:dyDescent="0.15">
      <c r="A331" s="36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2"/>
    </row>
    <row r="332" spans="1:26" x14ac:dyDescent="0.15">
      <c r="A332" s="36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2"/>
    </row>
    <row r="333" spans="1:26" x14ac:dyDescent="0.15">
      <c r="A333" s="36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2"/>
    </row>
    <row r="334" spans="1:26" x14ac:dyDescent="0.15">
      <c r="A334" s="36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2"/>
    </row>
    <row r="335" spans="1:26" x14ac:dyDescent="0.15">
      <c r="A335" s="36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2"/>
    </row>
    <row r="336" spans="1:26" x14ac:dyDescent="0.15">
      <c r="A336" s="36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2"/>
    </row>
    <row r="337" spans="1:26" x14ac:dyDescent="0.15">
      <c r="A337" s="36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2"/>
    </row>
    <row r="338" spans="1:26" x14ac:dyDescent="0.15">
      <c r="A338" s="36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2"/>
    </row>
    <row r="339" spans="1:26" x14ac:dyDescent="0.15">
      <c r="A339" s="36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2"/>
    </row>
    <row r="340" spans="1:26" x14ac:dyDescent="0.15">
      <c r="A340" s="36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2"/>
    </row>
    <row r="341" spans="1:26" x14ac:dyDescent="0.15">
      <c r="A341" s="36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2"/>
    </row>
    <row r="342" spans="1:26" x14ac:dyDescent="0.15">
      <c r="A342" s="36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2"/>
    </row>
    <row r="343" spans="1:26" x14ac:dyDescent="0.15">
      <c r="A343" s="36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2"/>
    </row>
    <row r="344" spans="1:26" x14ac:dyDescent="0.15">
      <c r="A344" s="36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2"/>
    </row>
    <row r="345" spans="1:26" x14ac:dyDescent="0.15">
      <c r="A345" s="36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2"/>
    </row>
    <row r="346" spans="1:26" x14ac:dyDescent="0.15">
      <c r="A346" s="36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2"/>
    </row>
    <row r="347" spans="1:26" x14ac:dyDescent="0.15">
      <c r="A347" s="36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2"/>
    </row>
    <row r="348" spans="1:26" x14ac:dyDescent="0.15">
      <c r="A348" s="36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2"/>
    </row>
    <row r="349" spans="1:26" x14ac:dyDescent="0.15">
      <c r="A349" s="36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2"/>
    </row>
    <row r="350" spans="1:26" x14ac:dyDescent="0.15">
      <c r="A350" s="36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2"/>
    </row>
    <row r="351" spans="1:26" x14ac:dyDescent="0.15">
      <c r="A351" s="36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2"/>
    </row>
    <row r="352" spans="1:26" x14ac:dyDescent="0.15">
      <c r="A352" s="36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2"/>
    </row>
    <row r="353" spans="1:26" x14ac:dyDescent="0.15">
      <c r="A353" s="36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2"/>
    </row>
    <row r="354" spans="1:26" x14ac:dyDescent="0.15">
      <c r="A354" s="36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2"/>
    </row>
    <row r="355" spans="1:26" x14ac:dyDescent="0.15">
      <c r="A355" s="36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2"/>
    </row>
    <row r="356" spans="1:26" x14ac:dyDescent="0.15">
      <c r="A356" s="36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2"/>
    </row>
    <row r="357" spans="1:26" x14ac:dyDescent="0.15">
      <c r="A357" s="36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2"/>
    </row>
    <row r="358" spans="1:26" x14ac:dyDescent="0.15">
      <c r="A358" s="36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2"/>
    </row>
    <row r="359" spans="1:26" x14ac:dyDescent="0.15">
      <c r="A359" s="36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2"/>
    </row>
    <row r="360" spans="1:26" x14ac:dyDescent="0.15">
      <c r="A360" s="36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2"/>
    </row>
    <row r="361" spans="1:26" x14ac:dyDescent="0.15">
      <c r="A361" s="36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2"/>
    </row>
    <row r="362" spans="1:26" x14ac:dyDescent="0.15">
      <c r="A362" s="36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2"/>
    </row>
    <row r="363" spans="1:26" x14ac:dyDescent="0.15">
      <c r="A363" s="36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2"/>
    </row>
    <row r="364" spans="1:26" x14ac:dyDescent="0.15">
      <c r="A364" s="36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2"/>
    </row>
    <row r="365" spans="1:26" x14ac:dyDescent="0.15">
      <c r="A365" s="36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2"/>
    </row>
    <row r="366" spans="1:26" x14ac:dyDescent="0.15">
      <c r="A366" s="36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2"/>
    </row>
    <row r="367" spans="1:26" x14ac:dyDescent="0.15">
      <c r="A367" s="36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2"/>
    </row>
    <row r="368" spans="1:26" x14ac:dyDescent="0.15">
      <c r="A368" s="36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2"/>
    </row>
    <row r="369" spans="1:26" x14ac:dyDescent="0.15">
      <c r="A369" s="36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2"/>
    </row>
    <row r="370" spans="1:26" x14ac:dyDescent="0.15">
      <c r="A370" s="36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2"/>
    </row>
    <row r="371" spans="1:26" x14ac:dyDescent="0.15">
      <c r="A371" s="36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2"/>
    </row>
    <row r="372" spans="1:26" x14ac:dyDescent="0.15">
      <c r="A372" s="36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2"/>
    </row>
    <row r="373" spans="1:26" x14ac:dyDescent="0.15">
      <c r="A373" s="36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2"/>
    </row>
    <row r="374" spans="1:26" x14ac:dyDescent="0.15">
      <c r="A374" s="36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2"/>
    </row>
    <row r="375" spans="1:26" x14ac:dyDescent="0.15">
      <c r="A375" s="36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2"/>
    </row>
    <row r="376" spans="1:26" x14ac:dyDescent="0.15">
      <c r="A376" s="36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2"/>
    </row>
    <row r="377" spans="1:26" x14ac:dyDescent="0.15">
      <c r="A377" s="36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2"/>
    </row>
    <row r="378" spans="1:26" x14ac:dyDescent="0.15">
      <c r="A378" s="36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2"/>
    </row>
    <row r="379" spans="1:26" x14ac:dyDescent="0.15">
      <c r="A379" s="36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2"/>
    </row>
    <row r="380" spans="1:26" x14ac:dyDescent="0.15">
      <c r="A380" s="36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2"/>
    </row>
    <row r="381" spans="1:26" x14ac:dyDescent="0.15">
      <c r="A381" s="36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2"/>
    </row>
    <row r="382" spans="1:26" x14ac:dyDescent="0.15">
      <c r="A382" s="36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2"/>
    </row>
    <row r="383" spans="1:26" x14ac:dyDescent="0.15">
      <c r="A383" s="36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2"/>
    </row>
    <row r="384" spans="1:26" x14ac:dyDescent="0.15">
      <c r="A384" s="36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2"/>
    </row>
    <row r="385" spans="1:26" x14ac:dyDescent="0.15">
      <c r="A385" s="36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2"/>
    </row>
    <row r="386" spans="1:26" x14ac:dyDescent="0.15">
      <c r="A386" s="36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2"/>
    </row>
    <row r="387" spans="1:26" x14ac:dyDescent="0.15">
      <c r="A387" s="36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2"/>
    </row>
    <row r="388" spans="1:26" x14ac:dyDescent="0.15">
      <c r="A388" s="36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2"/>
    </row>
    <row r="389" spans="1:26" x14ac:dyDescent="0.15">
      <c r="A389" s="36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2"/>
    </row>
    <row r="390" spans="1:26" x14ac:dyDescent="0.15">
      <c r="A390" s="36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2"/>
    </row>
    <row r="391" spans="1:26" x14ac:dyDescent="0.15">
      <c r="A391" s="36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2"/>
    </row>
    <row r="392" spans="1:26" x14ac:dyDescent="0.15">
      <c r="A392" s="36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2"/>
    </row>
    <row r="393" spans="1:26" x14ac:dyDescent="0.15">
      <c r="A393" s="36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2"/>
    </row>
    <row r="394" spans="1:26" x14ac:dyDescent="0.15">
      <c r="A394" s="36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2"/>
    </row>
    <row r="395" spans="1:26" x14ac:dyDescent="0.15">
      <c r="A395" s="36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2"/>
    </row>
    <row r="396" spans="1:26" x14ac:dyDescent="0.15">
      <c r="A396" s="36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2"/>
    </row>
    <row r="397" spans="1:26" x14ac:dyDescent="0.15">
      <c r="A397" s="36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2"/>
    </row>
    <row r="398" spans="1:26" x14ac:dyDescent="0.15">
      <c r="A398" s="36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2"/>
    </row>
    <row r="399" spans="1:26" x14ac:dyDescent="0.15">
      <c r="A399" s="36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2"/>
    </row>
    <row r="400" spans="1:26" x14ac:dyDescent="0.15">
      <c r="A400" s="36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2"/>
    </row>
    <row r="401" spans="1:26" x14ac:dyDescent="0.15">
      <c r="A401" s="36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2"/>
    </row>
    <row r="402" spans="1:26" x14ac:dyDescent="0.15">
      <c r="A402" s="36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2"/>
    </row>
    <row r="403" spans="1:26" x14ac:dyDescent="0.15">
      <c r="A403" s="36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2"/>
    </row>
    <row r="404" spans="1:26" x14ac:dyDescent="0.15">
      <c r="A404" s="36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2"/>
    </row>
    <row r="405" spans="1:26" x14ac:dyDescent="0.15">
      <c r="A405" s="36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2"/>
    </row>
    <row r="406" spans="1:26" x14ac:dyDescent="0.15">
      <c r="A406" s="36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2"/>
    </row>
    <row r="407" spans="1:26" x14ac:dyDescent="0.15">
      <c r="A407" s="36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2"/>
    </row>
    <row r="408" spans="1:26" x14ac:dyDescent="0.15">
      <c r="A408" s="36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2"/>
    </row>
    <row r="409" spans="1:26" x14ac:dyDescent="0.15">
      <c r="A409" s="36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2"/>
    </row>
    <row r="410" spans="1:26" x14ac:dyDescent="0.15">
      <c r="A410" s="36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2"/>
    </row>
    <row r="411" spans="1:26" x14ac:dyDescent="0.15">
      <c r="A411" s="36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2"/>
    </row>
    <row r="412" spans="1:26" x14ac:dyDescent="0.15">
      <c r="A412" s="36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2"/>
    </row>
    <row r="413" spans="1:26" x14ac:dyDescent="0.15">
      <c r="A413" s="36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2"/>
    </row>
    <row r="414" spans="1:26" x14ac:dyDescent="0.15">
      <c r="A414" s="36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2"/>
    </row>
    <row r="415" spans="1:26" x14ac:dyDescent="0.15">
      <c r="A415" s="36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2"/>
    </row>
    <row r="416" spans="1:26" x14ac:dyDescent="0.15">
      <c r="A416" s="36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2"/>
    </row>
    <row r="417" spans="1:26" x14ac:dyDescent="0.15">
      <c r="A417" s="36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2"/>
    </row>
    <row r="418" spans="1:26" x14ac:dyDescent="0.15">
      <c r="A418" s="36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2"/>
    </row>
    <row r="419" spans="1:26" x14ac:dyDescent="0.15">
      <c r="A419" s="36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2"/>
    </row>
    <row r="420" spans="1:26" x14ac:dyDescent="0.15">
      <c r="A420" s="36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2"/>
    </row>
    <row r="421" spans="1:26" x14ac:dyDescent="0.15">
      <c r="A421" s="36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2"/>
    </row>
    <row r="422" spans="1:26" x14ac:dyDescent="0.15">
      <c r="A422" s="36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2"/>
    </row>
    <row r="423" spans="1:26" x14ac:dyDescent="0.15">
      <c r="A423" s="36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2"/>
    </row>
    <row r="424" spans="1:26" x14ac:dyDescent="0.15">
      <c r="A424" s="36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2"/>
    </row>
    <row r="425" spans="1:26" x14ac:dyDescent="0.15">
      <c r="A425" s="36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2"/>
    </row>
    <row r="426" spans="1:26" x14ac:dyDescent="0.15">
      <c r="A426" s="36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2"/>
    </row>
    <row r="427" spans="1:26" x14ac:dyDescent="0.15">
      <c r="A427" s="36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2"/>
    </row>
    <row r="428" spans="1:26" x14ac:dyDescent="0.15">
      <c r="A428" s="36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2"/>
    </row>
    <row r="429" spans="1:26" x14ac:dyDescent="0.15">
      <c r="A429" s="36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2"/>
    </row>
    <row r="430" spans="1:26" x14ac:dyDescent="0.15">
      <c r="A430" s="36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2"/>
    </row>
    <row r="431" spans="1:26" x14ac:dyDescent="0.15">
      <c r="A431" s="36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2"/>
    </row>
    <row r="432" spans="1:26" x14ac:dyDescent="0.15">
      <c r="A432" s="36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2"/>
    </row>
    <row r="433" spans="1:26" x14ac:dyDescent="0.15">
      <c r="A433" s="36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2"/>
    </row>
    <row r="434" spans="1:26" x14ac:dyDescent="0.15">
      <c r="A434" s="36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2"/>
    </row>
    <row r="435" spans="1:26" x14ac:dyDescent="0.15">
      <c r="A435" s="36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2"/>
    </row>
    <row r="436" spans="1:26" x14ac:dyDescent="0.15">
      <c r="A436" s="36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2"/>
    </row>
    <row r="437" spans="1:26" x14ac:dyDescent="0.15">
      <c r="A437" s="36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2"/>
    </row>
    <row r="438" spans="1:26" x14ac:dyDescent="0.15">
      <c r="A438" s="36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2"/>
    </row>
    <row r="439" spans="1:26" x14ac:dyDescent="0.15">
      <c r="A439" s="36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2"/>
    </row>
    <row r="440" spans="1:26" x14ac:dyDescent="0.15">
      <c r="A440" s="36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2"/>
    </row>
    <row r="441" spans="1:26" x14ac:dyDescent="0.15">
      <c r="A441" s="36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2"/>
    </row>
    <row r="442" spans="1:26" x14ac:dyDescent="0.15">
      <c r="A442" s="36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2"/>
    </row>
    <row r="443" spans="1:26" x14ac:dyDescent="0.15">
      <c r="A443" s="36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2"/>
    </row>
    <row r="444" spans="1:26" x14ac:dyDescent="0.15">
      <c r="A444" s="36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2"/>
    </row>
    <row r="445" spans="1:26" x14ac:dyDescent="0.15">
      <c r="A445" s="36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2"/>
    </row>
    <row r="446" spans="1:26" x14ac:dyDescent="0.15">
      <c r="A446" s="36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2"/>
    </row>
    <row r="447" spans="1:26" x14ac:dyDescent="0.15">
      <c r="A447" s="36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2"/>
    </row>
    <row r="448" spans="1:26" x14ac:dyDescent="0.15">
      <c r="A448" s="36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2"/>
    </row>
    <row r="449" spans="1:26" x14ac:dyDescent="0.15">
      <c r="A449" s="36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2"/>
    </row>
    <row r="450" spans="1:26" x14ac:dyDescent="0.15">
      <c r="A450" s="36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2"/>
    </row>
    <row r="451" spans="1:26" x14ac:dyDescent="0.15">
      <c r="A451" s="36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2"/>
    </row>
    <row r="452" spans="1:26" x14ac:dyDescent="0.15">
      <c r="A452" s="36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2"/>
    </row>
    <row r="453" spans="1:26" x14ac:dyDescent="0.15">
      <c r="A453" s="36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2"/>
    </row>
    <row r="454" spans="1:26" x14ac:dyDescent="0.15">
      <c r="A454" s="36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2"/>
    </row>
    <row r="455" spans="1:26" x14ac:dyDescent="0.15">
      <c r="A455" s="36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2"/>
    </row>
    <row r="456" spans="1:26" x14ac:dyDescent="0.15">
      <c r="A456" s="36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2"/>
    </row>
    <row r="457" spans="1:26" x14ac:dyDescent="0.15">
      <c r="A457" s="36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2"/>
    </row>
    <row r="458" spans="1:26" x14ac:dyDescent="0.15">
      <c r="A458" s="36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2"/>
    </row>
    <row r="459" spans="1:26" x14ac:dyDescent="0.15">
      <c r="A459" s="36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2"/>
    </row>
    <row r="460" spans="1:26" x14ac:dyDescent="0.15">
      <c r="A460" s="36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2"/>
    </row>
    <row r="461" spans="1:26" x14ac:dyDescent="0.15">
      <c r="A461" s="36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2"/>
    </row>
    <row r="462" spans="1:26" x14ac:dyDescent="0.15">
      <c r="A462" s="36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2"/>
    </row>
    <row r="463" spans="1:26" x14ac:dyDescent="0.15">
      <c r="A463" s="36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2"/>
    </row>
    <row r="464" spans="1:26" x14ac:dyDescent="0.15">
      <c r="A464" s="36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2"/>
    </row>
    <row r="465" spans="1:26" x14ac:dyDescent="0.15">
      <c r="A465" s="36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2"/>
    </row>
    <row r="466" spans="1:26" x14ac:dyDescent="0.15">
      <c r="A466" s="36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2"/>
    </row>
    <row r="467" spans="1:26" x14ac:dyDescent="0.15">
      <c r="A467" s="36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2"/>
    </row>
    <row r="468" spans="1:26" x14ac:dyDescent="0.15">
      <c r="A468" s="36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2"/>
    </row>
    <row r="469" spans="1:26" x14ac:dyDescent="0.15">
      <c r="A469" s="36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2"/>
    </row>
    <row r="470" spans="1:26" x14ac:dyDescent="0.15">
      <c r="A470" s="36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2"/>
    </row>
    <row r="471" spans="1:26" x14ac:dyDescent="0.15">
      <c r="A471" s="36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2"/>
    </row>
    <row r="472" spans="1:26" x14ac:dyDescent="0.15">
      <c r="A472" s="36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2"/>
    </row>
    <row r="473" spans="1:26" x14ac:dyDescent="0.15">
      <c r="A473" s="36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2"/>
    </row>
    <row r="474" spans="1:26" x14ac:dyDescent="0.15">
      <c r="A474" s="36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2"/>
    </row>
    <row r="475" spans="1:26" x14ac:dyDescent="0.15">
      <c r="A475" s="36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2"/>
    </row>
    <row r="476" spans="1:26" x14ac:dyDescent="0.15">
      <c r="A476" s="36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2"/>
    </row>
    <row r="477" spans="1:26" x14ac:dyDescent="0.15">
      <c r="A477" s="36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2"/>
    </row>
    <row r="478" spans="1:26" x14ac:dyDescent="0.15">
      <c r="A478" s="36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2"/>
    </row>
    <row r="479" spans="1:26" x14ac:dyDescent="0.15">
      <c r="A479" s="36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2"/>
    </row>
    <row r="480" spans="1:26" x14ac:dyDescent="0.15">
      <c r="A480" s="36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2"/>
    </row>
    <row r="481" spans="1:26" x14ac:dyDescent="0.15">
      <c r="A481" s="36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2"/>
    </row>
    <row r="482" spans="1:26" x14ac:dyDescent="0.15">
      <c r="A482" s="36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2"/>
    </row>
    <row r="483" spans="1:26" x14ac:dyDescent="0.15">
      <c r="A483" s="36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2"/>
    </row>
    <row r="484" spans="1:26" x14ac:dyDescent="0.15">
      <c r="A484" s="36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2"/>
    </row>
    <row r="485" spans="1:26" x14ac:dyDescent="0.15">
      <c r="A485" s="36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2"/>
    </row>
    <row r="486" spans="1:26" x14ac:dyDescent="0.15">
      <c r="A486" s="36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2"/>
    </row>
    <row r="487" spans="1:26" x14ac:dyDescent="0.15">
      <c r="A487" s="36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2"/>
    </row>
    <row r="488" spans="1:26" x14ac:dyDescent="0.15">
      <c r="A488" s="36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2"/>
    </row>
    <row r="489" spans="1:26" x14ac:dyDescent="0.15">
      <c r="A489" s="36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2"/>
    </row>
    <row r="490" spans="1:26" x14ac:dyDescent="0.15">
      <c r="A490" s="36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2"/>
    </row>
    <row r="491" spans="1:26" x14ac:dyDescent="0.15">
      <c r="A491" s="36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2"/>
    </row>
    <row r="492" spans="1:26" x14ac:dyDescent="0.15">
      <c r="A492" s="36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2"/>
    </row>
    <row r="493" spans="1:26" x14ac:dyDescent="0.15">
      <c r="A493" s="36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2"/>
    </row>
    <row r="494" spans="1:26" x14ac:dyDescent="0.15">
      <c r="A494" s="36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2"/>
    </row>
    <row r="495" spans="1:26" x14ac:dyDescent="0.15">
      <c r="A495" s="36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2"/>
    </row>
    <row r="496" spans="1:26" x14ac:dyDescent="0.15">
      <c r="A496" s="36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2"/>
    </row>
    <row r="497" spans="1:26" x14ac:dyDescent="0.15">
      <c r="A497" s="36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2"/>
    </row>
    <row r="498" spans="1:26" x14ac:dyDescent="0.15">
      <c r="A498" s="36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2"/>
    </row>
    <row r="499" spans="1:26" x14ac:dyDescent="0.15">
      <c r="A499" s="36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2"/>
    </row>
    <row r="500" spans="1:26" x14ac:dyDescent="0.15">
      <c r="A500" s="36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2"/>
    </row>
    <row r="501" spans="1:26" x14ac:dyDescent="0.15">
      <c r="A501" s="36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2"/>
    </row>
    <row r="502" spans="1:26" x14ac:dyDescent="0.15">
      <c r="A502" s="36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2"/>
    </row>
    <row r="503" spans="1:26" x14ac:dyDescent="0.15">
      <c r="A503" s="36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2"/>
    </row>
    <row r="504" spans="1:26" x14ac:dyDescent="0.15">
      <c r="A504" s="36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2"/>
    </row>
    <row r="505" spans="1:26" x14ac:dyDescent="0.15">
      <c r="A505" s="36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2"/>
    </row>
    <row r="506" spans="1:26" x14ac:dyDescent="0.15">
      <c r="A506" s="36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2"/>
    </row>
    <row r="507" spans="1:26" x14ac:dyDescent="0.15">
      <c r="A507" s="36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2"/>
    </row>
    <row r="508" spans="1:26" x14ac:dyDescent="0.15">
      <c r="A508" s="36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2"/>
    </row>
    <row r="509" spans="1:26" x14ac:dyDescent="0.15">
      <c r="A509" s="36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2"/>
    </row>
    <row r="510" spans="1:26" x14ac:dyDescent="0.15">
      <c r="A510" s="36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2"/>
    </row>
    <row r="511" spans="1:26" x14ac:dyDescent="0.15">
      <c r="A511" s="36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2"/>
    </row>
    <row r="512" spans="1:26" x14ac:dyDescent="0.15">
      <c r="A512" s="36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2"/>
    </row>
    <row r="513" spans="1:26" x14ac:dyDescent="0.15">
      <c r="A513" s="36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2"/>
    </row>
    <row r="514" spans="1:26" x14ac:dyDescent="0.15">
      <c r="A514" s="36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2"/>
    </row>
    <row r="515" spans="1:26" x14ac:dyDescent="0.15">
      <c r="A515" s="36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2"/>
    </row>
    <row r="516" spans="1:26" x14ac:dyDescent="0.15">
      <c r="A516" s="36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2"/>
    </row>
    <row r="517" spans="1:26" x14ac:dyDescent="0.15">
      <c r="A517" s="36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2"/>
    </row>
    <row r="518" spans="1:26" x14ac:dyDescent="0.15">
      <c r="A518" s="36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2"/>
    </row>
    <row r="519" spans="1:26" x14ac:dyDescent="0.15">
      <c r="A519" s="36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2"/>
    </row>
    <row r="520" spans="1:26" x14ac:dyDescent="0.15">
      <c r="A520" s="36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2"/>
    </row>
    <row r="521" spans="1:26" x14ac:dyDescent="0.15">
      <c r="A521" s="36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2"/>
    </row>
    <row r="522" spans="1:26" x14ac:dyDescent="0.15">
      <c r="A522" s="36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2"/>
    </row>
    <row r="523" spans="1:26" x14ac:dyDescent="0.15">
      <c r="A523" s="36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2"/>
    </row>
    <row r="524" spans="1:26" x14ac:dyDescent="0.15">
      <c r="A524" s="36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2"/>
    </row>
    <row r="525" spans="1:26" x14ac:dyDescent="0.15">
      <c r="A525" s="36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2"/>
    </row>
    <row r="526" spans="1:26" x14ac:dyDescent="0.15">
      <c r="A526" s="36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2"/>
    </row>
    <row r="527" spans="1:26" x14ac:dyDescent="0.15">
      <c r="A527" s="36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2"/>
    </row>
    <row r="528" spans="1:26" x14ac:dyDescent="0.15">
      <c r="A528" s="36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2"/>
    </row>
    <row r="529" spans="1:26" x14ac:dyDescent="0.15">
      <c r="A529" s="36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2"/>
    </row>
    <row r="530" spans="1:26" x14ac:dyDescent="0.15">
      <c r="A530" s="36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2"/>
    </row>
    <row r="531" spans="1:26" x14ac:dyDescent="0.15">
      <c r="A531" s="36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2"/>
    </row>
    <row r="532" spans="1:26" x14ac:dyDescent="0.15">
      <c r="A532" s="36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2"/>
    </row>
    <row r="533" spans="1:26" x14ac:dyDescent="0.15">
      <c r="A533" s="36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2"/>
    </row>
    <row r="534" spans="1:26" x14ac:dyDescent="0.15">
      <c r="A534" s="36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2"/>
    </row>
    <row r="535" spans="1:26" x14ac:dyDescent="0.15">
      <c r="A535" s="36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2"/>
    </row>
    <row r="536" spans="1:26" x14ac:dyDescent="0.15">
      <c r="A536" s="36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2"/>
    </row>
    <row r="537" spans="1:26" x14ac:dyDescent="0.15">
      <c r="A537" s="36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2"/>
    </row>
    <row r="538" spans="1:26" x14ac:dyDescent="0.15">
      <c r="A538" s="36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2"/>
    </row>
    <row r="539" spans="1:26" x14ac:dyDescent="0.15">
      <c r="A539" s="36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2"/>
    </row>
    <row r="540" spans="1:26" x14ac:dyDescent="0.15">
      <c r="A540" s="36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2"/>
    </row>
    <row r="541" spans="1:26" x14ac:dyDescent="0.15">
      <c r="A541" s="36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2"/>
    </row>
    <row r="542" spans="1:26" x14ac:dyDescent="0.15">
      <c r="A542" s="36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2"/>
    </row>
    <row r="543" spans="1:26" x14ac:dyDescent="0.15">
      <c r="A543" s="36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2"/>
    </row>
    <row r="544" spans="1:26" x14ac:dyDescent="0.15">
      <c r="A544" s="36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2"/>
    </row>
    <row r="545" spans="1:26" x14ac:dyDescent="0.15">
      <c r="A545" s="36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2"/>
    </row>
    <row r="546" spans="1:26" x14ac:dyDescent="0.15">
      <c r="A546" s="36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2"/>
    </row>
    <row r="547" spans="1:26" x14ac:dyDescent="0.15">
      <c r="A547" s="36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2"/>
    </row>
    <row r="548" spans="1:26" x14ac:dyDescent="0.15">
      <c r="A548" s="36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2"/>
    </row>
    <row r="549" spans="1:26" x14ac:dyDescent="0.15">
      <c r="A549" s="36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2"/>
    </row>
    <row r="550" spans="1:26" x14ac:dyDescent="0.15">
      <c r="A550" s="36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2"/>
    </row>
    <row r="551" spans="1:26" x14ac:dyDescent="0.15">
      <c r="A551" s="36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2"/>
    </row>
    <row r="552" spans="1:26" x14ac:dyDescent="0.15">
      <c r="A552" s="36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2"/>
    </row>
    <row r="553" spans="1:26" x14ac:dyDescent="0.15">
      <c r="A553" s="36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2"/>
    </row>
    <row r="554" spans="1:26" x14ac:dyDescent="0.15">
      <c r="A554" s="36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2"/>
    </row>
    <row r="555" spans="1:26" x14ac:dyDescent="0.15">
      <c r="A555" s="36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2"/>
    </row>
    <row r="556" spans="1:26" x14ac:dyDescent="0.15">
      <c r="A556" s="36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2"/>
    </row>
    <row r="557" spans="1:26" x14ac:dyDescent="0.15">
      <c r="A557" s="36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2"/>
    </row>
    <row r="558" spans="1:26" x14ac:dyDescent="0.15">
      <c r="A558" s="36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2"/>
    </row>
    <row r="559" spans="1:26" x14ac:dyDescent="0.15">
      <c r="A559" s="36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2"/>
    </row>
    <row r="560" spans="1:26" x14ac:dyDescent="0.15">
      <c r="A560" s="36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2"/>
    </row>
    <row r="561" spans="1:26" x14ac:dyDescent="0.15">
      <c r="A561" s="36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2"/>
    </row>
    <row r="562" spans="1:26" x14ac:dyDescent="0.15">
      <c r="A562" s="36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2"/>
    </row>
    <row r="563" spans="1:26" x14ac:dyDescent="0.15">
      <c r="A563" s="36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2"/>
    </row>
    <row r="564" spans="1:26" x14ac:dyDescent="0.15">
      <c r="A564" s="36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2"/>
    </row>
    <row r="565" spans="1:26" x14ac:dyDescent="0.15">
      <c r="A565" s="36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2"/>
    </row>
    <row r="566" spans="1:26" x14ac:dyDescent="0.15">
      <c r="A566" s="36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2"/>
    </row>
    <row r="567" spans="1:26" x14ac:dyDescent="0.15">
      <c r="A567" s="36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2"/>
    </row>
    <row r="568" spans="1:26" x14ac:dyDescent="0.15">
      <c r="A568" s="36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2"/>
    </row>
    <row r="569" spans="1:26" x14ac:dyDescent="0.15">
      <c r="A569" s="36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2"/>
    </row>
    <row r="570" spans="1:26" x14ac:dyDescent="0.15">
      <c r="A570" s="36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2"/>
    </row>
    <row r="571" spans="1:26" x14ac:dyDescent="0.15">
      <c r="A571" s="36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2"/>
    </row>
    <row r="572" spans="1:26" x14ac:dyDescent="0.15">
      <c r="A572" s="36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2"/>
    </row>
    <row r="573" spans="1:26" x14ac:dyDescent="0.15">
      <c r="A573" s="36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2"/>
    </row>
    <row r="574" spans="1:26" x14ac:dyDescent="0.15">
      <c r="A574" s="36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2"/>
    </row>
    <row r="575" spans="1:26" x14ac:dyDescent="0.15">
      <c r="A575" s="36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2"/>
    </row>
    <row r="576" spans="1:26" x14ac:dyDescent="0.15">
      <c r="A576" s="36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2"/>
    </row>
    <row r="577" spans="1:26" x14ac:dyDescent="0.15">
      <c r="A577" s="36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2"/>
    </row>
    <row r="578" spans="1:26" x14ac:dyDescent="0.15">
      <c r="A578" s="36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2"/>
    </row>
    <row r="579" spans="1:26" x14ac:dyDescent="0.15">
      <c r="A579" s="36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2"/>
    </row>
    <row r="580" spans="1:26" x14ac:dyDescent="0.15">
      <c r="A580" s="36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2"/>
    </row>
    <row r="581" spans="1:26" x14ac:dyDescent="0.15">
      <c r="A581" s="36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2"/>
    </row>
    <row r="582" spans="1:26" x14ac:dyDescent="0.15">
      <c r="A582" s="36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2"/>
    </row>
    <row r="583" spans="1:26" x14ac:dyDescent="0.15">
      <c r="A583" s="36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2"/>
    </row>
    <row r="584" spans="1:26" x14ac:dyDescent="0.15">
      <c r="A584" s="36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2"/>
    </row>
    <row r="585" spans="1:26" x14ac:dyDescent="0.15">
      <c r="A585" s="36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2"/>
    </row>
    <row r="586" spans="1:26" x14ac:dyDescent="0.15">
      <c r="A586" s="36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2"/>
    </row>
    <row r="587" spans="1:26" x14ac:dyDescent="0.15">
      <c r="A587" s="36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2"/>
    </row>
    <row r="588" spans="1:26" x14ac:dyDescent="0.15">
      <c r="A588" s="36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2"/>
    </row>
    <row r="589" spans="1:26" x14ac:dyDescent="0.15">
      <c r="A589" s="36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2"/>
    </row>
    <row r="590" spans="1:26" x14ac:dyDescent="0.15">
      <c r="A590" s="36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2"/>
    </row>
    <row r="591" spans="1:26" x14ac:dyDescent="0.15">
      <c r="A591" s="36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2"/>
    </row>
    <row r="592" spans="1:26" x14ac:dyDescent="0.15">
      <c r="A592" s="36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2"/>
    </row>
    <row r="593" spans="1:26" x14ac:dyDescent="0.15">
      <c r="A593" s="36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2"/>
    </row>
    <row r="594" spans="1:26" x14ac:dyDescent="0.15">
      <c r="A594" s="36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2"/>
    </row>
    <row r="595" spans="1:26" x14ac:dyDescent="0.15">
      <c r="A595" s="36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2"/>
    </row>
    <row r="596" spans="1:26" x14ac:dyDescent="0.15">
      <c r="A596" s="36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2"/>
    </row>
    <row r="597" spans="1:26" x14ac:dyDescent="0.15">
      <c r="A597" s="36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2"/>
    </row>
    <row r="598" spans="1:26" x14ac:dyDescent="0.15">
      <c r="A598" s="36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2"/>
    </row>
    <row r="599" spans="1:26" x14ac:dyDescent="0.15">
      <c r="A599" s="36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2"/>
    </row>
    <row r="600" spans="1:26" x14ac:dyDescent="0.15">
      <c r="A600" s="36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2"/>
    </row>
    <row r="601" spans="1:26" x14ac:dyDescent="0.15">
      <c r="A601" s="36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2"/>
    </row>
    <row r="602" spans="1:26" x14ac:dyDescent="0.15">
      <c r="A602" s="36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2"/>
    </row>
    <row r="603" spans="1:26" x14ac:dyDescent="0.15">
      <c r="A603" s="36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2"/>
    </row>
    <row r="604" spans="1:26" x14ac:dyDescent="0.15">
      <c r="A604" s="36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2"/>
    </row>
    <row r="605" spans="1:26" x14ac:dyDescent="0.15">
      <c r="A605" s="36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2"/>
    </row>
    <row r="606" spans="1:26" x14ac:dyDescent="0.15">
      <c r="A606" s="36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2"/>
    </row>
    <row r="607" spans="1:26" x14ac:dyDescent="0.15">
      <c r="A607" s="36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2"/>
    </row>
    <row r="608" spans="1:26" x14ac:dyDescent="0.15">
      <c r="A608" s="36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2"/>
    </row>
    <row r="609" spans="1:26" x14ac:dyDescent="0.15">
      <c r="A609" s="36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2"/>
    </row>
    <row r="610" spans="1:26" x14ac:dyDescent="0.15">
      <c r="A610" s="36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2"/>
    </row>
    <row r="611" spans="1:26" x14ac:dyDescent="0.15">
      <c r="A611" s="36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2"/>
    </row>
    <row r="612" spans="1:26" x14ac:dyDescent="0.15">
      <c r="A612" s="36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2"/>
    </row>
    <row r="613" spans="1:26" x14ac:dyDescent="0.15">
      <c r="A613" s="36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2"/>
    </row>
    <row r="614" spans="1:26" x14ac:dyDescent="0.15">
      <c r="A614" s="36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2"/>
    </row>
    <row r="615" spans="1:26" x14ac:dyDescent="0.15">
      <c r="A615" s="36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2"/>
    </row>
    <row r="616" spans="1:26" x14ac:dyDescent="0.15">
      <c r="A616" s="36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2"/>
    </row>
    <row r="617" spans="1:26" x14ac:dyDescent="0.15">
      <c r="A617" s="36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2"/>
    </row>
    <row r="618" spans="1:26" x14ac:dyDescent="0.15">
      <c r="A618" s="36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2"/>
    </row>
    <row r="619" spans="1:26" x14ac:dyDescent="0.15">
      <c r="A619" s="36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2"/>
    </row>
    <row r="620" spans="1:26" x14ac:dyDescent="0.15">
      <c r="A620" s="36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2"/>
    </row>
    <row r="621" spans="1:26" x14ac:dyDescent="0.15">
      <c r="A621" s="36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2"/>
    </row>
    <row r="622" spans="1:26" x14ac:dyDescent="0.15">
      <c r="A622" s="36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2"/>
    </row>
    <row r="623" spans="1:26" x14ac:dyDescent="0.15">
      <c r="A623" s="36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2"/>
    </row>
    <row r="624" spans="1:26" x14ac:dyDescent="0.15">
      <c r="A624" s="36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2"/>
    </row>
    <row r="625" spans="1:26" x14ac:dyDescent="0.15">
      <c r="A625" s="36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2"/>
    </row>
    <row r="626" spans="1:26" x14ac:dyDescent="0.15">
      <c r="A626" s="36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2"/>
    </row>
    <row r="627" spans="1:26" x14ac:dyDescent="0.15">
      <c r="A627" s="36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2"/>
    </row>
    <row r="628" spans="1:26" x14ac:dyDescent="0.15">
      <c r="A628" s="36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2"/>
    </row>
    <row r="629" spans="1:26" x14ac:dyDescent="0.15">
      <c r="A629" s="36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2"/>
    </row>
    <row r="630" spans="1:26" x14ac:dyDescent="0.15">
      <c r="A630" s="36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2"/>
    </row>
    <row r="631" spans="1:26" x14ac:dyDescent="0.15">
      <c r="A631" s="36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2"/>
    </row>
    <row r="632" spans="1:26" x14ac:dyDescent="0.15">
      <c r="A632" s="36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2"/>
    </row>
    <row r="633" spans="1:26" x14ac:dyDescent="0.15">
      <c r="A633" s="36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2"/>
    </row>
    <row r="634" spans="1:26" x14ac:dyDescent="0.15">
      <c r="A634" s="36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2"/>
    </row>
    <row r="635" spans="1:26" x14ac:dyDescent="0.15">
      <c r="A635" s="36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2"/>
    </row>
    <row r="636" spans="1:26" x14ac:dyDescent="0.15">
      <c r="A636" s="36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2"/>
    </row>
    <row r="637" spans="1:26" x14ac:dyDescent="0.15">
      <c r="A637" s="36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2"/>
    </row>
    <row r="638" spans="1:26" x14ac:dyDescent="0.15">
      <c r="A638" s="36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2"/>
    </row>
    <row r="639" spans="1:26" x14ac:dyDescent="0.15">
      <c r="A639" s="36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2"/>
    </row>
    <row r="640" spans="1:26" x14ac:dyDescent="0.15">
      <c r="A640" s="36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2"/>
    </row>
    <row r="641" spans="1:26" x14ac:dyDescent="0.15">
      <c r="A641" s="36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2"/>
    </row>
    <row r="642" spans="1:26" x14ac:dyDescent="0.15">
      <c r="A642" s="36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2"/>
    </row>
    <row r="643" spans="1:26" x14ac:dyDescent="0.15">
      <c r="A643" s="36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2"/>
    </row>
    <row r="644" spans="1:26" x14ac:dyDescent="0.15">
      <c r="A644" s="36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2"/>
    </row>
    <row r="645" spans="1:26" x14ac:dyDescent="0.15">
      <c r="A645" s="36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2"/>
    </row>
    <row r="646" spans="1:26" x14ac:dyDescent="0.15">
      <c r="A646" s="36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2"/>
    </row>
    <row r="647" spans="1:26" x14ac:dyDescent="0.15">
      <c r="A647" s="36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2"/>
    </row>
    <row r="648" spans="1:26" x14ac:dyDescent="0.15">
      <c r="A648" s="36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2"/>
    </row>
    <row r="649" spans="1:26" x14ac:dyDescent="0.15">
      <c r="A649" s="36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2"/>
    </row>
    <row r="650" spans="1:26" x14ac:dyDescent="0.15">
      <c r="A650" s="36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2"/>
    </row>
    <row r="651" spans="1:26" x14ac:dyDescent="0.15">
      <c r="A651" s="36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2"/>
    </row>
    <row r="652" spans="1:26" x14ac:dyDescent="0.15">
      <c r="A652" s="36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2"/>
    </row>
    <row r="653" spans="1:26" x14ac:dyDescent="0.15">
      <c r="A653" s="36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2"/>
    </row>
    <row r="654" spans="1:26" x14ac:dyDescent="0.15">
      <c r="A654" s="36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2"/>
    </row>
    <row r="655" spans="1:26" x14ac:dyDescent="0.15">
      <c r="A655" s="36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2"/>
    </row>
    <row r="656" spans="1:26" x14ac:dyDescent="0.15">
      <c r="A656" s="36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2"/>
    </row>
    <row r="657" spans="1:26" x14ac:dyDescent="0.15">
      <c r="A657" s="36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2"/>
    </row>
    <row r="658" spans="1:26" x14ac:dyDescent="0.15">
      <c r="A658" s="36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2"/>
    </row>
    <row r="659" spans="1:26" x14ac:dyDescent="0.15">
      <c r="A659" s="36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2"/>
    </row>
    <row r="660" spans="1:26" x14ac:dyDescent="0.15">
      <c r="A660" s="36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2"/>
    </row>
    <row r="661" spans="1:26" x14ac:dyDescent="0.15">
      <c r="A661" s="36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2"/>
    </row>
    <row r="662" spans="1:26" x14ac:dyDescent="0.15">
      <c r="A662" s="36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2"/>
    </row>
    <row r="663" spans="1:26" x14ac:dyDescent="0.15">
      <c r="A663" s="36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2"/>
    </row>
    <row r="664" spans="1:26" x14ac:dyDescent="0.15">
      <c r="A664" s="36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2"/>
    </row>
    <row r="665" spans="1:26" x14ac:dyDescent="0.15">
      <c r="A665" s="36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2"/>
    </row>
    <row r="666" spans="1:26" x14ac:dyDescent="0.15">
      <c r="A666" s="36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2"/>
    </row>
    <row r="667" spans="1:26" x14ac:dyDescent="0.15">
      <c r="A667" s="36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2"/>
    </row>
    <row r="668" spans="1:26" x14ac:dyDescent="0.15">
      <c r="A668" s="36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2"/>
    </row>
    <row r="669" spans="1:26" x14ac:dyDescent="0.15">
      <c r="A669" s="36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2"/>
    </row>
    <row r="670" spans="1:26" x14ac:dyDescent="0.15">
      <c r="A670" s="36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2"/>
    </row>
    <row r="671" spans="1:26" x14ac:dyDescent="0.15">
      <c r="A671" s="36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2"/>
    </row>
    <row r="672" spans="1:26" x14ac:dyDescent="0.15">
      <c r="A672" s="36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2"/>
    </row>
    <row r="673" spans="1:26" x14ac:dyDescent="0.15">
      <c r="A673" s="36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2"/>
    </row>
    <row r="674" spans="1:26" x14ac:dyDescent="0.15">
      <c r="A674" s="36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2"/>
    </row>
    <row r="675" spans="1:26" x14ac:dyDescent="0.15">
      <c r="A675" s="36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2"/>
    </row>
    <row r="676" spans="1:26" x14ac:dyDescent="0.15">
      <c r="A676" s="36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2"/>
    </row>
    <row r="677" spans="1:26" x14ac:dyDescent="0.15">
      <c r="A677" s="36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2"/>
    </row>
    <row r="678" spans="1:26" x14ac:dyDescent="0.15">
      <c r="A678" s="36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2"/>
    </row>
    <row r="679" spans="1:26" x14ac:dyDescent="0.15">
      <c r="A679" s="36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2"/>
    </row>
    <row r="680" spans="1:26" x14ac:dyDescent="0.15">
      <c r="A680" s="36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2"/>
    </row>
    <row r="681" spans="1:26" x14ac:dyDescent="0.15">
      <c r="A681" s="36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2"/>
    </row>
    <row r="682" spans="1:26" x14ac:dyDescent="0.15">
      <c r="A682" s="36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2"/>
    </row>
    <row r="683" spans="1:26" x14ac:dyDescent="0.15">
      <c r="A683" s="36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2"/>
    </row>
    <row r="684" spans="1:26" x14ac:dyDescent="0.15">
      <c r="A684" s="36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2"/>
    </row>
    <row r="685" spans="1:26" x14ac:dyDescent="0.15">
      <c r="A685" s="36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2"/>
    </row>
    <row r="686" spans="1:26" x14ac:dyDescent="0.15">
      <c r="A686" s="36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2"/>
    </row>
    <row r="687" spans="1:26" x14ac:dyDescent="0.15">
      <c r="A687" s="36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2"/>
    </row>
    <row r="688" spans="1:26" x14ac:dyDescent="0.15">
      <c r="A688" s="36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2"/>
    </row>
    <row r="689" spans="1:26" x14ac:dyDescent="0.15">
      <c r="A689" s="36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2"/>
    </row>
    <row r="690" spans="1:26" x14ac:dyDescent="0.15">
      <c r="A690" s="36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2"/>
    </row>
    <row r="691" spans="1:26" x14ac:dyDescent="0.15">
      <c r="A691" s="36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2"/>
    </row>
    <row r="692" spans="1:26" x14ac:dyDescent="0.15">
      <c r="A692" s="36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2"/>
    </row>
    <row r="693" spans="1:26" x14ac:dyDescent="0.15">
      <c r="A693" s="36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2"/>
    </row>
    <row r="694" spans="1:26" x14ac:dyDescent="0.15">
      <c r="A694" s="36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2"/>
    </row>
    <row r="695" spans="1:26" x14ac:dyDescent="0.15">
      <c r="A695" s="36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2"/>
    </row>
    <row r="696" spans="1:26" x14ac:dyDescent="0.15">
      <c r="A696" s="36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2"/>
    </row>
    <row r="697" spans="1:26" x14ac:dyDescent="0.15">
      <c r="A697" s="36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2"/>
    </row>
    <row r="698" spans="1:26" x14ac:dyDescent="0.15">
      <c r="A698" s="36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2"/>
    </row>
    <row r="699" spans="1:26" x14ac:dyDescent="0.15">
      <c r="A699" s="36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2"/>
    </row>
    <row r="700" spans="1:26" x14ac:dyDescent="0.15">
      <c r="A700" s="36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2"/>
    </row>
    <row r="701" spans="1:26" x14ac:dyDescent="0.15">
      <c r="A701" s="36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2"/>
    </row>
    <row r="702" spans="1:26" x14ac:dyDescent="0.15">
      <c r="A702" s="36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2"/>
    </row>
    <row r="703" spans="1:26" x14ac:dyDescent="0.15">
      <c r="A703" s="36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2"/>
    </row>
    <row r="704" spans="1:26" x14ac:dyDescent="0.15">
      <c r="A704" s="36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2"/>
    </row>
    <row r="705" spans="1:26" x14ac:dyDescent="0.15">
      <c r="A705" s="36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2"/>
    </row>
    <row r="706" spans="1:26" x14ac:dyDescent="0.15">
      <c r="A706" s="36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2"/>
    </row>
    <row r="707" spans="1:26" x14ac:dyDescent="0.15">
      <c r="A707" s="36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2"/>
    </row>
    <row r="708" spans="1:26" x14ac:dyDescent="0.15">
      <c r="A708" s="36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2"/>
    </row>
    <row r="709" spans="1:26" x14ac:dyDescent="0.15">
      <c r="A709" s="36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2"/>
    </row>
    <row r="710" spans="1:26" x14ac:dyDescent="0.15">
      <c r="A710" s="36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2"/>
    </row>
    <row r="711" spans="1:26" x14ac:dyDescent="0.15">
      <c r="A711" s="36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2"/>
    </row>
    <row r="712" spans="1:26" x14ac:dyDescent="0.15">
      <c r="A712" s="36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2"/>
    </row>
    <row r="713" spans="1:26" x14ac:dyDescent="0.15">
      <c r="A713" s="36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2"/>
    </row>
    <row r="714" spans="1:26" x14ac:dyDescent="0.15">
      <c r="A714" s="36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2"/>
    </row>
    <row r="715" spans="1:26" x14ac:dyDescent="0.15">
      <c r="A715" s="36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2"/>
    </row>
    <row r="716" spans="1:26" x14ac:dyDescent="0.15">
      <c r="A716" s="36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2"/>
    </row>
    <row r="717" spans="1:26" x14ac:dyDescent="0.15">
      <c r="A717" s="36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2"/>
    </row>
    <row r="718" spans="1:26" x14ac:dyDescent="0.15">
      <c r="A718" s="36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2"/>
    </row>
    <row r="719" spans="1:26" x14ac:dyDescent="0.15">
      <c r="A719" s="36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2"/>
    </row>
    <row r="720" spans="1:26" x14ac:dyDescent="0.15">
      <c r="A720" s="36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2"/>
    </row>
    <row r="721" spans="1:26" x14ac:dyDescent="0.15">
      <c r="A721" s="36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2"/>
    </row>
    <row r="722" spans="1:26" x14ac:dyDescent="0.15">
      <c r="A722" s="36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2"/>
    </row>
    <row r="723" spans="1:26" x14ac:dyDescent="0.15">
      <c r="A723" s="36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2"/>
    </row>
    <row r="724" spans="1:26" x14ac:dyDescent="0.15">
      <c r="A724" s="36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2"/>
    </row>
    <row r="725" spans="1:26" x14ac:dyDescent="0.15">
      <c r="A725" s="36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2"/>
    </row>
    <row r="726" spans="1:26" x14ac:dyDescent="0.15">
      <c r="A726" s="36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2"/>
    </row>
    <row r="727" spans="1:26" x14ac:dyDescent="0.15">
      <c r="A727" s="36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2"/>
    </row>
    <row r="728" spans="1:26" x14ac:dyDescent="0.15">
      <c r="A728" s="36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2"/>
    </row>
    <row r="729" spans="1:26" x14ac:dyDescent="0.15">
      <c r="A729" s="36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2"/>
    </row>
    <row r="730" spans="1:26" x14ac:dyDescent="0.15">
      <c r="A730" s="36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2"/>
    </row>
    <row r="731" spans="1:26" x14ac:dyDescent="0.15">
      <c r="A731" s="36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2"/>
    </row>
    <row r="732" spans="1:26" x14ac:dyDescent="0.15">
      <c r="A732" s="36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2"/>
    </row>
    <row r="733" spans="1:26" x14ac:dyDescent="0.15">
      <c r="A733" s="36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2"/>
    </row>
    <row r="734" spans="1:26" x14ac:dyDescent="0.15">
      <c r="A734" s="36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2"/>
    </row>
    <row r="735" spans="1:26" x14ac:dyDescent="0.15">
      <c r="A735" s="36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2"/>
    </row>
    <row r="736" spans="1:26" x14ac:dyDescent="0.15">
      <c r="A736" s="36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2"/>
    </row>
    <row r="737" spans="1:26" x14ac:dyDescent="0.15">
      <c r="A737" s="36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2"/>
    </row>
    <row r="738" spans="1:26" x14ac:dyDescent="0.15">
      <c r="A738" s="36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2"/>
    </row>
    <row r="739" spans="1:26" x14ac:dyDescent="0.15">
      <c r="A739" s="36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2"/>
    </row>
    <row r="740" spans="1:26" x14ac:dyDescent="0.15">
      <c r="A740" s="36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2"/>
    </row>
    <row r="741" spans="1:26" x14ac:dyDescent="0.15">
      <c r="A741" s="36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2"/>
    </row>
    <row r="742" spans="1:26" x14ac:dyDescent="0.15">
      <c r="A742" s="36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2"/>
    </row>
    <row r="743" spans="1:26" x14ac:dyDescent="0.15">
      <c r="A743" s="36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2"/>
    </row>
    <row r="744" spans="1:26" x14ac:dyDescent="0.15">
      <c r="A744" s="36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2"/>
    </row>
    <row r="745" spans="1:26" x14ac:dyDescent="0.15">
      <c r="A745" s="36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2"/>
    </row>
    <row r="746" spans="1:26" x14ac:dyDescent="0.15">
      <c r="A746" s="36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2"/>
    </row>
    <row r="747" spans="1:26" x14ac:dyDescent="0.15">
      <c r="A747" s="36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2"/>
    </row>
    <row r="748" spans="1:26" x14ac:dyDescent="0.15">
      <c r="A748" s="36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2"/>
    </row>
    <row r="749" spans="1:26" x14ac:dyDescent="0.15">
      <c r="A749" s="36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2"/>
    </row>
    <row r="750" spans="1:26" x14ac:dyDescent="0.15">
      <c r="A750" s="36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2"/>
    </row>
    <row r="751" spans="1:26" x14ac:dyDescent="0.15">
      <c r="A751" s="36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2"/>
    </row>
    <row r="752" spans="1:26" x14ac:dyDescent="0.15">
      <c r="A752" s="36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2"/>
    </row>
    <row r="753" spans="1:26" x14ac:dyDescent="0.15">
      <c r="A753" s="36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2"/>
    </row>
    <row r="754" spans="1:26" x14ac:dyDescent="0.15">
      <c r="A754" s="36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2"/>
    </row>
    <row r="755" spans="1:26" x14ac:dyDescent="0.15">
      <c r="A755" s="36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2"/>
    </row>
    <row r="756" spans="1:26" x14ac:dyDescent="0.15">
      <c r="A756" s="36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2"/>
    </row>
    <row r="757" spans="1:26" x14ac:dyDescent="0.15">
      <c r="A757" s="36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2"/>
    </row>
    <row r="758" spans="1:26" x14ac:dyDescent="0.15">
      <c r="A758" s="36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2"/>
    </row>
    <row r="759" spans="1:26" x14ac:dyDescent="0.15">
      <c r="A759" s="36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2"/>
    </row>
    <row r="760" spans="1:26" x14ac:dyDescent="0.15">
      <c r="A760" s="36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2"/>
    </row>
    <row r="761" spans="1:26" x14ac:dyDescent="0.15">
      <c r="A761" s="36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2"/>
    </row>
    <row r="762" spans="1:26" x14ac:dyDescent="0.15">
      <c r="A762" s="36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2"/>
    </row>
    <row r="763" spans="1:26" x14ac:dyDescent="0.15">
      <c r="A763" s="36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2"/>
    </row>
    <row r="764" spans="1:26" x14ac:dyDescent="0.15">
      <c r="A764" s="36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2"/>
    </row>
    <row r="765" spans="1:26" x14ac:dyDescent="0.15">
      <c r="A765" s="36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2"/>
    </row>
    <row r="766" spans="1:26" x14ac:dyDescent="0.15">
      <c r="A766" s="36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2"/>
    </row>
    <row r="767" spans="1:26" x14ac:dyDescent="0.15">
      <c r="A767" s="36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2"/>
    </row>
    <row r="768" spans="1:26" x14ac:dyDescent="0.15">
      <c r="A768" s="36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2"/>
    </row>
    <row r="769" spans="1:26" x14ac:dyDescent="0.15">
      <c r="A769" s="36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2"/>
    </row>
    <row r="770" spans="1:26" x14ac:dyDescent="0.15">
      <c r="A770" s="36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2"/>
    </row>
    <row r="771" spans="1:26" x14ac:dyDescent="0.15">
      <c r="A771" s="36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2"/>
    </row>
    <row r="772" spans="1:26" x14ac:dyDescent="0.15">
      <c r="A772" s="36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2"/>
    </row>
    <row r="773" spans="1:26" x14ac:dyDescent="0.15">
      <c r="A773" s="36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2"/>
    </row>
    <row r="774" spans="1:26" x14ac:dyDescent="0.15">
      <c r="A774" s="36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2"/>
    </row>
    <row r="775" spans="1:26" x14ac:dyDescent="0.15">
      <c r="A775" s="36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2"/>
    </row>
    <row r="776" spans="1:26" x14ac:dyDescent="0.15">
      <c r="A776" s="36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2"/>
    </row>
    <row r="777" spans="1:26" x14ac:dyDescent="0.15">
      <c r="A777" s="36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2"/>
    </row>
    <row r="778" spans="1:26" x14ac:dyDescent="0.15">
      <c r="A778" s="36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2"/>
    </row>
    <row r="779" spans="1:26" x14ac:dyDescent="0.15">
      <c r="A779" s="36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2"/>
    </row>
    <row r="780" spans="1:26" x14ac:dyDescent="0.15">
      <c r="A780" s="36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2"/>
    </row>
    <row r="781" spans="1:26" x14ac:dyDescent="0.15">
      <c r="A781" s="36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2"/>
    </row>
    <row r="782" spans="1:26" x14ac:dyDescent="0.15">
      <c r="A782" s="36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2"/>
    </row>
    <row r="783" spans="1:26" x14ac:dyDescent="0.15">
      <c r="A783" s="36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2"/>
    </row>
    <row r="784" spans="1:26" x14ac:dyDescent="0.15">
      <c r="A784" s="36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2"/>
    </row>
    <row r="785" spans="1:26" x14ac:dyDescent="0.15">
      <c r="A785" s="36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2"/>
    </row>
    <row r="786" spans="1:26" x14ac:dyDescent="0.15">
      <c r="A786" s="36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2"/>
    </row>
    <row r="787" spans="1:26" x14ac:dyDescent="0.15">
      <c r="A787" s="36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2"/>
    </row>
    <row r="788" spans="1:26" x14ac:dyDescent="0.15">
      <c r="A788" s="36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2"/>
    </row>
    <row r="789" spans="1:26" x14ac:dyDescent="0.15">
      <c r="A789" s="36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2"/>
    </row>
    <row r="790" spans="1:26" x14ac:dyDescent="0.15">
      <c r="A790" s="36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2"/>
    </row>
    <row r="791" spans="1:26" x14ac:dyDescent="0.15">
      <c r="A791" s="36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2"/>
    </row>
    <row r="792" spans="1:26" x14ac:dyDescent="0.15">
      <c r="A792" s="36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2"/>
    </row>
    <row r="793" spans="1:26" x14ac:dyDescent="0.15">
      <c r="A793" s="36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2"/>
    </row>
    <row r="794" spans="1:26" x14ac:dyDescent="0.15">
      <c r="A794" s="36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2"/>
    </row>
    <row r="795" spans="1:26" x14ac:dyDescent="0.15">
      <c r="A795" s="36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2"/>
    </row>
    <row r="796" spans="1:26" x14ac:dyDescent="0.15">
      <c r="A796" s="36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2"/>
    </row>
    <row r="797" spans="1:26" x14ac:dyDescent="0.15">
      <c r="A797" s="36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2"/>
    </row>
    <row r="798" spans="1:26" x14ac:dyDescent="0.15">
      <c r="A798" s="36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2"/>
    </row>
    <row r="799" spans="1:26" x14ac:dyDescent="0.15">
      <c r="A799" s="36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2"/>
    </row>
    <row r="800" spans="1:26" x14ac:dyDescent="0.15">
      <c r="A800" s="36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2"/>
    </row>
    <row r="801" spans="1:26" x14ac:dyDescent="0.15">
      <c r="A801" s="36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2"/>
    </row>
    <row r="802" spans="1:26" x14ac:dyDescent="0.15">
      <c r="A802" s="36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2"/>
    </row>
    <row r="803" spans="1:26" x14ac:dyDescent="0.15">
      <c r="A803" s="36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2"/>
    </row>
    <row r="804" spans="1:26" x14ac:dyDescent="0.15">
      <c r="A804" s="36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2"/>
    </row>
    <row r="805" spans="1:26" x14ac:dyDescent="0.15">
      <c r="A805" s="36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2"/>
    </row>
    <row r="806" spans="1:26" x14ac:dyDescent="0.15">
      <c r="A806" s="36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2"/>
    </row>
    <row r="807" spans="1:26" x14ac:dyDescent="0.15">
      <c r="A807" s="36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2"/>
    </row>
    <row r="808" spans="1:26" x14ac:dyDescent="0.15">
      <c r="A808" s="36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2"/>
    </row>
    <row r="809" spans="1:26" x14ac:dyDescent="0.15">
      <c r="A809" s="36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2"/>
    </row>
    <row r="810" spans="1:26" x14ac:dyDescent="0.15">
      <c r="A810" s="36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2"/>
    </row>
    <row r="811" spans="1:26" x14ac:dyDescent="0.15">
      <c r="A811" s="36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2"/>
    </row>
    <row r="812" spans="1:26" x14ac:dyDescent="0.15">
      <c r="A812" s="36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2"/>
    </row>
    <row r="813" spans="1:26" x14ac:dyDescent="0.15">
      <c r="A813" s="36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2"/>
    </row>
    <row r="814" spans="1:26" x14ac:dyDescent="0.15">
      <c r="A814" s="36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2"/>
    </row>
    <row r="815" spans="1:26" x14ac:dyDescent="0.15">
      <c r="A815" s="36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2"/>
    </row>
    <row r="816" spans="1:26" x14ac:dyDescent="0.15">
      <c r="A816" s="36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2"/>
    </row>
    <row r="817" spans="1:26" x14ac:dyDescent="0.15">
      <c r="A817" s="36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2"/>
    </row>
    <row r="818" spans="1:26" x14ac:dyDescent="0.15">
      <c r="A818" s="36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2"/>
    </row>
    <row r="819" spans="1:26" x14ac:dyDescent="0.15">
      <c r="A819" s="36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2"/>
    </row>
    <row r="820" spans="1:26" x14ac:dyDescent="0.15">
      <c r="A820" s="36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2"/>
    </row>
    <row r="821" spans="1:26" x14ac:dyDescent="0.15">
      <c r="A821" s="36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2"/>
    </row>
    <row r="822" spans="1:26" x14ac:dyDescent="0.15">
      <c r="A822" s="36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2"/>
    </row>
    <row r="823" spans="1:26" x14ac:dyDescent="0.15">
      <c r="A823" s="36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2"/>
    </row>
    <row r="824" spans="1:26" x14ac:dyDescent="0.15">
      <c r="A824" s="36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2"/>
    </row>
    <row r="825" spans="1:26" x14ac:dyDescent="0.15">
      <c r="A825" s="36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2"/>
    </row>
    <row r="826" spans="1:26" x14ac:dyDescent="0.15">
      <c r="A826" s="36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2"/>
    </row>
    <row r="827" spans="1:26" x14ac:dyDescent="0.15">
      <c r="A827" s="36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2"/>
    </row>
    <row r="828" spans="1:26" x14ac:dyDescent="0.15">
      <c r="A828" s="36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2"/>
    </row>
    <row r="829" spans="1:26" x14ac:dyDescent="0.15">
      <c r="A829" s="36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2"/>
    </row>
    <row r="830" spans="1:26" x14ac:dyDescent="0.15">
      <c r="A830" s="36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2"/>
    </row>
    <row r="831" spans="1:26" x14ac:dyDescent="0.15">
      <c r="A831" s="36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2"/>
    </row>
    <row r="832" spans="1:26" x14ac:dyDescent="0.15">
      <c r="A832" s="36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2"/>
    </row>
    <row r="833" spans="1:26" x14ac:dyDescent="0.15">
      <c r="A833" s="36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2"/>
    </row>
    <row r="834" spans="1:26" x14ac:dyDescent="0.15">
      <c r="A834" s="36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2"/>
    </row>
    <row r="835" spans="1:26" x14ac:dyDescent="0.15">
      <c r="A835" s="36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2"/>
    </row>
    <row r="836" spans="1:26" x14ac:dyDescent="0.15">
      <c r="A836" s="36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2"/>
    </row>
    <row r="837" spans="1:26" x14ac:dyDescent="0.15">
      <c r="A837" s="36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2"/>
    </row>
    <row r="838" spans="1:26" x14ac:dyDescent="0.15">
      <c r="A838" s="36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2"/>
    </row>
    <row r="839" spans="1:26" x14ac:dyDescent="0.15">
      <c r="A839" s="36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2"/>
    </row>
    <row r="840" spans="1:26" x14ac:dyDescent="0.15">
      <c r="A840" s="36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2"/>
    </row>
    <row r="841" spans="1:26" x14ac:dyDescent="0.15">
      <c r="A841" s="36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2"/>
    </row>
    <row r="842" spans="1:26" x14ac:dyDescent="0.15">
      <c r="A842" s="36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2"/>
    </row>
    <row r="843" spans="1:26" x14ac:dyDescent="0.15">
      <c r="A843" s="36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2"/>
    </row>
    <row r="844" spans="1:26" x14ac:dyDescent="0.15">
      <c r="A844" s="36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2"/>
    </row>
    <row r="845" spans="1:26" x14ac:dyDescent="0.15">
      <c r="A845" s="36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2"/>
    </row>
    <row r="846" spans="1:26" x14ac:dyDescent="0.15">
      <c r="A846" s="36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2"/>
    </row>
    <row r="847" spans="1:26" x14ac:dyDescent="0.15">
      <c r="A847" s="36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2"/>
    </row>
    <row r="848" spans="1:26" x14ac:dyDescent="0.15">
      <c r="A848" s="36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2"/>
    </row>
    <row r="849" spans="1:26" x14ac:dyDescent="0.15">
      <c r="A849" s="36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2"/>
    </row>
    <row r="850" spans="1:26" x14ac:dyDescent="0.15">
      <c r="A850" s="36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2"/>
    </row>
    <row r="851" spans="1:26" x14ac:dyDescent="0.15">
      <c r="A851" s="36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2"/>
    </row>
    <row r="852" spans="1:26" x14ac:dyDescent="0.15">
      <c r="A852" s="36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2"/>
    </row>
    <row r="853" spans="1:26" x14ac:dyDescent="0.15">
      <c r="A853" s="36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2"/>
    </row>
    <row r="854" spans="1:26" x14ac:dyDescent="0.15">
      <c r="A854" s="36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2"/>
    </row>
    <row r="855" spans="1:26" x14ac:dyDescent="0.15">
      <c r="A855" s="36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2"/>
    </row>
    <row r="856" spans="1:26" x14ac:dyDescent="0.15">
      <c r="A856" s="36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2"/>
    </row>
    <row r="857" spans="1:26" x14ac:dyDescent="0.15">
      <c r="A857" s="36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2"/>
    </row>
    <row r="858" spans="1:26" x14ac:dyDescent="0.15">
      <c r="A858" s="36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2"/>
    </row>
    <row r="859" spans="1:26" x14ac:dyDescent="0.15">
      <c r="A859" s="36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2"/>
    </row>
    <row r="860" spans="1:26" x14ac:dyDescent="0.15">
      <c r="A860" s="36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2"/>
    </row>
    <row r="861" spans="1:26" x14ac:dyDescent="0.15">
      <c r="A861" s="36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2"/>
    </row>
    <row r="862" spans="1:26" x14ac:dyDescent="0.15">
      <c r="A862" s="36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2"/>
    </row>
    <row r="863" spans="1:26" x14ac:dyDescent="0.15">
      <c r="A863" s="36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2"/>
    </row>
    <row r="864" spans="1:26" x14ac:dyDescent="0.15">
      <c r="A864" s="36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2"/>
    </row>
    <row r="865" spans="1:26" x14ac:dyDescent="0.15">
      <c r="A865" s="36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2"/>
    </row>
    <row r="866" spans="1:26" x14ac:dyDescent="0.15">
      <c r="A866" s="36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2"/>
    </row>
    <row r="867" spans="1:26" x14ac:dyDescent="0.15">
      <c r="A867" s="36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2"/>
    </row>
    <row r="868" spans="1:26" x14ac:dyDescent="0.15">
      <c r="A868" s="36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2"/>
    </row>
    <row r="869" spans="1:26" x14ac:dyDescent="0.15">
      <c r="A869" s="36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2"/>
    </row>
    <row r="870" spans="1:26" x14ac:dyDescent="0.15">
      <c r="A870" s="36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2"/>
    </row>
    <row r="871" spans="1:26" x14ac:dyDescent="0.15">
      <c r="A871" s="36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2"/>
    </row>
    <row r="872" spans="1:26" x14ac:dyDescent="0.15">
      <c r="A872" s="36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2"/>
    </row>
    <row r="873" spans="1:26" x14ac:dyDescent="0.15">
      <c r="A873" s="36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2"/>
    </row>
    <row r="874" spans="1:26" x14ac:dyDescent="0.15">
      <c r="A874" s="36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2"/>
    </row>
    <row r="875" spans="1:26" x14ac:dyDescent="0.15">
      <c r="A875" s="36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2"/>
    </row>
    <row r="876" spans="1:26" x14ac:dyDescent="0.15">
      <c r="A876" s="36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2"/>
    </row>
    <row r="877" spans="1:26" x14ac:dyDescent="0.15">
      <c r="A877" s="36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2"/>
    </row>
    <row r="878" spans="1:26" x14ac:dyDescent="0.15">
      <c r="A878" s="36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2"/>
    </row>
    <row r="879" spans="1:26" x14ac:dyDescent="0.15">
      <c r="A879" s="36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2"/>
    </row>
    <row r="880" spans="1:26" x14ac:dyDescent="0.15">
      <c r="A880" s="36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2"/>
    </row>
    <row r="881" spans="1:26" x14ac:dyDescent="0.15">
      <c r="A881" s="36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2"/>
    </row>
    <row r="882" spans="1:26" x14ac:dyDescent="0.15">
      <c r="A882" s="36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2"/>
    </row>
    <row r="883" spans="1:26" x14ac:dyDescent="0.15">
      <c r="A883" s="36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2"/>
    </row>
    <row r="884" spans="1:26" x14ac:dyDescent="0.15">
      <c r="A884" s="36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2"/>
    </row>
    <row r="885" spans="1:26" x14ac:dyDescent="0.15">
      <c r="A885" s="36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2"/>
    </row>
    <row r="886" spans="1:26" x14ac:dyDescent="0.15">
      <c r="A886" s="36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2"/>
    </row>
    <row r="887" spans="1:26" x14ac:dyDescent="0.15">
      <c r="A887" s="36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2"/>
    </row>
    <row r="888" spans="1:26" x14ac:dyDescent="0.15">
      <c r="A888" s="36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2"/>
    </row>
    <row r="889" spans="1:26" x14ac:dyDescent="0.15">
      <c r="A889" s="36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2"/>
    </row>
    <row r="890" spans="1:26" x14ac:dyDescent="0.15">
      <c r="A890" s="36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2"/>
    </row>
    <row r="891" spans="1:26" x14ac:dyDescent="0.15">
      <c r="A891" s="36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2"/>
    </row>
    <row r="892" spans="1:26" x14ac:dyDescent="0.15">
      <c r="A892" s="36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2"/>
    </row>
    <row r="893" spans="1:26" x14ac:dyDescent="0.15">
      <c r="A893" s="36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2"/>
    </row>
    <row r="894" spans="1:26" x14ac:dyDescent="0.15">
      <c r="A894" s="36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2"/>
    </row>
    <row r="895" spans="1:26" x14ac:dyDescent="0.15">
      <c r="A895" s="36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2"/>
    </row>
    <row r="896" spans="1:26" x14ac:dyDescent="0.15">
      <c r="A896" s="36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2"/>
    </row>
    <row r="897" spans="1:26" x14ac:dyDescent="0.15">
      <c r="A897" s="36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2"/>
    </row>
    <row r="898" spans="1:26" x14ac:dyDescent="0.15">
      <c r="A898" s="36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2"/>
    </row>
    <row r="899" spans="1:26" x14ac:dyDescent="0.15">
      <c r="A899" s="36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2"/>
    </row>
    <row r="900" spans="1:26" x14ac:dyDescent="0.15">
      <c r="A900" s="36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2"/>
    </row>
    <row r="901" spans="1:26" x14ac:dyDescent="0.15">
      <c r="A901" s="36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2"/>
    </row>
    <row r="902" spans="1:26" x14ac:dyDescent="0.15">
      <c r="A902" s="36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2"/>
    </row>
    <row r="903" spans="1:26" x14ac:dyDescent="0.15">
      <c r="A903" s="36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2"/>
    </row>
    <row r="904" spans="1:26" x14ac:dyDescent="0.15">
      <c r="A904" s="36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2"/>
    </row>
    <row r="905" spans="1:26" x14ac:dyDescent="0.15">
      <c r="A905" s="36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2"/>
    </row>
    <row r="906" spans="1:26" x14ac:dyDescent="0.15">
      <c r="A906" s="36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2"/>
    </row>
    <row r="907" spans="1:26" x14ac:dyDescent="0.15">
      <c r="A907" s="36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2"/>
    </row>
    <row r="908" spans="1:26" x14ac:dyDescent="0.15">
      <c r="A908" s="36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2"/>
    </row>
    <row r="909" spans="1:26" x14ac:dyDescent="0.15">
      <c r="A909" s="36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2"/>
    </row>
    <row r="910" spans="1:26" x14ac:dyDescent="0.15">
      <c r="A910" s="36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2"/>
    </row>
    <row r="911" spans="1:26" x14ac:dyDescent="0.15">
      <c r="A911" s="36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2"/>
    </row>
    <row r="912" spans="1:26" x14ac:dyDescent="0.15">
      <c r="A912" s="36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2"/>
    </row>
    <row r="913" spans="1:26" x14ac:dyDescent="0.15">
      <c r="A913" s="36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2"/>
    </row>
    <row r="914" spans="1:26" x14ac:dyDescent="0.15">
      <c r="A914" s="36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2"/>
    </row>
    <row r="915" spans="1:26" x14ac:dyDescent="0.15">
      <c r="A915" s="36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2"/>
    </row>
    <row r="916" spans="1:26" x14ac:dyDescent="0.15">
      <c r="A916" s="36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2"/>
    </row>
    <row r="917" spans="1:26" x14ac:dyDescent="0.15">
      <c r="A917" s="36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2"/>
    </row>
    <row r="918" spans="1:26" x14ac:dyDescent="0.15">
      <c r="A918" s="36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2"/>
    </row>
    <row r="919" spans="1:26" x14ac:dyDescent="0.15">
      <c r="A919" s="36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2"/>
    </row>
    <row r="920" spans="1:26" x14ac:dyDescent="0.15">
      <c r="A920" s="36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2"/>
    </row>
    <row r="921" spans="1:26" x14ac:dyDescent="0.15">
      <c r="A921" s="36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2"/>
    </row>
    <row r="922" spans="1:26" x14ac:dyDescent="0.15">
      <c r="A922" s="36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2"/>
    </row>
    <row r="923" spans="1:26" x14ac:dyDescent="0.15">
      <c r="A923" s="36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2"/>
    </row>
    <row r="924" spans="1:26" x14ac:dyDescent="0.15">
      <c r="A924" s="36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2"/>
    </row>
    <row r="925" spans="1:26" x14ac:dyDescent="0.15">
      <c r="A925" s="36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2"/>
    </row>
    <row r="926" spans="1:26" x14ac:dyDescent="0.15">
      <c r="A926" s="36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2"/>
    </row>
    <row r="927" spans="1:26" x14ac:dyDescent="0.15">
      <c r="A927" s="36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2"/>
    </row>
    <row r="928" spans="1:26" x14ac:dyDescent="0.15">
      <c r="A928" s="36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2"/>
    </row>
    <row r="929" spans="1:26" x14ac:dyDescent="0.15">
      <c r="A929" s="36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2"/>
    </row>
    <row r="930" spans="1:26" x14ac:dyDescent="0.15">
      <c r="A930" s="36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2"/>
    </row>
    <row r="931" spans="1:26" x14ac:dyDescent="0.15">
      <c r="A931" s="36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2"/>
    </row>
    <row r="932" spans="1:26" x14ac:dyDescent="0.15">
      <c r="A932" s="36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2"/>
    </row>
    <row r="933" spans="1:26" x14ac:dyDescent="0.15">
      <c r="A933" s="36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2"/>
    </row>
    <row r="934" spans="1:26" x14ac:dyDescent="0.15">
      <c r="A934" s="36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2"/>
    </row>
    <row r="935" spans="1:26" x14ac:dyDescent="0.15">
      <c r="A935" s="36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2"/>
    </row>
    <row r="936" spans="1:26" x14ac:dyDescent="0.15">
      <c r="A936" s="36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2"/>
    </row>
    <row r="937" spans="1:26" x14ac:dyDescent="0.15">
      <c r="A937" s="36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2"/>
    </row>
    <row r="938" spans="1:26" x14ac:dyDescent="0.15">
      <c r="A938" s="36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2"/>
    </row>
    <row r="939" spans="1:26" x14ac:dyDescent="0.15">
      <c r="A939" s="36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2"/>
    </row>
    <row r="940" spans="1:26" x14ac:dyDescent="0.15">
      <c r="A940" s="36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2"/>
    </row>
    <row r="941" spans="1:26" x14ac:dyDescent="0.15">
      <c r="A941" s="36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2"/>
    </row>
    <row r="942" spans="1:26" x14ac:dyDescent="0.15">
      <c r="A942" s="36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2"/>
    </row>
    <row r="943" spans="1:26" x14ac:dyDescent="0.15">
      <c r="A943" s="36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2"/>
    </row>
    <row r="944" spans="1:26" x14ac:dyDescent="0.15">
      <c r="A944" s="36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2"/>
    </row>
    <row r="945" spans="1:26" x14ac:dyDescent="0.15">
      <c r="A945" s="36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2"/>
    </row>
    <row r="946" spans="1:26" x14ac:dyDescent="0.15">
      <c r="A946" s="36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2"/>
    </row>
    <row r="947" spans="1:26" x14ac:dyDescent="0.15">
      <c r="A947" s="36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2"/>
    </row>
    <row r="948" spans="1:26" x14ac:dyDescent="0.15">
      <c r="A948" s="36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2"/>
    </row>
    <row r="949" spans="1:26" x14ac:dyDescent="0.15">
      <c r="A949" s="36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2"/>
    </row>
    <row r="950" spans="1:26" x14ac:dyDescent="0.15">
      <c r="A950" s="36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2"/>
    </row>
    <row r="951" spans="1:26" x14ac:dyDescent="0.15">
      <c r="A951" s="36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2"/>
    </row>
    <row r="952" spans="1:26" x14ac:dyDescent="0.15">
      <c r="A952" s="36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2"/>
    </row>
    <row r="953" spans="1:26" x14ac:dyDescent="0.15">
      <c r="A953" s="36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2"/>
    </row>
    <row r="954" spans="1:26" x14ac:dyDescent="0.15">
      <c r="A954" s="36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2"/>
    </row>
    <row r="955" spans="1:26" x14ac:dyDescent="0.15">
      <c r="A955" s="36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2"/>
    </row>
    <row r="956" spans="1:26" x14ac:dyDescent="0.15">
      <c r="A956" s="36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2"/>
    </row>
    <row r="957" spans="1:26" x14ac:dyDescent="0.15">
      <c r="A957" s="36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2"/>
    </row>
    <row r="958" spans="1:26" x14ac:dyDescent="0.15">
      <c r="A958" s="36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2"/>
    </row>
    <row r="959" spans="1:26" x14ac:dyDescent="0.15">
      <c r="A959" s="36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2"/>
    </row>
    <row r="960" spans="1:26" x14ac:dyDescent="0.15">
      <c r="A960" s="36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2"/>
    </row>
    <row r="961" spans="1:26" x14ac:dyDescent="0.15">
      <c r="A961" s="36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2"/>
    </row>
    <row r="962" spans="1:26" x14ac:dyDescent="0.15">
      <c r="A962" s="36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2"/>
    </row>
    <row r="963" spans="1:26" x14ac:dyDescent="0.15">
      <c r="A963" s="36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2"/>
    </row>
    <row r="964" spans="1:26" x14ac:dyDescent="0.15">
      <c r="A964" s="36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2"/>
    </row>
    <row r="965" spans="1:26" x14ac:dyDescent="0.15">
      <c r="A965" s="36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2"/>
    </row>
    <row r="966" spans="1:26" x14ac:dyDescent="0.15">
      <c r="A966" s="36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2"/>
    </row>
    <row r="967" spans="1:26" x14ac:dyDescent="0.15">
      <c r="A967" s="36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2"/>
    </row>
    <row r="968" spans="1:26" x14ac:dyDescent="0.15">
      <c r="A968" s="36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2"/>
    </row>
    <row r="969" spans="1:26" x14ac:dyDescent="0.15">
      <c r="A969" s="36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2"/>
    </row>
    <row r="970" spans="1:26" x14ac:dyDescent="0.15">
      <c r="A970" s="36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2"/>
    </row>
    <row r="971" spans="1:26" x14ac:dyDescent="0.15">
      <c r="A971" s="36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2"/>
    </row>
    <row r="972" spans="1:26" x14ac:dyDescent="0.15">
      <c r="A972" s="36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2"/>
    </row>
    <row r="973" spans="1:26" x14ac:dyDescent="0.15">
      <c r="A973" s="36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2"/>
    </row>
    <row r="974" spans="1:26" x14ac:dyDescent="0.15">
      <c r="A974" s="36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2"/>
    </row>
    <row r="975" spans="1:26" x14ac:dyDescent="0.15">
      <c r="A975" s="36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2"/>
    </row>
    <row r="976" spans="1:26" x14ac:dyDescent="0.15">
      <c r="A976" s="36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2"/>
    </row>
    <row r="977" spans="1:26" x14ac:dyDescent="0.15">
      <c r="A977" s="36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2"/>
    </row>
    <row r="978" spans="1:26" x14ac:dyDescent="0.15">
      <c r="A978" s="36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2"/>
    </row>
    <row r="979" spans="1:26" x14ac:dyDescent="0.15">
      <c r="A979" s="36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2"/>
    </row>
    <row r="980" spans="1:26" x14ac:dyDescent="0.15">
      <c r="A980" s="36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2"/>
    </row>
    <row r="981" spans="1:26" x14ac:dyDescent="0.15">
      <c r="A981" s="36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2"/>
    </row>
    <row r="982" spans="1:26" x14ac:dyDescent="0.15">
      <c r="A982" s="36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2"/>
    </row>
    <row r="983" spans="1:26" x14ac:dyDescent="0.15">
      <c r="A983" s="36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2"/>
    </row>
    <row r="984" spans="1:26" x14ac:dyDescent="0.15">
      <c r="A984" s="36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2"/>
    </row>
    <row r="985" spans="1:26" x14ac:dyDescent="0.15">
      <c r="A985" s="36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2"/>
    </row>
    <row r="986" spans="1:26" x14ac:dyDescent="0.15">
      <c r="A986" s="36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2"/>
    </row>
    <row r="987" spans="1:26" x14ac:dyDescent="0.15">
      <c r="A987" s="36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2"/>
    </row>
    <row r="988" spans="1:26" x14ac:dyDescent="0.15">
      <c r="A988" s="36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2"/>
    </row>
    <row r="989" spans="1:26" x14ac:dyDescent="0.15">
      <c r="A989" s="36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2"/>
    </row>
    <row r="990" spans="1:26" x14ac:dyDescent="0.15">
      <c r="A990" s="36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2"/>
    </row>
    <row r="991" spans="1:26" x14ac:dyDescent="0.15">
      <c r="A991" s="36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2"/>
    </row>
    <row r="992" spans="1:26" x14ac:dyDescent="0.15">
      <c r="A992" s="36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2"/>
    </row>
    <row r="993" spans="1:26" x14ac:dyDescent="0.15">
      <c r="A993" s="36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2"/>
    </row>
    <row r="994" spans="1:26" x14ac:dyDescent="0.15">
      <c r="A994" s="36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2"/>
    </row>
    <row r="995" spans="1:26" x14ac:dyDescent="0.15">
      <c r="A995" s="36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2"/>
    </row>
    <row r="996" spans="1:26" x14ac:dyDescent="0.15">
      <c r="A996" s="36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2"/>
    </row>
    <row r="997" spans="1:26" x14ac:dyDescent="0.15">
      <c r="A997" s="36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2"/>
    </row>
    <row r="998" spans="1:26" x14ac:dyDescent="0.15">
      <c r="A998" s="36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2"/>
    </row>
    <row r="999" spans="1:26" x14ac:dyDescent="0.15">
      <c r="A999" s="36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2"/>
    </row>
    <row r="1000" spans="1:26" x14ac:dyDescent="0.15">
      <c r="A1000" s="36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2"/>
    </row>
    <row r="1001" spans="1:26" x14ac:dyDescent="0.15">
      <c r="A1001" s="48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42"/>
    </row>
  </sheetData>
  <mergeCells count="2">
    <mergeCell ref="B1:Q1"/>
    <mergeCell ref="B31:C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9CF9-BBF9-4EF8-A597-7711151A006D}">
  <dimension ref="A2:R47"/>
  <sheetViews>
    <sheetView tabSelected="1" workbookViewId="0">
      <selection activeCell="B30" sqref="B30"/>
    </sheetView>
  </sheetViews>
  <sheetFormatPr baseColWidth="10" defaultColWidth="8.83203125" defaultRowHeight="14" x14ac:dyDescent="0.15"/>
  <cols>
    <col min="1" max="1" width="8.83203125" style="67"/>
    <col min="2" max="2" width="32.83203125" style="67" customWidth="1"/>
    <col min="3" max="3" width="13.5" style="67" bestFit="1" customWidth="1"/>
    <col min="4" max="6" width="13.6640625" style="67" bestFit="1" customWidth="1"/>
    <col min="7" max="8" width="14.83203125" style="67" bestFit="1" customWidth="1"/>
    <col min="9" max="14" width="14.33203125" style="67" bestFit="1" customWidth="1"/>
    <col min="15" max="18" width="15.1640625" style="67" bestFit="1" customWidth="1"/>
    <col min="19" max="16384" width="8.83203125" style="67"/>
  </cols>
  <sheetData>
    <row r="2" spans="2:18" x14ac:dyDescent="0.15">
      <c r="B2" s="116"/>
      <c r="C2" s="20">
        <v>0</v>
      </c>
      <c r="D2" s="20">
        <v>1</v>
      </c>
      <c r="E2" s="20">
        <v>2</v>
      </c>
      <c r="F2" s="20">
        <v>3</v>
      </c>
      <c r="G2" s="20">
        <v>4</v>
      </c>
      <c r="H2" s="20">
        <v>5</v>
      </c>
      <c r="I2" s="20">
        <v>6</v>
      </c>
      <c r="J2" s="20">
        <v>7</v>
      </c>
      <c r="K2" s="20">
        <v>8</v>
      </c>
      <c r="L2" s="20">
        <v>9</v>
      </c>
      <c r="M2" s="20">
        <v>10</v>
      </c>
      <c r="N2" s="20">
        <v>11</v>
      </c>
      <c r="O2" s="20">
        <v>12</v>
      </c>
      <c r="P2" s="20">
        <v>13</v>
      </c>
      <c r="Q2" s="20">
        <v>14</v>
      </c>
      <c r="R2" s="97">
        <v>15</v>
      </c>
    </row>
    <row r="3" spans="2:18" x14ac:dyDescent="0.15">
      <c r="B3" s="117"/>
      <c r="C3" s="24">
        <v>45658</v>
      </c>
      <c r="D3" s="20">
        <v>2025</v>
      </c>
      <c r="E3" s="20">
        <v>2026</v>
      </c>
      <c r="F3" s="20">
        <v>2027</v>
      </c>
      <c r="G3" s="20">
        <v>2028</v>
      </c>
      <c r="H3" s="20">
        <v>2029</v>
      </c>
      <c r="I3" s="20">
        <v>2030</v>
      </c>
      <c r="J3" s="20">
        <v>2031</v>
      </c>
      <c r="K3" s="20">
        <v>2032</v>
      </c>
      <c r="L3" s="20">
        <v>2033</v>
      </c>
      <c r="M3" s="20">
        <v>2034</v>
      </c>
      <c r="N3" s="20">
        <v>2035</v>
      </c>
      <c r="O3" s="20">
        <v>2036</v>
      </c>
      <c r="P3" s="20">
        <v>2037</v>
      </c>
      <c r="Q3" s="20">
        <v>2038</v>
      </c>
      <c r="R3" s="97">
        <v>2039</v>
      </c>
    </row>
    <row r="4" spans="2:18" x14ac:dyDescent="0.15">
      <c r="B4" s="118"/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98"/>
    </row>
    <row r="5" spans="2:18" x14ac:dyDescent="0.15">
      <c r="B5" s="118" t="s">
        <v>0</v>
      </c>
      <c r="C5" s="199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f>C33</f>
        <v>20000</v>
      </c>
      <c r="J5" s="21">
        <f t="shared" ref="J5:R5" si="0">I5*(1+$C$34)</f>
        <v>24000</v>
      </c>
      <c r="K5" s="21">
        <f t="shared" si="0"/>
        <v>28800</v>
      </c>
      <c r="L5" s="21">
        <f t="shared" si="0"/>
        <v>34560</v>
      </c>
      <c r="M5" s="21">
        <f t="shared" si="0"/>
        <v>41472</v>
      </c>
      <c r="N5" s="21">
        <f t="shared" si="0"/>
        <v>49766.400000000001</v>
      </c>
      <c r="O5" s="21">
        <f t="shared" si="0"/>
        <v>59719.68</v>
      </c>
      <c r="P5" s="21">
        <f t="shared" si="0"/>
        <v>71663.615999999995</v>
      </c>
      <c r="Q5" s="21">
        <f t="shared" si="0"/>
        <v>85996.339199999988</v>
      </c>
      <c r="R5" s="200">
        <f t="shared" si="0"/>
        <v>103195.60703999999</v>
      </c>
    </row>
    <row r="6" spans="2:18" x14ac:dyDescent="0.15">
      <c r="B6" s="118"/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98"/>
    </row>
    <row r="7" spans="2:18" x14ac:dyDescent="0.15">
      <c r="B7" s="118" t="s">
        <v>1</v>
      </c>
      <c r="C7" s="26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f t="shared" ref="I7:R7" si="1">I5*($C$35)</f>
        <v>3000000000</v>
      </c>
      <c r="J7" s="27">
        <f t="shared" si="1"/>
        <v>3600000000</v>
      </c>
      <c r="K7" s="27">
        <f t="shared" si="1"/>
        <v>4320000000</v>
      </c>
      <c r="L7" s="27">
        <f t="shared" si="1"/>
        <v>5184000000</v>
      </c>
      <c r="M7" s="27">
        <f t="shared" si="1"/>
        <v>6220800000</v>
      </c>
      <c r="N7" s="27">
        <f t="shared" si="1"/>
        <v>7464960000</v>
      </c>
      <c r="O7" s="27">
        <f t="shared" si="1"/>
        <v>8957952000</v>
      </c>
      <c r="P7" s="27">
        <f t="shared" si="1"/>
        <v>10749542400</v>
      </c>
      <c r="Q7" s="27">
        <f t="shared" si="1"/>
        <v>12899450879.999998</v>
      </c>
      <c r="R7" s="98">
        <f t="shared" si="1"/>
        <v>15479341055.999998</v>
      </c>
    </row>
    <row r="8" spans="2:18" x14ac:dyDescent="0.15">
      <c r="B8" s="118"/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98"/>
    </row>
    <row r="9" spans="2:18" x14ac:dyDescent="0.15">
      <c r="B9" s="118" t="s">
        <v>2</v>
      </c>
      <c r="C9" s="26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f>I5*(I36)</f>
        <v>1616000000</v>
      </c>
      <c r="J9" s="27">
        <f>J5*(J36)</f>
        <v>1939200000</v>
      </c>
      <c r="K9" s="27">
        <f t="shared" ref="K9:R9" si="2">K5*(K36)</f>
        <v>2327040000</v>
      </c>
      <c r="L9" s="27">
        <f t="shared" si="2"/>
        <v>2792448000</v>
      </c>
      <c r="M9" s="27">
        <f t="shared" si="2"/>
        <v>3267164160</v>
      </c>
      <c r="N9" s="27">
        <f t="shared" si="2"/>
        <v>3920596992</v>
      </c>
      <c r="O9" s="27">
        <f t="shared" si="2"/>
        <v>4584082636.8000002</v>
      </c>
      <c r="P9" s="27">
        <f t="shared" si="2"/>
        <v>5500899164.1599998</v>
      </c>
      <c r="Q9" s="27">
        <f t="shared" si="2"/>
        <v>6514222694.3999987</v>
      </c>
      <c r="R9" s="98">
        <f t="shared" si="2"/>
        <v>7712839670.1695995</v>
      </c>
    </row>
    <row r="10" spans="2:18" x14ac:dyDescent="0.15">
      <c r="B10" s="118" t="s">
        <v>3</v>
      </c>
      <c r="C10" s="26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f>I5*$C$37</f>
        <v>20000000</v>
      </c>
      <c r="J10" s="27">
        <f t="shared" ref="J10:Q10" si="3">J5*$C$37</f>
        <v>24000000</v>
      </c>
      <c r="K10" s="27">
        <f t="shared" si="3"/>
        <v>28800000</v>
      </c>
      <c r="L10" s="27">
        <f t="shared" si="3"/>
        <v>34560000</v>
      </c>
      <c r="M10" s="27">
        <f t="shared" si="3"/>
        <v>41472000</v>
      </c>
      <c r="N10" s="27">
        <f t="shared" si="3"/>
        <v>49766400</v>
      </c>
      <c r="O10" s="27">
        <f t="shared" si="3"/>
        <v>59719680</v>
      </c>
      <c r="P10" s="27">
        <f t="shared" si="3"/>
        <v>71663616</v>
      </c>
      <c r="Q10" s="27">
        <f t="shared" si="3"/>
        <v>85996339.199999988</v>
      </c>
      <c r="R10" s="98">
        <f>R5*$C$37</f>
        <v>103195607.03999999</v>
      </c>
    </row>
    <row r="11" spans="2:18" x14ac:dyDescent="0.15">
      <c r="B11" s="118" t="s">
        <v>4</v>
      </c>
      <c r="C11" s="26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f t="shared" ref="I11:R11" si="4">I9+I10</f>
        <v>1636000000</v>
      </c>
      <c r="J11" s="27">
        <f t="shared" si="4"/>
        <v>1963200000</v>
      </c>
      <c r="K11" s="27">
        <f t="shared" si="4"/>
        <v>2355840000</v>
      </c>
      <c r="L11" s="27">
        <f t="shared" si="4"/>
        <v>2827008000</v>
      </c>
      <c r="M11" s="27">
        <f t="shared" si="4"/>
        <v>3308636160</v>
      </c>
      <c r="N11" s="27">
        <f t="shared" si="4"/>
        <v>3970363392</v>
      </c>
      <c r="O11" s="27">
        <f t="shared" si="4"/>
        <v>4643802316.8000002</v>
      </c>
      <c r="P11" s="27">
        <f t="shared" si="4"/>
        <v>5572562780.1599998</v>
      </c>
      <c r="Q11" s="27">
        <f t="shared" si="4"/>
        <v>6600219033.5999985</v>
      </c>
      <c r="R11" s="98">
        <f t="shared" si="4"/>
        <v>7816035277.2095995</v>
      </c>
    </row>
    <row r="12" spans="2:18" x14ac:dyDescent="0.15">
      <c r="B12" s="118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98"/>
    </row>
    <row r="13" spans="2:18" x14ac:dyDescent="0.15">
      <c r="B13" s="119" t="s">
        <v>5</v>
      </c>
      <c r="C13" s="30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f>I7-I11</f>
        <v>1364000000</v>
      </c>
      <c r="J13" s="27">
        <f t="shared" ref="J13:R13" si="5">J7-J11</f>
        <v>1636800000</v>
      </c>
      <c r="K13" s="27">
        <f t="shared" si="5"/>
        <v>1964160000</v>
      </c>
      <c r="L13" s="27">
        <f t="shared" si="5"/>
        <v>2356992000</v>
      </c>
      <c r="M13" s="27">
        <f t="shared" si="5"/>
        <v>2912163840</v>
      </c>
      <c r="N13" s="27">
        <f t="shared" si="5"/>
        <v>3494596608</v>
      </c>
      <c r="O13" s="27">
        <f t="shared" si="5"/>
        <v>4314149683.1999998</v>
      </c>
      <c r="P13" s="27">
        <f t="shared" si="5"/>
        <v>5176979619.8400002</v>
      </c>
      <c r="Q13" s="27">
        <f t="shared" si="5"/>
        <v>6299231846.3999996</v>
      </c>
      <c r="R13" s="98">
        <f t="shared" si="5"/>
        <v>7663305778.7903986</v>
      </c>
    </row>
    <row r="14" spans="2:18" x14ac:dyDescent="0.15">
      <c r="B14" s="118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98"/>
    </row>
    <row r="15" spans="2:18" x14ac:dyDescent="0.15">
      <c r="B15" s="118" t="s">
        <v>6</v>
      </c>
      <c r="C15" s="26">
        <v>0</v>
      </c>
      <c r="D15" s="27">
        <v>160000000</v>
      </c>
      <c r="E15" s="27">
        <f t="shared" ref="E15:R15" si="6">D15*(1+$C$39)</f>
        <v>168000000</v>
      </c>
      <c r="F15" s="27">
        <f t="shared" si="6"/>
        <v>176400000</v>
      </c>
      <c r="G15" s="27">
        <f t="shared" si="6"/>
        <v>185220000</v>
      </c>
      <c r="H15" s="27">
        <f t="shared" si="6"/>
        <v>194481000</v>
      </c>
      <c r="I15" s="27">
        <f t="shared" si="6"/>
        <v>204205050</v>
      </c>
      <c r="J15" s="27">
        <f t="shared" si="6"/>
        <v>214415302.5</v>
      </c>
      <c r="K15" s="27">
        <f t="shared" si="6"/>
        <v>225136067.625</v>
      </c>
      <c r="L15" s="27">
        <f t="shared" si="6"/>
        <v>236392871.00625002</v>
      </c>
      <c r="M15" s="27">
        <f t="shared" si="6"/>
        <v>248212514.55656254</v>
      </c>
      <c r="N15" s="27">
        <f t="shared" si="6"/>
        <v>260623140.28439069</v>
      </c>
      <c r="O15" s="27">
        <f t="shared" si="6"/>
        <v>273654297.29861021</v>
      </c>
      <c r="P15" s="27">
        <f t="shared" si="6"/>
        <v>287337012.16354072</v>
      </c>
      <c r="Q15" s="27">
        <f t="shared" si="6"/>
        <v>301703862.77171779</v>
      </c>
      <c r="R15" s="98">
        <f t="shared" si="6"/>
        <v>316789055.91030371</v>
      </c>
    </row>
    <row r="16" spans="2:18" x14ac:dyDescent="0.15">
      <c r="B16" s="118" t="s">
        <v>7</v>
      </c>
      <c r="C16" s="26">
        <v>0</v>
      </c>
      <c r="D16" s="31">
        <f>$C$41</f>
        <v>200000000</v>
      </c>
      <c r="E16" s="31">
        <f t="shared" ref="E16:R16" si="7">$C$41</f>
        <v>200000000</v>
      </c>
      <c r="F16" s="31">
        <f t="shared" si="7"/>
        <v>200000000</v>
      </c>
      <c r="G16" s="31">
        <f t="shared" si="7"/>
        <v>200000000</v>
      </c>
      <c r="H16" s="31">
        <f t="shared" si="7"/>
        <v>200000000</v>
      </c>
      <c r="I16" s="31">
        <f t="shared" si="7"/>
        <v>200000000</v>
      </c>
      <c r="J16" s="31">
        <f t="shared" si="7"/>
        <v>200000000</v>
      </c>
      <c r="K16" s="31">
        <f t="shared" si="7"/>
        <v>200000000</v>
      </c>
      <c r="L16" s="31">
        <f t="shared" si="7"/>
        <v>200000000</v>
      </c>
      <c r="M16" s="31">
        <f t="shared" si="7"/>
        <v>200000000</v>
      </c>
      <c r="N16" s="31">
        <f t="shared" si="7"/>
        <v>200000000</v>
      </c>
      <c r="O16" s="31">
        <f t="shared" si="7"/>
        <v>200000000</v>
      </c>
      <c r="P16" s="31">
        <f t="shared" si="7"/>
        <v>200000000</v>
      </c>
      <c r="Q16" s="31">
        <f t="shared" si="7"/>
        <v>200000000</v>
      </c>
      <c r="R16" s="240">
        <f t="shared" si="7"/>
        <v>200000000</v>
      </c>
    </row>
    <row r="17" spans="1:18" x14ac:dyDescent="0.15">
      <c r="B17" s="118"/>
      <c r="C17" s="26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1"/>
    </row>
    <row r="18" spans="1:18" x14ac:dyDescent="0.15">
      <c r="B18" s="119" t="s">
        <v>8</v>
      </c>
      <c r="C18" s="102">
        <f t="shared" ref="C18:R18" si="8">C13-C15-C16</f>
        <v>0</v>
      </c>
      <c r="D18" s="103">
        <f t="shared" si="8"/>
        <v>-360000000</v>
      </c>
      <c r="E18" s="103">
        <f t="shared" si="8"/>
        <v>-368000000</v>
      </c>
      <c r="F18" s="103">
        <f t="shared" si="8"/>
        <v>-376400000</v>
      </c>
      <c r="G18" s="103">
        <f t="shared" si="8"/>
        <v>-385220000</v>
      </c>
      <c r="H18" s="103">
        <f t="shared" si="8"/>
        <v>-394481000</v>
      </c>
      <c r="I18" s="103">
        <f>I13-I15-I16</f>
        <v>959794950</v>
      </c>
      <c r="J18" s="103">
        <f t="shared" si="8"/>
        <v>1222384697.5</v>
      </c>
      <c r="K18" s="103">
        <f t="shared" si="8"/>
        <v>1539023932.375</v>
      </c>
      <c r="L18" s="103">
        <f>L13-L15-L16</f>
        <v>1920599128.9937501</v>
      </c>
      <c r="M18" s="103">
        <f t="shared" si="8"/>
        <v>2463951325.4434376</v>
      </c>
      <c r="N18" s="103">
        <f t="shared" si="8"/>
        <v>3033973467.7156096</v>
      </c>
      <c r="O18" s="103">
        <f t="shared" si="8"/>
        <v>3840495385.9013896</v>
      </c>
      <c r="P18" s="103">
        <f t="shared" si="8"/>
        <v>4689642607.6764593</v>
      </c>
      <c r="Q18" s="103">
        <f t="shared" si="8"/>
        <v>5797527983.6282816</v>
      </c>
      <c r="R18" s="104">
        <f t="shared" si="8"/>
        <v>7146516722.8800945</v>
      </c>
    </row>
    <row r="19" spans="1:18" x14ac:dyDescent="0.15">
      <c r="B19" s="119" t="s">
        <v>9</v>
      </c>
      <c r="C19" s="30">
        <v>0</v>
      </c>
      <c r="D19" s="31">
        <v>5000000</v>
      </c>
      <c r="E19" s="31">
        <v>5000000</v>
      </c>
      <c r="F19" s="31">
        <v>5000000</v>
      </c>
      <c r="G19" s="31">
        <v>5000000</v>
      </c>
      <c r="H19" s="31">
        <v>5000000</v>
      </c>
      <c r="I19" s="31">
        <v>5000000</v>
      </c>
      <c r="J19" s="31">
        <v>5000000</v>
      </c>
      <c r="K19" s="31">
        <v>5000000</v>
      </c>
      <c r="L19" s="31">
        <v>5000000</v>
      </c>
      <c r="M19" s="31">
        <v>5000000</v>
      </c>
      <c r="N19" s="31">
        <v>5000000</v>
      </c>
      <c r="O19" s="31">
        <v>5000000</v>
      </c>
      <c r="P19" s="31">
        <v>5000000</v>
      </c>
      <c r="Q19" s="31">
        <v>5000000</v>
      </c>
      <c r="R19" s="99">
        <v>5000000</v>
      </c>
    </row>
    <row r="20" spans="1:18" x14ac:dyDescent="0.15">
      <c r="B20" s="119" t="s">
        <v>10</v>
      </c>
      <c r="C20" s="30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f t="shared" ref="I20:R20" si="9">(I18-I19)*0.25</f>
        <v>238698737.5</v>
      </c>
      <c r="J20" s="27">
        <f t="shared" si="9"/>
        <v>304346174.375</v>
      </c>
      <c r="K20" s="27">
        <f t="shared" si="9"/>
        <v>383505983.09375</v>
      </c>
      <c r="L20" s="27">
        <f t="shared" si="9"/>
        <v>478899782.24843752</v>
      </c>
      <c r="M20" s="27">
        <f t="shared" si="9"/>
        <v>614737831.36085939</v>
      </c>
      <c r="N20" s="27">
        <f t="shared" si="9"/>
        <v>757243366.92890239</v>
      </c>
      <c r="O20" s="27">
        <f t="shared" si="9"/>
        <v>958873846.4753474</v>
      </c>
      <c r="P20" s="27">
        <f t="shared" si="9"/>
        <v>1171160651.9191148</v>
      </c>
      <c r="Q20" s="27">
        <f t="shared" si="9"/>
        <v>1448131995.9070704</v>
      </c>
      <c r="R20" s="98">
        <f t="shared" si="9"/>
        <v>1785379180.7200236</v>
      </c>
    </row>
    <row r="21" spans="1:18" x14ac:dyDescent="0.15">
      <c r="B21" s="118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98"/>
    </row>
    <row r="22" spans="1:18" x14ac:dyDescent="0.15">
      <c r="B22" s="119" t="s">
        <v>11</v>
      </c>
      <c r="C22" s="30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f t="shared" ref="I22:R22" si="10">I7*($C$42)</f>
        <v>150000000</v>
      </c>
      <c r="J22" s="27">
        <f t="shared" si="10"/>
        <v>180000000</v>
      </c>
      <c r="K22" s="27">
        <f t="shared" si="10"/>
        <v>216000000</v>
      </c>
      <c r="L22" s="27">
        <f t="shared" si="10"/>
        <v>259200000</v>
      </c>
      <c r="M22" s="27">
        <f t="shared" si="10"/>
        <v>311040000</v>
      </c>
      <c r="N22" s="27">
        <f t="shared" si="10"/>
        <v>373248000</v>
      </c>
      <c r="O22" s="27">
        <f t="shared" si="10"/>
        <v>447897600</v>
      </c>
      <c r="P22" s="27">
        <f t="shared" si="10"/>
        <v>537477120</v>
      </c>
      <c r="Q22" s="27">
        <f t="shared" si="10"/>
        <v>644972544</v>
      </c>
      <c r="R22" s="98">
        <f t="shared" si="10"/>
        <v>773967052.79999995</v>
      </c>
    </row>
    <row r="23" spans="1:18" x14ac:dyDescent="0.15">
      <c r="B23" s="119" t="s">
        <v>12</v>
      </c>
      <c r="C23" s="30">
        <v>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f>I22-H22</f>
        <v>150000000</v>
      </c>
      <c r="J23" s="27">
        <f t="shared" ref="J23:Q23" si="11">J22-I22</f>
        <v>30000000</v>
      </c>
      <c r="K23" s="27">
        <f t="shared" si="11"/>
        <v>36000000</v>
      </c>
      <c r="L23" s="27">
        <f t="shared" si="11"/>
        <v>43200000</v>
      </c>
      <c r="M23" s="27">
        <f t="shared" si="11"/>
        <v>51840000</v>
      </c>
      <c r="N23" s="27">
        <f t="shared" si="11"/>
        <v>62208000</v>
      </c>
      <c r="O23" s="27">
        <f t="shared" si="11"/>
        <v>74649600</v>
      </c>
      <c r="P23" s="27">
        <f t="shared" si="11"/>
        <v>89579520</v>
      </c>
      <c r="Q23" s="27">
        <f t="shared" si="11"/>
        <v>107495424</v>
      </c>
      <c r="R23" s="98">
        <f>R22-Q22</f>
        <v>128994508.79999995</v>
      </c>
    </row>
    <row r="24" spans="1:18" x14ac:dyDescent="0.15">
      <c r="B24" s="119" t="s">
        <v>13</v>
      </c>
      <c r="C24" s="30">
        <v>0</v>
      </c>
      <c r="D24" s="31">
        <f>$C$43</f>
        <v>100000000</v>
      </c>
      <c r="E24" s="31">
        <f t="shared" ref="E24:H24" si="12">$C$43</f>
        <v>100000000</v>
      </c>
      <c r="F24" s="31">
        <f t="shared" si="12"/>
        <v>100000000</v>
      </c>
      <c r="G24" s="31">
        <f t="shared" si="12"/>
        <v>100000000</v>
      </c>
      <c r="H24" s="31">
        <f t="shared" si="12"/>
        <v>100000000</v>
      </c>
      <c r="I24" s="31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98">
        <v>0</v>
      </c>
    </row>
    <row r="25" spans="1:18" x14ac:dyDescent="0.15">
      <c r="B25" s="118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98"/>
    </row>
    <row r="26" spans="1:18" x14ac:dyDescent="0.15">
      <c r="B26" s="119" t="s">
        <v>14</v>
      </c>
      <c r="C26" s="30">
        <v>0</v>
      </c>
      <c r="D26" s="27">
        <f>D18+D19-D20-D23-D24</f>
        <v>-455000000</v>
      </c>
      <c r="E26" s="27">
        <f t="shared" ref="E26:R26" si="13">E18+E19-E20-E23-E24</f>
        <v>-463000000</v>
      </c>
      <c r="F26" s="27">
        <f t="shared" si="13"/>
        <v>-471400000</v>
      </c>
      <c r="G26" s="27">
        <f t="shared" si="13"/>
        <v>-480220000</v>
      </c>
      <c r="H26" s="27">
        <f t="shared" si="13"/>
        <v>-489481000</v>
      </c>
      <c r="I26" s="27">
        <f t="shared" si="13"/>
        <v>576096212.5</v>
      </c>
      <c r="J26" s="27">
        <f t="shared" si="13"/>
        <v>893038523.125</v>
      </c>
      <c r="K26" s="27">
        <f t="shared" si="13"/>
        <v>1124517949.28125</v>
      </c>
      <c r="L26" s="27">
        <f t="shared" si="13"/>
        <v>1403499346.7453127</v>
      </c>
      <c r="M26" s="27">
        <f t="shared" si="13"/>
        <v>1802373494.0825782</v>
      </c>
      <c r="N26" s="27">
        <f t="shared" si="13"/>
        <v>2219522100.7867069</v>
      </c>
      <c r="O26" s="27">
        <f t="shared" si="13"/>
        <v>2811971939.4260421</v>
      </c>
      <c r="P26" s="27">
        <f t="shared" si="13"/>
        <v>3433902435.7573442</v>
      </c>
      <c r="Q26" s="27">
        <f t="shared" si="13"/>
        <v>4246900563.7212114</v>
      </c>
      <c r="R26" s="98">
        <f t="shared" si="13"/>
        <v>5237143033.3600702</v>
      </c>
    </row>
    <row r="27" spans="1:18" x14ac:dyDescent="0.15">
      <c r="B27" s="120" t="s">
        <v>15</v>
      </c>
      <c r="C27" s="33">
        <v>0</v>
      </c>
      <c r="D27" s="34">
        <f t="shared" ref="D27:R27" si="14">C27+D26</f>
        <v>-455000000</v>
      </c>
      <c r="E27" s="34">
        <f t="shared" si="14"/>
        <v>-918000000</v>
      </c>
      <c r="F27" s="34">
        <f t="shared" si="14"/>
        <v>-1389400000</v>
      </c>
      <c r="G27" s="34">
        <f t="shared" si="14"/>
        <v>-1869620000</v>
      </c>
      <c r="H27" s="34">
        <f t="shared" si="14"/>
        <v>-2359101000</v>
      </c>
      <c r="I27" s="34">
        <f t="shared" si="14"/>
        <v>-1783004787.5</v>
      </c>
      <c r="J27" s="34">
        <f t="shared" si="14"/>
        <v>-889966264.375</v>
      </c>
      <c r="K27" s="34">
        <f t="shared" si="14"/>
        <v>234551684.90625</v>
      </c>
      <c r="L27" s="34">
        <f t="shared" si="14"/>
        <v>1638051031.6515627</v>
      </c>
      <c r="M27" s="34">
        <f t="shared" si="14"/>
        <v>3440424525.7341409</v>
      </c>
      <c r="N27" s="34">
        <f t="shared" si="14"/>
        <v>5659946626.5208473</v>
      </c>
      <c r="O27" s="34">
        <f t="shared" si="14"/>
        <v>8471918565.9468899</v>
      </c>
      <c r="P27" s="34">
        <f t="shared" si="14"/>
        <v>11905821001.704235</v>
      </c>
      <c r="Q27" s="34">
        <f t="shared" si="14"/>
        <v>16152721565.425446</v>
      </c>
      <c r="R27" s="105">
        <f t="shared" si="14"/>
        <v>21389864598.785515</v>
      </c>
    </row>
    <row r="28" spans="1:18" x14ac:dyDescent="0.15">
      <c r="B28" s="37"/>
      <c r="C28" s="37"/>
      <c r="D28" s="37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  <row r="29" spans="1:18" x14ac:dyDescent="0.15">
      <c r="B29" s="141" t="s">
        <v>41</v>
      </c>
      <c r="C29" s="139"/>
      <c r="D29" s="85"/>
      <c r="E29" s="5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  <row r="30" spans="1:18" x14ac:dyDescent="0.15">
      <c r="A30" s="87"/>
      <c r="B30" s="51" t="s">
        <v>34</v>
      </c>
      <c r="C30" s="21"/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</row>
    <row r="31" spans="1:18" x14ac:dyDescent="0.15">
      <c r="A31" s="87"/>
      <c r="B31" s="260" t="s">
        <v>17</v>
      </c>
      <c r="C31" s="252"/>
      <c r="D31" s="4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</row>
    <row r="32" spans="1:18" x14ac:dyDescent="0.15">
      <c r="A32" s="87"/>
      <c r="B32" s="41" t="s">
        <v>18</v>
      </c>
      <c r="C32" s="37"/>
      <c r="D32" s="42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</row>
    <row r="33" spans="1:18" x14ac:dyDescent="0.15">
      <c r="A33" s="87"/>
      <c r="B33" s="51" t="s">
        <v>19</v>
      </c>
      <c r="C33" s="43">
        <v>20000</v>
      </c>
      <c r="D33" s="22" t="s">
        <v>20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</row>
    <row r="34" spans="1:18" x14ac:dyDescent="0.15">
      <c r="A34" s="87"/>
      <c r="B34" s="51" t="s">
        <v>21</v>
      </c>
      <c r="C34" s="44">
        <v>0.2</v>
      </c>
      <c r="D34" s="22"/>
      <c r="E34" s="21"/>
      <c r="F34" s="21"/>
      <c r="G34" s="21"/>
      <c r="H34" s="21"/>
      <c r="I34" s="37"/>
      <c r="J34" s="37"/>
      <c r="K34" s="37"/>
      <c r="L34" s="37"/>
      <c r="M34" s="37"/>
      <c r="N34" s="37"/>
      <c r="O34" s="37"/>
      <c r="P34" s="37"/>
      <c r="Q34" s="37"/>
      <c r="R34" s="37"/>
    </row>
    <row r="35" spans="1:18" x14ac:dyDescent="0.15">
      <c r="A35" s="87"/>
      <c r="B35" s="51" t="s">
        <v>22</v>
      </c>
      <c r="C35" s="45">
        <v>150000</v>
      </c>
      <c r="D35" s="22"/>
      <c r="E35" s="21"/>
      <c r="F35" s="21"/>
      <c r="G35" s="21"/>
      <c r="H35" s="22"/>
      <c r="I35" s="37">
        <v>2030</v>
      </c>
      <c r="J35" s="37">
        <v>2031</v>
      </c>
      <c r="K35" s="37">
        <v>2032</v>
      </c>
      <c r="L35" s="37">
        <v>2033</v>
      </c>
      <c r="M35" s="37">
        <v>2034</v>
      </c>
      <c r="N35" s="37">
        <v>2035</v>
      </c>
      <c r="O35" s="37">
        <v>2036</v>
      </c>
      <c r="P35" s="37">
        <v>2037</v>
      </c>
      <c r="Q35" s="37">
        <v>2038</v>
      </c>
      <c r="R35" s="42">
        <v>2039</v>
      </c>
    </row>
    <row r="36" spans="1:18" x14ac:dyDescent="0.15">
      <c r="A36" s="87"/>
      <c r="B36" s="51" t="s">
        <v>23</v>
      </c>
      <c r="C36" s="21"/>
      <c r="D36" s="22"/>
      <c r="E36" s="21"/>
      <c r="F36" s="21"/>
      <c r="G36" s="21"/>
      <c r="H36" s="22"/>
      <c r="I36" s="34">
        <f>'Option 3'!I35*1.01</f>
        <v>80800</v>
      </c>
      <c r="J36" s="34">
        <f>'Option 3'!J35*1.01</f>
        <v>80800</v>
      </c>
      <c r="K36" s="34">
        <f>'Option 3'!K35*1.01</f>
        <v>80800</v>
      </c>
      <c r="L36" s="34">
        <f>'Option 3'!L35*1.01</f>
        <v>80800</v>
      </c>
      <c r="M36" s="34">
        <f>'Option 3'!M35*1.01</f>
        <v>78780</v>
      </c>
      <c r="N36" s="34">
        <f>'Option 3'!N35*1.01</f>
        <v>78780</v>
      </c>
      <c r="O36" s="34">
        <f>'Option 3'!O35*1.01</f>
        <v>76760</v>
      </c>
      <c r="P36" s="34">
        <f>'Option 3'!P35*1.01</f>
        <v>76760</v>
      </c>
      <c r="Q36" s="34">
        <f>'Option 3'!Q35*1.01</f>
        <v>75750</v>
      </c>
      <c r="R36" s="203">
        <f>'Option 3'!R35*1.01</f>
        <v>74740</v>
      </c>
    </row>
    <row r="37" spans="1:18" x14ac:dyDescent="0.15">
      <c r="A37" s="87"/>
      <c r="B37" s="51" t="s">
        <v>24</v>
      </c>
      <c r="C37" s="45">
        <f>1000</f>
        <v>1000</v>
      </c>
      <c r="D37" s="22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</row>
    <row r="38" spans="1:18" x14ac:dyDescent="0.15">
      <c r="A38" s="87"/>
      <c r="B38" s="51" t="s">
        <v>25</v>
      </c>
      <c r="C38" s="45">
        <v>160000000</v>
      </c>
      <c r="D38" s="22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spans="1:18" x14ac:dyDescent="0.15">
      <c r="A39" s="87"/>
      <c r="B39" s="51" t="s">
        <v>26</v>
      </c>
      <c r="C39" s="44">
        <v>0.05</v>
      </c>
      <c r="D39" s="22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  <row r="40" spans="1:18" x14ac:dyDescent="0.15">
      <c r="A40" s="87"/>
      <c r="B40" s="51" t="s">
        <v>9</v>
      </c>
      <c r="C40" s="45">
        <v>5000000</v>
      </c>
      <c r="D40" s="22" t="s">
        <v>27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</row>
    <row r="41" spans="1:18" x14ac:dyDescent="0.15">
      <c r="A41" s="87"/>
      <c r="B41" s="51" t="s">
        <v>7</v>
      </c>
      <c r="C41" s="45">
        <v>200000000</v>
      </c>
      <c r="D41" s="22" t="s">
        <v>27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</row>
    <row r="42" spans="1:18" x14ac:dyDescent="0.15">
      <c r="A42" s="87"/>
      <c r="B42" s="51" t="s">
        <v>28</v>
      </c>
      <c r="C42" s="44">
        <v>0.05</v>
      </c>
      <c r="D42" s="22" t="s">
        <v>29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</row>
    <row r="43" spans="1:18" x14ac:dyDescent="0.15">
      <c r="A43" s="87"/>
      <c r="B43" s="51" t="s">
        <v>13</v>
      </c>
      <c r="C43" s="45">
        <v>100000000</v>
      </c>
      <c r="D43" s="22" t="s">
        <v>27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</row>
    <row r="44" spans="1:18" x14ac:dyDescent="0.15">
      <c r="A44" s="87"/>
      <c r="B44" s="51" t="s">
        <v>30</v>
      </c>
      <c r="C44" s="44">
        <v>0.25</v>
      </c>
      <c r="D44" s="22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</row>
    <row r="45" spans="1:18" x14ac:dyDescent="0.15">
      <c r="A45" s="87"/>
      <c r="B45" s="41" t="s">
        <v>31</v>
      </c>
      <c r="C45" s="46">
        <v>0.15</v>
      </c>
      <c r="D45" s="42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</row>
    <row r="46" spans="1:18" x14ac:dyDescent="0.15">
      <c r="B46" s="37"/>
      <c r="C46" s="37"/>
      <c r="D46" s="37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</row>
    <row r="47" spans="1:18" x14ac:dyDescent="0.15">
      <c r="A47" s="87"/>
      <c r="B47" s="41" t="s">
        <v>32</v>
      </c>
      <c r="C47" s="47">
        <f>NPV($C$45,D26:R26)+C26</f>
        <v>3027829776.3481369</v>
      </c>
      <c r="D47" s="42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</row>
  </sheetData>
  <mergeCells count="1"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Option 1</vt:lpstr>
      <vt:lpstr>Sensitve Analysis #1 Option 1</vt:lpstr>
      <vt:lpstr>Sensitve Analysis #2 option 1</vt:lpstr>
      <vt:lpstr>Option 2</vt:lpstr>
      <vt:lpstr>Sensitve Analysis #1 Option 2</vt:lpstr>
      <vt:lpstr>Sensitve Analysis #2 Option 2</vt:lpstr>
      <vt:lpstr>Option 3</vt:lpstr>
      <vt:lpstr>Sensitve Analysis #1 Option 3</vt:lpstr>
      <vt:lpstr>Sensitve Analysis #2 Option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Duy Cong Kha Nguyen</cp:lastModifiedBy>
  <cp:revision/>
  <dcterms:created xsi:type="dcterms:W3CDTF">2025-03-26T19:04:15Z</dcterms:created>
  <dcterms:modified xsi:type="dcterms:W3CDTF">2026-07-28T03:16:34Z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2025-03-26T19:04:18Z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44880242-9af3-45b2-afb8-75528ac7a3b8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10, 3, 0, 2</vt:lpwstr>
  </property>
</Properties>
</file>